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Override PartName="/xl/worksheets/sheet25.xml" ContentType="application/vnd.openxmlformats-officedocument.spreadsheetml.worksheet+xml"/>
  <Override PartName="/xl/tables/table24.xml" ContentType="application/vnd.openxmlformats-officedocument.spreadsheetml.table+xml"/>
  <Override PartName="/xl/worksheets/sheet26.xml" ContentType="application/vnd.openxmlformats-officedocument.spreadsheetml.worksheet+xml"/>
  <Override PartName="/xl/tables/table25.xml" ContentType="application/vnd.openxmlformats-officedocument.spreadsheetml.table+xml"/>
  <Override PartName="/xl/worksheets/sheet27.xml" ContentType="application/vnd.openxmlformats-officedocument.spreadsheetml.worksheet+xml"/>
  <Override PartName="/xl/tables/table26.xml" ContentType="application/vnd.openxmlformats-officedocument.spreadsheetml.table+xml"/>
  <Override PartName="/xl/worksheets/sheet28.xml" ContentType="application/vnd.openxmlformats-officedocument.spreadsheetml.worksheet+xml"/>
  <Override PartName="/xl/tables/table27.xml" ContentType="application/vnd.openxmlformats-officedocument.spreadsheetml.table+xml"/>
  <Override PartName="/xl/worksheets/sheet29.xml" ContentType="application/vnd.openxmlformats-officedocument.spreadsheetml.worksheet+xml"/>
  <Override PartName="/xl/tables/table28.xml" ContentType="application/vnd.openxmlformats-officedocument.spreadsheetml.table+xml"/>
  <Override PartName="/xl/worksheets/sheet30.xml" ContentType="application/vnd.openxmlformats-officedocument.spreadsheetml.worksheet+xml"/>
  <Override PartName="/xl/tables/table29.xml" ContentType="application/vnd.openxmlformats-officedocument.spreadsheetml.table+xml"/>
  <Override PartName="/xl/worksheets/sheet31.xml" ContentType="application/vnd.openxmlformats-officedocument.spreadsheetml.worksheet+xml"/>
  <Override PartName="/xl/tables/table30.xml" ContentType="application/vnd.openxmlformats-officedocument.spreadsheetml.table+xml"/>
  <Override PartName="/xl/worksheets/sheet32.xml" ContentType="application/vnd.openxmlformats-officedocument.spreadsheetml.worksheet+xml"/>
  <Override PartName="/xl/tables/table31.xml" ContentType="application/vnd.openxmlformats-officedocument.spreadsheetml.table+xml"/>
  <Override PartName="/xl/worksheets/sheet33.xml" ContentType="application/vnd.openxmlformats-officedocument.spreadsheetml.worksheet+xml"/>
  <Override PartName="/xl/tables/table32.xml" ContentType="application/vnd.openxmlformats-officedocument.spreadsheetml.table+xml"/>
  <Override PartName="/xl/worksheets/sheet34.xml" ContentType="application/vnd.openxmlformats-officedocument.spreadsheetml.worksheet+xml"/>
  <Override PartName="/xl/tables/table33.xml" ContentType="application/vnd.openxmlformats-officedocument.spreadsheetml.table+xml"/>
  <Override PartName="/xl/worksheets/sheet35.xml" ContentType="application/vnd.openxmlformats-officedocument.spreadsheetml.worksheet+xml"/>
  <Override PartName="/xl/tables/table34.xml" ContentType="application/vnd.openxmlformats-officedocument.spreadsheetml.table+xml"/>
  <Override PartName="/xl/worksheets/sheet36.xml" ContentType="application/vnd.openxmlformats-officedocument.spreadsheetml.worksheet+xml"/>
  <Override PartName="/xl/tables/table35.xml" ContentType="application/vnd.openxmlformats-officedocument.spreadsheetml.table+xml"/>
  <Override PartName="/xl/worksheets/sheet37.xml" ContentType="application/vnd.openxmlformats-officedocument.spreadsheetml.worksheet+xml"/>
  <Override PartName="/xl/tables/table3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ffec5f5d53a403c" /></Relationships>
</file>

<file path=xl/workbook.xml><?xml version="1.0" encoding="utf-8"?>
<x:workbook xmlns:x="http://schemas.openxmlformats.org/spreadsheetml/2006/main">
  <x:sheets>
    <x:sheet xmlns:r="http://schemas.openxmlformats.org/officeDocument/2006/relationships" name="00设计总览" sheetId="1" r:id="R49b3534b9fd04b0a"/>
    <x:sheet xmlns:r="http://schemas.openxmlformats.org/officeDocument/2006/relationships" name="01世界分区" sheetId="2" r:id="R76158245ced841b2"/>
    <x:sheet xmlns:r="http://schemas.openxmlformats.org/officeDocument/2006/relationships" name="02港口总表" sheetId="3" r:id="Re52fcfeb24874981"/>
    <x:sheet xmlns:r="http://schemas.openxmlformats.org/officeDocument/2006/relationships" name="03贸易品" sheetId="4" r:id="Rcbeb6cea2d684c36"/>
    <x:sheet xmlns:r="http://schemas.openxmlformats.org/officeDocument/2006/relationships" name="04港口供货" sheetId="5" r:id="R77d3d27eb3f84454"/>
    <x:sheet xmlns:r="http://schemas.openxmlformats.org/officeDocument/2006/relationships" name="05独特特产" sheetId="6" r:id="R2df395897e8848f0"/>
    <x:sheet xmlns:r="http://schemas.openxmlformats.org/officeDocument/2006/relationships" name="06投资发展" sheetId="7" r:id="R3dfc9f496d994ad1"/>
    <x:sheet xmlns:r="http://schemas.openxmlformats.org/officeDocument/2006/relationships" name="07区域需求" sheetId="8" r:id="R3a93a1ca84544804"/>
    <x:sheet xmlns:r="http://schemas.openxmlformats.org/officeDocument/2006/relationships" name="08跑商物价" sheetId="9" r:id="R12dfebce65014481"/>
    <x:sheet xmlns:r="http://schemas.openxmlformats.org/officeDocument/2006/relationships" name="09物价演算" sheetId="10" r:id="R670002396a534c5e"/>
    <x:sheet xmlns:r="http://schemas.openxmlformats.org/officeDocument/2006/relationships" name="10贸易航线" sheetId="11" r:id="R650ca4b539874a06"/>
    <x:sheet xmlns:r="http://schemas.openxmlformats.org/officeDocument/2006/relationships" name="10B航线采购" sheetId="12" r:id="R42d86d2d718f4dd7"/>
    <x:sheet xmlns:r="http://schemas.openxmlformats.org/officeDocument/2006/relationships" name="11市场事件" sheetId="13" r:id="R0d46bc5203f4429b"/>
    <x:sheet xmlns:r="http://schemas.openxmlformats.org/officeDocument/2006/relationships" name="12工坊加工" sheetId="14" r:id="Rcf50e7d0862f40bf"/>
    <x:sheet xmlns:r="http://schemas.openxmlformats.org/officeDocument/2006/relationships" name="13船型参数" sheetId="15" r:id="R38a9a984200a4f4e"/>
    <x:sheet xmlns:r="http://schemas.openxmlformats.org/officeDocument/2006/relationships" name="14船型特色" sheetId="16" r:id="Rfd41bc2065604815"/>
    <x:sheet xmlns:r="http://schemas.openxmlformats.org/officeDocument/2006/relationships" name="15船体改造" sheetId="17" r:id="R0ef5da0046bb419d"/>
    <x:sheet xmlns:r="http://schemas.openxmlformats.org/officeDocument/2006/relationships" name="16武器弹药" sheetId="18" r:id="R13fe6a363e814ba8"/>
    <x:sheet xmlns:r="http://schemas.openxmlformats.org/officeDocument/2006/relationships" name="17海战系统" sheetId="19" r:id="Rbda7c23a2d574f31"/>
    <x:sheet xmlns:r="http://schemas.openxmlformats.org/officeDocument/2006/relationships" name="18舰队阵型" sheetId="20" r:id="R4f5da8fa47e04dd0"/>
    <x:sheet xmlns:r="http://schemas.openxmlformats.org/officeDocument/2006/relationships" name="19海况风潮" sheetId="21" r:id="Rc8a7ea5548604324"/>
    <x:sheet xmlns:r="http://schemas.openxmlformats.org/officeDocument/2006/relationships" name="20海战遭遇" sheetId="22" r:id="R7df8e36add234e44"/>
    <x:sheet xmlns:r="http://schemas.openxmlformats.org/officeDocument/2006/relationships" name="21海员图鉴" sheetId="23" r:id="R8e6255f1adcf4c8e"/>
    <x:sheet xmlns:r="http://schemas.openxmlformats.org/officeDocument/2006/relationships" name="22海员能力" sheetId="24" r:id="R4df14ed782a34a28"/>
    <x:sheet xmlns:r="http://schemas.openxmlformats.org/officeDocument/2006/relationships" name="23海员故事" sheetId="25" r:id="R447e7a16e6b24187"/>
    <x:sheet xmlns:r="http://schemas.openxmlformats.org/officeDocument/2006/relationships" name="24船上职位" sheetId="26" r:id="R0c971fe6f0d24aaf"/>
    <x:sheet xmlns:r="http://schemas.openxmlformats.org/officeDocument/2006/relationships" name="25人物关系" sheetId="27" r:id="R35fc646f2654416e"/>
    <x:sheet xmlns:r="http://schemas.openxmlformats.org/officeDocument/2006/relationships" name="26世界势力" sheetId="28" r:id="R23ef8035e1674455"/>
    <x:sheet xmlns:r="http://schemas.openxmlformats.org/officeDocument/2006/relationships" name="27探索图鉴" sheetId="29" r:id="R0e085495daf84f28"/>
    <x:sheet xmlns:r="http://schemas.openxmlformats.org/officeDocument/2006/relationships" name="28探索过程" sheetId="30" r:id="R24aa571884534b10"/>
    <x:sheet xmlns:r="http://schemas.openxmlformats.org/officeDocument/2006/relationships" name="29区域故事" sheetId="31" r:id="Rdf409a1dc2684d1f"/>
    <x:sheet xmlns:r="http://schemas.openxmlformats.org/officeDocument/2006/relationships" name="30航海成长" sheetId="32" r:id="R038dd69a65654e3e"/>
    <x:sheet xmlns:r="http://schemas.openxmlformats.org/officeDocument/2006/relationships" name="31开局身份" sheetId="33" r:id="Rac1a071da12c4af4"/>
    <x:sheet xmlns:r="http://schemas.openxmlformats.org/officeDocument/2006/relationships" name="32港口设施" sheetId="34" r:id="R15bf4c38cd9348b1"/>
    <x:sheet xmlns:r="http://schemas.openxmlformats.org/officeDocument/2006/relationships" name="33委托玩法" sheetId="35" r:id="R7124d95886f146d9"/>
    <x:sheet xmlns:r="http://schemas.openxmlformats.org/officeDocument/2006/relationships" name="34美术方向" sheetId="36" r:id="Rc54d4ad6a87b4686"/>
    <x:sheet xmlns:r="http://schemas.openxmlformats.org/officeDocument/2006/relationships" name="35资料与字段" sheetId="37" r:id="R4aa8e3aa1ef240b0"/>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0"/>
    <x:numFmt numFmtId="201" formatCode="#,##0"/>
    <x:numFmt numFmtId="202" formatCode="0.0"/>
    <x:numFmt numFmtId="203" formatCode="0.00"/>
    <x:numFmt numFmtId="204" formatCode="0.0%"/>
  </x:numFmts>
  <x:fonts count="6">
    <x:font>
      <x:sz val="11"/>
      <x:name val="Carlito"/>
    </x:font>
    <x:font>
      <x:sz val="11"/>
      <x:color rgb="FF203D4C"/>
      <x:name val="Arial"/>
    </x:font>
    <x:font>
      <x:b/>
      <x:sz val="16"/>
      <x:color rgb="FF203D4C"/>
      <x:name val="Arial"/>
    </x:font>
    <x:font>
      <x:sz val="10"/>
      <x:color rgb="FF668078"/>
      <x:name val="Arial"/>
    </x:font>
    <x:font>
      <x:b/>
      <x:sz val="11"/>
      <x:color rgb="FFFFFFFF"/>
      <x:name val="Arial"/>
    </x:font>
    <x:font>
      <x:b/>
      <x:sz val="11"/>
      <x:color rgb="FF203D4C"/>
      <x:name val="Arial"/>
    </x:font>
  </x:fonts>
  <x:fills count="6">
    <x:fill>
      <x:patternFill patternType="none"/>
    </x:fill>
    <x:fill>
      <x:patternFill patternType="gray125"/>
    </x:fill>
    <x:fill>
      <x:patternFill patternType="solid">
        <x:fgColor rgb="FF163A4B"/>
      </x:patternFill>
    </x:fill>
    <x:fill>
      <x:patternFill patternType="solid">
        <x:fgColor rgb="FFF1F5F2"/>
      </x:patternFill>
    </x:fill>
    <x:fill>
      <x:patternFill patternType="solid">
        <x:fgColor rgb="FFFFF1C9"/>
      </x:patternFill>
    </x:fill>
    <x:fill>
      <x:patternFill patternType="solid">
        <x:fgColor rgb="FFDCE9DD"/>
      </x:patternFill>
    </x:fill>
  </x:fills>
  <x:borders count="4">
    <x:border>
      <x:left/>
      <x:right/>
      <x:top/>
      <x:bottom/>
      <x:diagonal/>
    </x:border>
    <x:border>
      <x:left/>
      <x:right/>
      <x:top/>
      <x:bottom style="hair">
        <x:color rgb="FFD6DFDC"/>
      </x:bottom>
      <x:diagonal/>
    </x:border>
    <x:border>
      <x:left/>
      <x:right/>
      <x:top style="hair">
        <x:color rgb="FFD6DFDC"/>
      </x:top>
      <x:bottom style="hair">
        <x:color rgb="FFD6DFDC"/>
      </x:bottom>
      <x:diagonal/>
    </x:border>
    <x:border>
      <x:left/>
      <x:right/>
      <x:top style="hair">
        <x:color rgb="FFD6DFDC"/>
      </x:top>
      <x:bottom/>
      <x:diagonal/>
    </x:border>
  </x:borders>
  <x:cellStyleXfs count="1">
    <x:xf numFmtId="0" fontId="0" fillId="0" borderId="0"/>
  </x:cellStyleXfs>
  <x:cellXfs count="7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0"/>
    </x:xf>
    <x:xf numFmtId="0" fontId="1" fillId="2" borderId="0" xfId="0" applyNumberFormat="1" applyFont="1" applyFill="1" applyBorder="1" applyAlignment="1">
      <x:alignment vertical="top"/>
    </x:xf>
    <x:xf numFmtId="0" fontId="4" fillId="2" borderId="0" xfId="0" applyNumberFormat="1" applyFont="1" applyFill="1" applyBorder="1" applyAlignment="1">
      <x:alignment vertical="top"/>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0" borderId="2" xfId="0" applyNumberFormat="1" applyFont="1" applyFill="1" applyBorder="1" applyAlignment="1">
      <x:alignment vertical="top" wrapText="1"/>
    </x:xf>
    <x:xf numFmtId="0" fontId="1" fillId="0" borderId="3" xfId="0" applyNumberFormat="1" applyFont="1" applyFill="1" applyBorder="1" applyAlignment="1">
      <x:alignment vertical="top" wrapText="1"/>
    </x:xf>
    <x:xf numFmtId="0" fontId="1" fillId="3" borderId="2" xfId="0" applyNumberFormat="1" applyFont="1" applyFill="1" applyBorder="1" applyAlignment="1">
      <x:alignment vertical="top" wrapText="1"/>
    </x:xf>
    <x:xf numFmtId="0" fontId="1" fillId="3" borderId="3"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2" xfId="0" applyNumberFormat="1" applyFont="1" applyFill="1" applyBorder="1" applyAlignment="1">
      <x:alignment vertical="top" wrapText="1"/>
    </x:xf>
    <x:xf numFmtId="200" fontId="1" fillId="0" borderId="3" xfId="0" applyNumberFormat="1" applyFont="1" applyFill="1" applyBorder="1" applyAlignment="1">
      <x:alignment vertical="top" wrapText="1"/>
    </x:xf>
    <x:xf numFmtId="200" fontId="1" fillId="0" borderId="1" xfId="0" applyNumberFormat="1" applyFont="1" applyFill="1" applyBorder="1" applyAlignment="1">
      <x:alignment horizontal="right" vertical="top" wrapText="1"/>
    </x:xf>
    <x:xf numFmtId="200" fontId="1" fillId="0" borderId="2" xfId="0" applyNumberFormat="1" applyFont="1" applyFill="1" applyBorder="1" applyAlignment="1">
      <x:alignment horizontal="right" vertical="top" wrapText="1"/>
    </x:xf>
    <x:xf numFmtId="200" fontId="1" fillId="0" borderId="3" xfId="0" applyNumberFormat="1" applyFont="1" applyFill="1" applyBorder="1" applyAlignment="1">
      <x:alignment horizontal="right" vertical="top" wrapText="1"/>
    </x:xf>
    <x:xf numFmtId="201" fontId="1" fillId="0" borderId="1" xfId="0" applyNumberFormat="1" applyFont="1" applyFill="1" applyBorder="1" applyAlignment="1">
      <x:alignment vertical="top" wrapText="1"/>
    </x:xf>
    <x:xf numFmtId="201" fontId="1" fillId="0" borderId="2" xfId="0" applyNumberFormat="1" applyFont="1" applyFill="1" applyBorder="1" applyAlignment="1">
      <x:alignment vertical="top" wrapText="1"/>
    </x:xf>
    <x:xf numFmtId="201" fontId="1" fillId="0" borderId="3" xfId="0" applyNumberFormat="1" applyFont="1" applyFill="1" applyBorder="1" applyAlignment="1">
      <x:alignment vertical="top" wrapText="1"/>
    </x:xf>
    <x:xf numFmtId="201" fontId="1" fillId="0" borderId="1" xfId="0" applyNumberFormat="1" applyFont="1" applyFill="1" applyBorder="1" applyAlignment="1">
      <x:alignment horizontal="right" vertical="top" wrapText="1"/>
    </x:xf>
    <x:xf numFmtId="201" fontId="1" fillId="0" borderId="2" xfId="0" applyNumberFormat="1" applyFont="1" applyFill="1" applyBorder="1" applyAlignment="1">
      <x:alignment horizontal="right" vertical="top" wrapText="1"/>
    </x:xf>
    <x:xf numFmtId="201" fontId="1" fillId="0" borderId="3" xfId="0" applyNumberFormat="1" applyFont="1" applyFill="1" applyBorder="1" applyAlignment="1">
      <x:alignment horizontal="right" vertical="top" wrapText="1"/>
    </x:xf>
    <x:xf numFmtId="200" fontId="1" fillId="3" borderId="2" xfId="0" applyNumberFormat="1" applyFont="1" applyFill="1" applyBorder="1" applyAlignment="1">
      <x:alignment horizontal="right" vertical="top" wrapText="1"/>
    </x:xf>
    <x:xf numFmtId="201" fontId="1" fillId="3" borderId="2" xfId="0" applyNumberFormat="1" applyFont="1" applyFill="1" applyBorder="1" applyAlignment="1">
      <x:alignment horizontal="right" vertical="top" wrapText="1"/>
    </x:xf>
    <x:xf numFmtId="200" fontId="1" fillId="3" borderId="3" xfId="0" applyNumberFormat="1" applyFont="1" applyFill="1" applyBorder="1" applyAlignment="1">
      <x:alignment horizontal="right" vertical="top" wrapText="1"/>
    </x:xf>
    <x:xf numFmtId="201" fontId="1" fillId="3" borderId="3" xfId="0" applyNumberFormat="1" applyFont="1" applyFill="1" applyBorder="1" applyAlignment="1">
      <x:alignment horizontal="right" vertical="top" wrapText="1"/>
    </x:xf>
    <x:xf numFmtId="0" fontId="1"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2" fontId="1" fillId="0" borderId="1" xfId="0" applyNumberFormat="1" applyFont="1" applyFill="1" applyBorder="1" applyAlignment="1">
      <x:alignment vertical="top" wrapText="1"/>
    </x:xf>
    <x:xf numFmtId="202" fontId="1" fillId="0" borderId="2" xfId="0" applyNumberFormat="1" applyFont="1" applyFill="1" applyBorder="1" applyAlignment="1">
      <x:alignment vertical="top" wrapText="1"/>
    </x:xf>
    <x:xf numFmtId="202" fontId="1" fillId="0" borderId="3" xfId="0" applyNumberFormat="1" applyFont="1" applyFill="1" applyBorder="1" applyAlignment="1">
      <x:alignment vertical="top" wrapText="1"/>
    </x:xf>
    <x:xf numFmtId="202" fontId="1" fillId="0" borderId="1" xfId="0" applyNumberFormat="1" applyFont="1" applyFill="1" applyBorder="1" applyAlignment="1">
      <x:alignment horizontal="right" vertical="top" wrapText="1"/>
    </x:xf>
    <x:xf numFmtId="202" fontId="1" fillId="0" borderId="2" xfId="0" applyNumberFormat="1" applyFont="1" applyFill="1" applyBorder="1" applyAlignment="1">
      <x:alignment horizontal="right" vertical="top" wrapText="1"/>
    </x:xf>
    <x:xf numFmtId="202" fontId="1" fillId="0" borderId="3" xfId="0" applyNumberFormat="1" applyFont="1" applyFill="1" applyBorder="1" applyAlignment="1">
      <x:alignment horizontal="right" vertical="top" wrapText="1"/>
    </x:xf>
    <x:xf numFmtId="202" fontId="1" fillId="3" borderId="2" xfId="0" applyNumberFormat="1" applyFont="1" applyFill="1" applyBorder="1" applyAlignment="1">
      <x:alignment horizontal="right" vertical="top" wrapText="1"/>
    </x:xf>
    <x:xf numFmtId="0" fontId="1" fillId="3"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2" fontId="1" fillId="3" borderId="3" xfId="0" applyNumberFormat="1" applyFont="1" applyFill="1" applyBorder="1" applyAlignment="1">
      <x:alignment horizontal="right" vertical="top" wrapText="1"/>
    </x:xf>
    <x:xf numFmtId="0" fontId="1" fillId="3"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3" fontId="1" fillId="0" borderId="1" xfId="0" applyNumberFormat="1" applyFont="1" applyFill="1" applyBorder="1" applyAlignment="1">
      <x:alignment vertical="top" wrapText="1"/>
    </x:xf>
    <x:xf numFmtId="203" fontId="1" fillId="0" borderId="2" xfId="0" applyNumberFormat="1" applyFont="1" applyFill="1" applyBorder="1" applyAlignment="1">
      <x:alignment vertical="top" wrapText="1"/>
    </x:xf>
    <x:xf numFmtId="203" fontId="1" fillId="0" borderId="3" xfId="0" applyNumberFormat="1" applyFont="1" applyFill="1" applyBorder="1" applyAlignment="1">
      <x:alignment vertical="top" wrapText="1"/>
    </x:xf>
    <x:xf numFmtId="203" fontId="1" fillId="0" borderId="1" xfId="0" applyNumberFormat="1" applyFont="1" applyFill="1" applyBorder="1" applyAlignment="1">
      <x:alignment horizontal="right" vertical="top" wrapText="1"/>
    </x:xf>
    <x:xf numFmtId="203" fontId="1" fillId="0" borderId="2" xfId="0" applyNumberFormat="1" applyFont="1" applyFill="1" applyBorder="1" applyAlignment="1">
      <x:alignment horizontal="right" vertical="top" wrapText="1"/>
    </x:xf>
    <x:xf numFmtId="203" fontId="1" fillId="0" borderId="3" xfId="0" applyNumberFormat="1" applyFont="1" applyFill="1" applyBorder="1" applyAlignment="1">
      <x:alignment horizontal="right" vertical="top" wrapText="1"/>
    </x:xf>
    <x:xf numFmtId="203" fontId="1" fillId="3" borderId="2" xfId="0" applyNumberFormat="1" applyFont="1" applyFill="1" applyBorder="1" applyAlignment="1">
      <x:alignment horizontal="right" vertical="top" wrapText="1"/>
    </x:xf>
    <x:xf numFmtId="203" fontId="1" fillId="3" borderId="3" xfId="0" applyNumberFormat="1" applyFont="1" applyFill="1" applyBorder="1" applyAlignment="1">
      <x:alignment horizontal="right" vertical="top" wrapText="1"/>
    </x:xf>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1" fillId="4" borderId="0" xfId="0" applyNumberFormat="1" applyFont="1" applyFill="1" applyBorder="1" applyAlignment="1">
      <x:alignment vertical="center"/>
    </x:xf>
    <x:xf numFmtId="204" fontId="1" fillId="4" borderId="0" xfId="0" applyNumberFormat="1" applyFont="1" applyFill="1" applyBorder="1" applyAlignment="1">
      <x:alignment vertical="center"/>
    </x:xf>
    <x:xf numFmtId="203" fontId="1" fillId="4" borderId="0" xfId="0" applyNumberFormat="1" applyFont="1" applyFill="1" applyBorder="1" applyAlignment="1">
      <x:alignment vertical="center"/>
    </x:xf>
    <x:xf numFmtId="203"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201" fontId="1" fillId="4"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1" fillId="3" borderId="0" xfId="0" applyNumberFormat="1" applyFont="1" applyFill="1" applyBorder="1" applyAlignment="1">
      <x:alignment vertical="center"/>
    </x:xf>
    <x:xf numFmtId="0" fontId="1" fillId="5" borderId="0" xfId="0" applyNumberFormat="1" applyFont="1" applyFill="1" applyBorder="1" applyAlignment="1">
      <x:alignment vertical="center"/>
    </x:xf>
    <x:xf numFmtId="0" fontId="5" fillId="5"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5" fillId="5" borderId="0" xfId="0" applyNumberFormat="1" applyFont="1" applyFill="1" applyBorder="1" applyAlignment="1">
      <x:alignment vertical="center" wrapText="1"/>
    </x:xf>
    <x:xf numFmtId="201" fontId="1" fillId="3" borderId="0" xfId="0" applyNumberFormat="1" applyFont="1" applyFill="1" applyBorder="1" applyAlignment="1">
      <x:alignment vertical="center"/>
    </x:xf>
    <x:xf numFmtId="203" fontId="1" fillId="3" borderId="0" xfId="0" applyNumberFormat="1" applyFont="1" applyFill="1" applyBorder="1" applyAlignment="1">
      <x:alignment vertical="center"/>
    </x:xf>
    <x:xf numFmtId="201" fontId="5" fillId="5"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9b998fbc2df4f77" /><Relationship Type="http://schemas.openxmlformats.org/officeDocument/2006/relationships/theme" Target="/xl/theme/theme1.xml" Id="R3a38e5590c95495f" /><Relationship Type="http://schemas.microsoft.com/office/2022/11/relationships/FeaturePropertyBag" Target="/xl/featurePropertyBag/featurePropertyBag.xml" Id="R957a629a14354a6e" /><Relationship Type="http://schemas.openxmlformats.org/officeDocument/2006/relationships/sharedStrings" Target="/xl/sharedStrings.xml" Id="Rf2d01aba09d1493c" /><Relationship Type="http://schemas.openxmlformats.org/officeDocument/2006/relationships/worksheet" Target="/xl/worksheets/sheet1.xml" Id="R49b3534b9fd04b0a" /><Relationship Type="http://schemas.openxmlformats.org/officeDocument/2006/relationships/worksheet" Target="/xl/worksheets/sheet2.xml" Id="R76158245ced841b2" /><Relationship Type="http://schemas.openxmlformats.org/officeDocument/2006/relationships/worksheet" Target="/xl/worksheets/sheet3.xml" Id="Re52fcfeb24874981" /><Relationship Type="http://schemas.openxmlformats.org/officeDocument/2006/relationships/worksheet" Target="/xl/worksheets/sheet4.xml" Id="Rcbeb6cea2d684c36" /><Relationship Type="http://schemas.openxmlformats.org/officeDocument/2006/relationships/worksheet" Target="/xl/worksheets/sheet5.xml" Id="R77d3d27eb3f84454" /><Relationship Type="http://schemas.openxmlformats.org/officeDocument/2006/relationships/worksheet" Target="/xl/worksheets/sheet6.xml" Id="R2df395897e8848f0" /><Relationship Type="http://schemas.openxmlformats.org/officeDocument/2006/relationships/worksheet" Target="/xl/worksheets/sheet7.xml" Id="R3dfc9f496d994ad1" /><Relationship Type="http://schemas.openxmlformats.org/officeDocument/2006/relationships/worksheet" Target="/xl/worksheets/sheet8.xml" Id="R3a93a1ca84544804" /><Relationship Type="http://schemas.openxmlformats.org/officeDocument/2006/relationships/worksheet" Target="/xl/worksheets/sheet9.xml" Id="R12dfebce65014481" /><Relationship Type="http://schemas.openxmlformats.org/officeDocument/2006/relationships/worksheet" Target="/xl/worksheets/sheet10.xml" Id="R670002396a534c5e" /><Relationship Type="http://schemas.openxmlformats.org/officeDocument/2006/relationships/worksheet" Target="/xl/worksheets/sheet11.xml" Id="R650ca4b539874a06" /><Relationship Type="http://schemas.openxmlformats.org/officeDocument/2006/relationships/worksheet" Target="/xl/worksheets/sheet12.xml" Id="R42d86d2d718f4dd7" /><Relationship Type="http://schemas.openxmlformats.org/officeDocument/2006/relationships/worksheet" Target="/xl/worksheets/sheet13.xml" Id="R0d46bc5203f4429b" /><Relationship Type="http://schemas.openxmlformats.org/officeDocument/2006/relationships/worksheet" Target="/xl/worksheets/sheet14.xml" Id="Rcf50e7d0862f40bf" /><Relationship Type="http://schemas.openxmlformats.org/officeDocument/2006/relationships/worksheet" Target="/xl/worksheets/sheet15.xml" Id="R38a9a984200a4f4e" /><Relationship Type="http://schemas.openxmlformats.org/officeDocument/2006/relationships/worksheet" Target="/xl/worksheets/sheet16.xml" Id="Rfd41bc2065604815" /><Relationship Type="http://schemas.openxmlformats.org/officeDocument/2006/relationships/worksheet" Target="/xl/worksheets/sheet17.xml" Id="R0ef5da0046bb419d" /><Relationship Type="http://schemas.openxmlformats.org/officeDocument/2006/relationships/worksheet" Target="/xl/worksheets/sheet18.xml" Id="R13fe6a363e814ba8" /><Relationship Type="http://schemas.openxmlformats.org/officeDocument/2006/relationships/worksheet" Target="/xl/worksheets/sheet19.xml" Id="Rbda7c23a2d574f31" /><Relationship Type="http://schemas.openxmlformats.org/officeDocument/2006/relationships/worksheet" Target="/xl/worksheets/sheet20.xml" Id="R4f5da8fa47e04dd0" /><Relationship Type="http://schemas.openxmlformats.org/officeDocument/2006/relationships/worksheet" Target="/xl/worksheets/sheet21.xml" Id="Rc8a7ea5548604324" /><Relationship Type="http://schemas.openxmlformats.org/officeDocument/2006/relationships/worksheet" Target="/xl/worksheets/sheet22.xml" Id="R7df8e36add234e44" /><Relationship Type="http://schemas.openxmlformats.org/officeDocument/2006/relationships/worksheet" Target="/xl/worksheets/sheet23.xml" Id="R8e6255f1adcf4c8e" /><Relationship Type="http://schemas.openxmlformats.org/officeDocument/2006/relationships/worksheet" Target="/xl/worksheets/sheet24.xml" Id="R4df14ed782a34a28" /><Relationship Type="http://schemas.openxmlformats.org/officeDocument/2006/relationships/worksheet" Target="/xl/worksheets/sheet25.xml" Id="R447e7a16e6b24187" /><Relationship Type="http://schemas.openxmlformats.org/officeDocument/2006/relationships/worksheet" Target="/xl/worksheets/sheet26.xml" Id="R0c971fe6f0d24aaf" /><Relationship Type="http://schemas.openxmlformats.org/officeDocument/2006/relationships/worksheet" Target="/xl/worksheets/sheet27.xml" Id="R35fc646f2654416e" /><Relationship Type="http://schemas.openxmlformats.org/officeDocument/2006/relationships/worksheet" Target="/xl/worksheets/sheet28.xml" Id="R23ef8035e1674455" /><Relationship Type="http://schemas.openxmlformats.org/officeDocument/2006/relationships/worksheet" Target="/xl/worksheets/sheet29.xml" Id="R0e085495daf84f28" /><Relationship Type="http://schemas.openxmlformats.org/officeDocument/2006/relationships/worksheet" Target="/xl/worksheets/sheet30.xml" Id="R24aa571884534b10" /><Relationship Type="http://schemas.openxmlformats.org/officeDocument/2006/relationships/worksheet" Target="/xl/worksheets/sheet31.xml" Id="Rdf409a1dc2684d1f" /><Relationship Type="http://schemas.openxmlformats.org/officeDocument/2006/relationships/worksheet" Target="/xl/worksheets/sheet32.xml" Id="R038dd69a65654e3e" /><Relationship Type="http://schemas.openxmlformats.org/officeDocument/2006/relationships/worksheet" Target="/xl/worksheets/sheet33.xml" Id="Rac1a071da12c4af4" /><Relationship Type="http://schemas.openxmlformats.org/officeDocument/2006/relationships/worksheet" Target="/xl/worksheets/sheet34.xml" Id="R15bf4c38cd9348b1" /><Relationship Type="http://schemas.openxmlformats.org/officeDocument/2006/relationships/worksheet" Target="/xl/worksheets/sheet35.xml" Id="R7124d95886f146d9" /><Relationship Type="http://schemas.openxmlformats.org/officeDocument/2006/relationships/worksheet" Target="/xl/worksheets/sheet36.xml" Id="Rc54d4ad6a87b4686" /><Relationship Type="http://schemas.openxmlformats.org/officeDocument/2006/relationships/worksheet" Target="/xl/worksheets/sheet37.xml" Id="R4aa8e3aa1ef240b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able_overview" displayName="Table_overview" ref="A5:D23" headerRowCount="1" totalsRowCount="0" totalsRowShown="0">
  <x:autoFilter ref="A5:D23"/>
  <x:tableColumns count="4">
    <x:tableColumn id="1" name="编号"/>
    <x:tableColumn id="2" name="主题"/>
    <x:tableColumn id="3" name="设计内容"/>
    <x:tableColumn id="4" name="玩家体验"/>
  </x:tableColumns>
  <x:tableStyleInfo name="TableStyleMedium2" showFirstColumn="0" showLastColumn="0" showRowStripes="1" showColumnStripes="0"/>
</x:table>
</file>

<file path=xl/tables/table2.xml><?xml version="1.0" encoding="utf-8"?>
<x:table xmlns:x="http://schemas.openxmlformats.org/spreadsheetml/2006/main" id="2" name="Table_regions" displayName="Table_regions" ref="A5:H17" headerRowCount="1" totalsRowCount="0" totalsRowShown="0">
  <x:autoFilter ref="A5:H17"/>
  <x:tableColumns count="8">
    <x:tableColumn id="1" name="海域ID"/>
    <x:tableColumn id="2" name="海域"/>
    <x:tableColumn id="3" name="经济与文化识别"/>
    <x:tableColumn id="4" name="船文化"/>
    <x:tableColumn id="5" name="视觉色彩与形态"/>
    <x:tableColumn id="6" name="季节经济"/>
    <x:tableColumn id="7" name="航行特点"/>
    <x:tableColumn id="8" name="港口数"/>
  </x:tableColumns>
  <x:tableStyleInfo name="TableStyleMedium2" showFirstColumn="0" showLastColumn="0" showRowStripes="1" showColumnStripes="0"/>
</x:table>
</file>

<file path=xl/tables/table3.xml><?xml version="1.0" encoding="utf-8"?>
<x:table xmlns:x="http://schemas.openxmlformats.org/spreadsheetml/2006/main" id="3" name="Table_ports" displayName="Table_ports" ref="A5:T125" headerRowCount="1" totalsRowCount="0" totalsRowShown="0">
  <x:autoFilter ref="A5:T125"/>
  <x:tableColumns count="20">
    <x:tableColumn id="1" name="港口ID"/>
    <x:tableColumn id="2" name="港口"/>
    <x:tableColumn id="3" name="文化海域"/>
    <x:tableColumn id="4" name="现代地名"/>
    <x:tableColumn id="5" name="地理位置"/>
    <x:tableColumn id="6" name="纬度"/>
    <x:tableColumn id="7" name="经度"/>
    <x:tableColumn id="8" name="港口类型"/>
    <x:tableColumn id="9" name="初始发展点数"/>
    <x:tableColumn id="10" name="初始武装点数"/>
    <x:tableColumn id="11" name="场景辨识"/>
    <x:tableColumn id="12" name="经济定位"/>
    <x:tableColumn id="13" name="船厂文化"/>
    <x:tableColumn id="14" name="本地需求"/>
    <x:tableColumn id="15" name="特色建设项目"/>
    <x:tableColumn id="16" name="特产ID"/>
    <x:tableColumn id="17" name="独特特产"/>
    <x:tableColumn id="18" name="历史与架空处理"/>
    <x:tableColumn id="19" name="坐标说明"/>
    <x:tableColumn id="20" name="资料编号"/>
  </x:tableColumns>
  <x:tableStyleInfo name="TableStyleMedium2" showFirstColumn="0" showLastColumn="0" showRowStripes="1" showColumnStripes="0"/>
</x:table>
</file>

<file path=xl/tables/table4.xml><?xml version="1.0" encoding="utf-8"?>
<x:table xmlns:x="http://schemas.openxmlformats.org/spreadsheetml/2006/main" id="4" name="Table_goods" displayName="Table_goods" ref="A5:N235" headerRowCount="1" totalsRowCount="0" totalsRowShown="0">
  <x:autoFilter ref="A5:N235"/>
  <x:tableColumns count="14">
    <x:tableColumn id="1" name="商品ID"/>
    <x:tableColumn id="2" name="商品名称"/>
    <x:tableColumn id="3" name="分类"/>
    <x:tableColumn id="4" name="基础价（银币/单位）"/>
    <x:tableColumn id="5" name="占用货载单位"/>
    <x:tableColumn id="6" name="保质游戏日"/>
    <x:tableColumn id="7" name="供货海域"/>
    <x:tableColumn id="8" name="消费与需求"/>
    <x:tableColumn id="9" name="游戏用途"/>
    <x:tableColumn id="10" name="商品辨识与风味"/>
    <x:tableColumn id="11" name="是否独特特产"/>
    <x:tableColumn id="12" name="独特产地ID"/>
    <x:tableColumn id="13" name="设计与史实说明"/>
    <x:tableColumn id="14" name="资料编号"/>
  </x:tableColumns>
  <x:tableStyleInfo name="TableStyleMedium2" showFirstColumn="0" showLastColumn="0" showRowStripes="1" showColumnStripes="0"/>
</x:table>
</file>

<file path=xl/tables/table5.xml><?xml version="1.0" encoding="utf-8"?>
<x:table xmlns:x="http://schemas.openxmlformats.org/spreadsheetml/2006/main" id="5" name="Table_port_goods" displayName="Table_port_goods" ref="A5:L1090" headerRowCount="1" totalsRowCount="0" totalsRowShown="0">
  <x:autoFilter ref="A5:L1090"/>
  <x:tableColumns count="12">
    <x:tableColumn id="1" name="港口ID"/>
    <x:tableColumn id="2" name="港口"/>
    <x:tableColumn id="3" name="商品ID"/>
    <x:tableColumn id="4" name="商品"/>
    <x:tableColumn id="5" name="D解锁等级"/>
    <x:tableColumn id="6" name="商品基础价"/>
    <x:tableColumn id="7" name="基础周供给"/>
    <x:tableColumn id="8" name="基础库存"/>
    <x:tableColumn id="9" name="当地长期价系数L"/>
    <x:tableColumn id="10" name="供货方式"/>
    <x:tableColumn id="11" name="补货与原产说明"/>
    <x:tableColumn id="12" name="解锁条件"/>
  </x:tableColumns>
  <x:tableStyleInfo name="TableStyleMedium2" showFirstColumn="0" showLastColumn="0" showRowStripes="1" showColumnStripes="0"/>
</x:table>
</file>

<file path=xl/tables/table6.xml><?xml version="1.0" encoding="utf-8"?>
<x:table xmlns:x="http://schemas.openxmlformats.org/spreadsheetml/2006/main" id="6" name="Table_specialties" displayName="Table_specialties" ref="A5:K125" headerRowCount="1" totalsRowCount="0" totalsRowShown="0">
  <x:autoFilter ref="A5:K125"/>
  <x:tableColumns count="11">
    <x:tableColumn id="1" name="港口ID"/>
    <x:tableColumn id="2" name="港口"/>
    <x:tableColumn id="3" name="特产ID"/>
    <x:tableColumn id="4" name="独特特产"/>
    <x:tableColumn id="5" name="分类"/>
    <x:tableColumn id="6" name="基础价"/>
    <x:tableColumn id="7" name="D解锁等级"/>
    <x:tableColumn id="8" name="特色项目"/>
    <x:tableColumn id="9" name="外观与辨识"/>
    <x:tableColumn id="10" name="用途"/>
    <x:tableColumn id="11" name="独特解锁"/>
  </x:tableColumns>
  <x:tableStyleInfo name="TableStyleMedium2" showFirstColumn="0" showLastColumn="0" showRowStripes="1" showColumnStripes="0"/>
</x:table>
</file>

<file path=xl/tables/table7.xml><?xml version="1.0" encoding="utf-8"?>
<x:table xmlns:x="http://schemas.openxmlformats.org/spreadsheetml/2006/main" id="7" name="Table_investment" displayName="Table_investment" ref="A5:K17" headerRowCount="1" totalsRowCount="0" totalsRowShown="0">
  <x:autoFilter ref="A5:K17"/>
  <x:tableColumns count="11">
    <x:tableColumn id="1" name="编号"/>
    <x:tableColumn id="2" name="轴线"/>
    <x:tableColumn id="3" name="等级"/>
    <x:tableColumn id="4" name="所需点数"/>
    <x:tableColumn id="5" name="从零累计投资银币"/>
    <x:tableColumn id="6" name="本阶新增投资银币"/>
    <x:tableColumn id="7" name="建设游戏日"/>
    <x:tableColumn id="8" name="核心解锁"/>
    <x:tableColumn id="9" name="具体商品或船型"/>
    <x:tableColumn id="10" name="世界变化"/>
    <x:tableColumn id="11" name="投资规则"/>
  </x:tableColumns>
  <x:tableStyleInfo name="TableStyleMedium2" showFirstColumn="0" showLastColumn="0" showRowStripes="1" showColumnStripes="0"/>
</x:table>
</file>

<file path=xl/tables/table8.xml><?xml version="1.0" encoding="utf-8"?>
<x:table xmlns:x="http://schemas.openxmlformats.org/spreadsheetml/2006/main" id="8" name="Table_regional_demand" displayName="Table_regional_demand" ref="A5:F209" headerRowCount="1" totalsRowCount="0" totalsRowShown="0">
  <x:autoFilter ref="A5:F209"/>
  <x:tableColumns count="6">
    <x:tableColumn id="1" name="海域ID"/>
    <x:tableColumn id="2" name="海域"/>
    <x:tableColumn id="3" name="商品分类"/>
    <x:tableColumn id="4" name="长期价系数"/>
    <x:tableColumn id="5" name="适用范围"/>
    <x:tableColumn id="6" name="数值含义"/>
  </x:tableColumns>
  <x:tableStyleInfo name="TableStyleMedium2" showFirstColumn="0" showLastColumn="0" showRowStripes="1" showColumnStripes="0"/>
</x:table>
</file>

<file path=xl/tables/table9.xml><?xml version="1.0" encoding="utf-8"?>
<x:table xmlns:x="http://schemas.openxmlformats.org/spreadsheetml/2006/main" id="9" name="Table_economy" displayName="Table_economy" ref="A5:E34" headerRowCount="1" totalsRowCount="0" totalsRowShown="0">
  <x:autoFilter ref="A5:E34"/>
  <x:tableColumns count="5">
    <x:tableColumn id="1" name="编号"/>
    <x:tableColumn id="2" name="模块"/>
    <x:tableColumn id="3" name="规则或公式"/>
    <x:tableColumn id="4" name="玩家操作"/>
    <x:tableColumn id="5" name="可见反馈"/>
  </x:tableColumns>
  <x:tableStyleInfo name="TableStyleMedium2" showFirstColumn="0" showLastColumn="0" showRowStripes="1" showColumnStripes="0"/>
</x:table>
</file>

<file path=xl/tables/table10.xml><?xml version="1.0" encoding="utf-8"?>
<x:table xmlns:x="http://schemas.openxmlformats.org/spreadsheetml/2006/main" id="10" name="Table_routes" displayName="Table_routes" ref="A5:I29" headerRowCount="1" totalsRowCount="0" totalsRowShown="0">
  <x:autoFilter ref="A5:I29"/>
  <x:tableColumns count="9">
    <x:tableColumn id="1" name="航线ID"/>
    <x:tableColumn id="2" name="航线"/>
    <x:tableColumn id="3" name="港口顺序"/>
    <x:tableColumn id="4" name="去程货物"/>
    <x:tableColumn id="5" name="回程货物"/>
    <x:tableColumn id="6" name="航季"/>
    <x:tableColumn id="7" name="玩法定位"/>
    <x:tableColumn id="8" name="主要决策与故事"/>
    <x:tableColumn id="9" name="地图路径说明"/>
  </x:tableColumns>
  <x:tableStyleInfo name="TableStyleMedium2" showFirstColumn="0" showLastColumn="0" showRowStripes="1" showColumnStripes="0"/>
</x:table>
</file>

<file path=xl/tables/table11.xml><?xml version="1.0" encoding="utf-8"?>
<x:table xmlns:x="http://schemas.openxmlformats.org/spreadsheetml/2006/main" id="11" name="Table_route_cargo" displayName="Table_route_cargo" ref="A5:J149" headerRowCount="1" totalsRowCount="0" totalsRowShown="0">
  <x:autoFilter ref="A5:J149"/>
  <x:tableColumns count="10">
    <x:tableColumn id="1" name="航线ID"/>
    <x:tableColumn id="2" name="航线"/>
    <x:tableColumn id="3" name="方向"/>
    <x:tableColumn id="4" name="商品ID"/>
    <x:tableColumn id="5" name="商品"/>
    <x:tableColumn id="6" name="采购港ID"/>
    <x:tableColumn id="7" name="采购港"/>
    <x:tableColumn id="8" name="D解锁等级"/>
    <x:tableColumn id="9" name="基础价（银币）"/>
    <x:tableColumn id="10" name="供货方式"/>
  </x:tableColumns>
  <x:tableStyleInfo name="TableStyleMedium2" showFirstColumn="0" showLastColumn="0" showRowStripes="1" showColumnStripes="0"/>
</x:table>
</file>

<file path=xl/tables/table12.xml><?xml version="1.0" encoding="utf-8"?>
<x:table xmlns:x="http://schemas.openxmlformats.org/spreadsheetml/2006/main" id="12" name="Table_events" displayName="Table_events" ref="A5:I37" headerRowCount="1" totalsRowCount="0" totalsRowShown="0">
  <x:autoFilter ref="A5:I37"/>
  <x:tableColumns count="9">
    <x:tableColumn id="1" name="编号"/>
    <x:tableColumn id="2" name="事件"/>
    <x:tableColumn id="3" name="地区或港口"/>
    <x:tableColumn id="4" name="影响商品分类"/>
    <x:tableColumn id="5" name="E或T系数"/>
    <x:tableColumn id="6" name="持续游戏日"/>
    <x:tableColumn id="7" name="触发"/>
    <x:tableColumn id="8" name="玩家机会"/>
    <x:tableColumn id="9" name="解除或变化"/>
  </x:tableColumns>
  <x:tableStyleInfo name="TableStyleMedium2" showFirstColumn="0" showLastColumn="0" showRowStripes="1" showColumnStripes="0"/>
</x:table>
</file>

<file path=xl/tables/table13.xml><?xml version="1.0" encoding="utf-8"?>
<x:table xmlns:x="http://schemas.openxmlformats.org/spreadsheetml/2006/main" id="13" name="Table_workshops" displayName="Table_workshops" ref="A5:J17" headerRowCount="1" totalsRowCount="0" totalsRowShown="0">
  <x:autoFilter ref="A5:J17"/>
  <x:tableColumns count="10">
    <x:tableColumn id="1" name="工坊ID"/>
    <x:tableColumn id="2" name="港口"/>
    <x:tableColumn id="3" name="工坊主题"/>
    <x:tableColumn id="4" name="原料方向"/>
    <x:tableColumn id="5" name="产品方向"/>
    <x:tableColumn id="6" name="条件"/>
    <x:tableColumn id="7" name="加工游戏日"/>
    <x:tableColumn id="8" name="工艺解锁"/>
    <x:tableColumn id="9" name="关联改造ID"/>
    <x:tableColumn id="10" name="关联玩法"/>
  </x:tableColumns>
  <x:tableStyleInfo name="TableStyleMedium2" showFirstColumn="0" showLastColumn="0" showRowStripes="1" showColumnStripes="0"/>
</x:table>
</file>

<file path=xl/tables/table14.xml><?xml version="1.0" encoding="utf-8"?>
<x:table xmlns:x="http://schemas.openxmlformats.org/spreadsheetml/2006/main" id="14" name="Table_ships" displayName="Table_ships" ref="A5:AA77" headerRowCount="1" totalsRowCount="0" totalsRowShown="0">
  <x:autoFilter ref="A5:AA77"/>
  <x:tableColumns count="27">
    <x:tableColumn id="1" name="船型ID"/>
    <x:tableColumn id="2" name="船名与型号"/>
    <x:tableColumn id="3" name="形制"/>
    <x:tableColumn id="4" name="文化"/>
    <x:tableColumn id="5" name="建造港"/>
    <x:tableColumn id="6" name="A解锁等级"/>
    <x:tableColumn id="7" name="建造价（银币）"/>
    <x:tableColumn id="8" name="建造游戏日"/>
    <x:tableColumn id="9" name="船体耐久"/>
    <x:tableColumn id="10" name="装甲值"/>
    <x:tableColumn id="11" name="基础节速"/>
    <x:tableColumn id="12" name="转向值"/>
    <x:tableColumn id="13" name="吃水（米）"/>
    <x:tableColumn id="14" name="货载容量"/>
    <x:tableColumn id="15" name="最低水手"/>
    <x:tableColumn id="16" name="最大水手"/>
    <x:tableColumn id="17" name="每舷炮位"/>
    <x:tableColumn id="18" name="艏炮位"/>
    <x:tableColumn id="19" name="艉炮位"/>
    <x:tableColumn id="20" name="甲板武器位"/>
    <x:tableColumn id="21" name="单安装点限重（吨）"/>
    <x:tableColumn id="22" name="帆装"/>
    <x:tableColumn id="23" name="桨速（节）"/>
    <x:tableColumn id="24" name="改造槽位"/>
    <x:tableColumn id="25" name="水手编制定义"/>
    <x:tableColumn id="26" name="基础航速条件"/>
    <x:tableColumn id="27" name="船厂港口ID"/>
  </x:tableColumns>
  <x:tableStyleInfo name="TableStyleMedium2" showFirstColumn="0" showLastColumn="0" showRowStripes="1" showColumnStripes="0"/>
</x:table>
</file>

<file path=xl/tables/table15.xml><?xml version="1.0" encoding="utf-8"?>
<x:table xmlns:x="http://schemas.openxmlformats.org/spreadsheetml/2006/main" id="15" name="Table_ship_tactics" displayName="Table_ship_tactics" ref="A5:K77" headerRowCount="1" totalsRowCount="0" totalsRowShown="0">
  <x:autoFilter ref="A5:K77"/>
  <x:tableColumns count="11">
    <x:tableColumn id="1" name="船型ID"/>
    <x:tableColumn id="2" name="船型"/>
    <x:tableColumn id="3" name="定位"/>
    <x:tableColumn id="4" name="专属能力"/>
    <x:tableColumn id="5" name="玩家操作"/>
    <x:tableColumn id="6" name="具体能力参数"/>
    <x:tableColumn id="7" name="操作代价与弱项"/>
    <x:tableColumn id="8" name="船体剪影"/>
    <x:tableColumn id="9" name="建造条件"/>
    <x:tableColumn id="10" name="历史形制与架空融合"/>
    <x:tableColumn id="11" name="资料编号"/>
  </x:tableColumns>
  <x:tableStyleInfo name="TableStyleMedium2" showFirstColumn="0" showLastColumn="0" showRowStripes="1" showColumnStripes="0"/>
</x:table>
</file>

<file path=xl/tables/table16.xml><?xml version="1.0" encoding="utf-8"?>
<x:table xmlns:x="http://schemas.openxmlformats.org/spreadsheetml/2006/main" id="16" name="Table_modifications" displayName="Table_modifications" ref="A5:Z77" headerRowCount="1" totalsRowCount="0" totalsRowShown="0">
  <x:autoFilter ref="A5:Z77"/>
  <x:tableColumns count="26">
    <x:tableColumn id="1" name="改造ID"/>
    <x:tableColumn id="2" name="改造"/>
    <x:tableColumn id="3" name="分类"/>
    <x:tableColumn id="4" name="占用槽位"/>
    <x:tableColumn id="5" name="文化"/>
    <x:tableColumn id="6" name="原产港"/>
    <x:tableColumn id="7" name="D等级"/>
    <x:tableColumn id="8" name="A等级"/>
    <x:tableColumn id="9" name="现金工费（银币）"/>
    <x:tableColumn id="10" name="安装游戏日"/>
    <x:tableColumn id="11" name="另交材料"/>
    <x:tableColumn id="12" name="材料基础总价"/>
    <x:tableColumn id="13" name="作用说明"/>
    <x:tableColumn id="14" name="效果参数"/>
    <x:tableColumn id="15" name="操作与性能代价"/>
    <x:tableColumn id="16" name="代价参数"/>
    <x:tableColumn id="17" name="外观变化"/>
    <x:tableColumn id="18" name="独特解锁"/>
    <x:tableColumn id="19" name="适用船型条件"/>
    <x:tableColumn id="20" name="适用船型ID"/>
    <x:tableColumn id="21" name="排他组"/>
    <x:tableColumn id="22" name="每船最多安装"/>
    <x:tableColumn id="23" name="可叠加"/>
    <x:tableColumn id="24" name="材料与工费计价"/>
    <x:tableColumn id="25" name="历史与原创处理"/>
    <x:tableColumn id="26" name="资料编号"/>
  </x:tableColumns>
  <x:tableStyleInfo name="TableStyleMedium2" showFirstColumn="0" showLastColumn="0" showRowStripes="1" showColumnStripes="0"/>
</x:table>
</file>

<file path=xl/tables/table17.xml><?xml version="1.0" encoding="utf-8"?>
<x:table xmlns:x="http://schemas.openxmlformats.org/spreadsheetml/2006/main" id="17" name="Table_weapons" displayName="Table_weapons" ref="A5:AE65" headerRowCount="1" totalsRowCount="0" totalsRowShown="0">
  <x:autoFilter ref="A5:AE65"/>
  <x:tableColumns count="31">
    <x:tableColumn id="1" name="武器ID"/>
    <x:tableColumn id="2" name="名称"/>
    <x:tableColumn id="3" name="分类"/>
    <x:tableColumn id="4" name="武器子类"/>
    <x:tableColumn id="5" name="文化"/>
    <x:tableColumn id="6" name="产地港"/>
    <x:tableColumn id="7" name="D解锁等级"/>
    <x:tableColumn id="8" name="A解锁等级"/>
    <x:tableColumn id="9" name="价格（银币）"/>
    <x:tableColumn id="10" name="购买单位"/>
    <x:tableColumn id="11" name="射程（米）"/>
    <x:tableColumn id="12" name="装填（秒）"/>
    <x:tableColumn id="13" name="基础伤害"/>
    <x:tableColumn id="14" name="穿甲值"/>
    <x:tableColumn id="15" name="基础命中率（%）"/>
    <x:tableColumn id="16" name="可装位置"/>
    <x:tableColumn id="17" name="占用武器位"/>
    <x:tableColumn id="18" name="弹重规格（磅）"/>
    <x:tableColumn id="19" name="重量（吨）"/>
    <x:tableColumn id="20" name="战术用途"/>
    <x:tableColumn id="21" name="弱点"/>
    <x:tableColumn id="22" name="独特效果参数"/>
    <x:tableColumn id="23" name="兼容弹药"/>
    <x:tableColumn id="24" name="历史与设计"/>
    <x:tableColumn id="25" name="资料编号"/>
    <x:tableColumn id="26" name="参数含义"/>
    <x:tableColumn id="27" name="兼容弹药ID"/>
    <x:tableColumn id="28" name="弹药消耗规则"/>
    <x:tableColumn id="29" name="币种"/>
    <x:tableColumn id="30" name="每次购买发数"/>
    <x:tableColumn id="31" name="使用周期"/>
  </x:tableColumns>
  <x:tableStyleInfo name="TableStyleMedium2" showFirstColumn="0" showLastColumn="0" showRowStripes="1" showColumnStripes="0"/>
</x:table>
</file>

<file path=xl/tables/table18.xml><?xml version="1.0" encoding="utf-8"?>
<x:table xmlns:x="http://schemas.openxmlformats.org/spreadsheetml/2006/main" id="18" name="Table_combat_rules" displayName="Table_combat_rules" ref="A5:J37" headerRowCount="1" totalsRowCount="0" totalsRowShown="0">
  <x:autoFilter ref="A5:J37"/>
  <x:tableColumns count="10">
    <x:tableColumn id="1" name="编号"/>
    <x:tableColumn id="2" name="名称"/>
    <x:tableColumn id="3" name="规则环节"/>
    <x:tableColumn id="4" name="玩家操作"/>
    <x:tableColumn id="5" name="处理与结算"/>
    <x:tableColumn id="6" name="界面反馈"/>
    <x:tableColumn id="7" name="基础参数"/>
    <x:tableColumn id="8" name="关联船上职位"/>
    <x:tableColumn id="9" name="实际操作示例"/>
    <x:tableColumn id="10" name="资料编号"/>
  </x:tableColumns>
  <x:tableStyleInfo name="TableStyleMedium2" showFirstColumn="0" showLastColumn="0" showRowStripes="1" showColumnStripes="0"/>
</x:table>
</file>

<file path=xl/tables/table19.xml><?xml version="1.0" encoding="utf-8"?>
<x:table xmlns:x="http://schemas.openxmlformats.org/spreadsheetml/2006/main" id="19" name="Table_formations" displayName="Table_formations" ref="A5:M15" headerRowCount="1" totalsRowCount="0" totalsRowShown="0">
  <x:autoFilter ref="A5:M15"/>
  <x:tableColumns count="13">
    <x:tableColumn id="1" name="编号"/>
    <x:tableColumn id="2" name="名称"/>
    <x:tableColumn id="3" name="最少船数"/>
    <x:tableColumn id="4" name="最多船数"/>
    <x:tableColumn id="5" name="编队相对位置（米）"/>
    <x:tableColumn id="6" name="作战意图"/>
    <x:tableColumn id="7" name="玩家操作"/>
    <x:tableColumn id="8" name="阵型优势"/>
    <x:tableColumn id="9" name="弱点"/>
    <x:tableColumn id="10" name="推荐船型ID"/>
    <x:tableColumn id="11" name="适用海况"/>
    <x:tableColumn id="12" name="坐标说明"/>
    <x:tableColumn id="13" name="资料编号"/>
  </x:tableColumns>
  <x:tableStyleInfo name="TableStyleMedium2" showFirstColumn="0" showLastColumn="0" showRowStripes="1" showColumnStripes="0"/>
</x:table>
</file>

<file path=xl/tables/table20.xml><?xml version="1.0" encoding="utf-8"?>
<x:table xmlns:x="http://schemas.openxmlformats.org/spreadsheetml/2006/main" id="20" name="Table_sea_conditions" displayName="Table_sea_conditions" ref="A5:N17" headerRowCount="1" totalsRowCount="0" totalsRowShown="0">
  <x:autoFilter ref="A5:N17"/>
  <x:tableColumns count="14">
    <x:tableColumn id="1" name="编号"/>
    <x:tableColumn id="2" name="名称"/>
    <x:tableColumn id="3" name="海域"/>
    <x:tableColumn id="4" name="高权重月份"/>
    <x:tableColumn id="5" name="风速（节）"/>
    <x:tableColumn id="6" name="风向变化（度）"/>
    <x:tableColumn id="7" name="浪高（米）"/>
    <x:tableColumn id="8" name="能见度（米）"/>
    <x:tableColumn id="9" name="流速（节）"/>
    <x:tableColumn id="10" name="影响参数"/>
    <x:tableColumn id="11" name="应对动作"/>
    <x:tableColumn id="12" name="HD-2D画面"/>
    <x:tableColumn id="13" name="资料编号"/>
    <x:tableColumn id="14" name="设计说明"/>
  </x:tableColumns>
  <x:tableStyleInfo name="TableStyleMedium2" showFirstColumn="0" showLastColumn="0" showRowStripes="1" showColumnStripes="0"/>
</x:table>
</file>

<file path=xl/tables/table21.xml><?xml version="1.0" encoding="utf-8"?>
<x:table xmlns:x="http://schemas.openxmlformats.org/spreadsheetml/2006/main" id="21" name="Table_encounters" displayName="Table_encounters" ref="A5:P23" headerRowCount="1" totalsRowCount="0" totalsRowShown="0">
  <x:autoFilter ref="A5:P23"/>
  <x:tableColumns count="16">
    <x:tableColumn id="1" name="编号"/>
    <x:tableColumn id="2" name="名称"/>
    <x:tableColumn id="3" name="海域"/>
    <x:tableColumn id="4" name="关联港口ID"/>
    <x:tableColumn id="5" name="关联港口"/>
    <x:tableColumn id="6" name="推荐武装等级"/>
    <x:tableColumn id="7" name="海况ID"/>
    <x:tableColumn id="8" name="敌方舰队"/>
    <x:tableColumn id="9" name="主要目标"/>
    <x:tableColumn id="10" name="行动过程"/>
    <x:tableColumn id="11" name="另一种完成方式"/>
    <x:tableColumn id="12" name="额外目标"/>
    <x:tableColumn id="13" name="奖励"/>
    <x:tableColumn id="14" name="贸易与世界后续"/>
    <x:tableColumn id="15" name="场景瞬间"/>
    <x:tableColumn id="16" name="资料编号"/>
  </x:tableColumns>
  <x:tableStyleInfo name="TableStyleMedium2" showFirstColumn="0" showLastColumn="0" showRowStripes="1" showColumnStripes="0"/>
</x:table>
</file>

<file path=xl/tables/table22.xml><?xml version="1.0" encoding="utf-8"?>
<x:table xmlns:x="http://schemas.openxmlformats.org/spreadsheetml/2006/main" id="22" name="Table_crew" displayName="Table_crew" ref="A5:R77" headerRowCount="1" totalsRowCount="0" totalsRowShown="0">
  <x:autoFilter ref="A5:R77"/>
  <x:tableColumns count="18">
    <x:tableColumn id="1" name="海员ID"/>
    <x:tableColumn id="2" name="姓名"/>
    <x:tableColumn id="3" name="拉丁字母名"/>
    <x:tableColumn id="4" name="年龄"/>
    <x:tableColumn id="5" name="性别"/>
    <x:tableColumn id="6" name="出生地"/>
    <x:tableColumn id="7" name="家乡海域"/>
    <x:tableColumn id="8" name="形象简述"/>
    <x:tableColumn id="9" name="性格与萌属性"/>
    <x:tableColumn id="10" name="主岗位"/>
    <x:tableColumn id="11" name="副岗位"/>
    <x:tableColumn id="12" name="人物背景"/>
    <x:tableColumn id="13" name="个人目标"/>
    <x:tableColumn id="14" name="招募港"/>
    <x:tableColumn id="15" name="具体招募地点"/>
    <x:tableColumn id="16" name="招募条件"/>
    <x:tableColumn id="17" name="签约银币"/>
    <x:tableColumn id="18" name="月薪银币"/>
  </x:tableColumns>
  <x:tableStyleInfo name="TableStyleMedium2" showFirstColumn="0" showLastColumn="0" showRowStripes="1" showColumnStripes="0"/>
</x:table>
</file>

<file path=xl/tables/table23.xml><?xml version="1.0" encoding="utf-8"?>
<x:table xmlns:x="http://schemas.openxmlformats.org/spreadsheetml/2006/main" id="23" name="Table_crew_skills" displayName="Table_crew_skills" ref="A5:P77" headerRowCount="1" totalsRowCount="0" totalsRowShown="0">
  <x:autoFilter ref="A5:P77"/>
  <x:tableColumns count="16">
    <x:tableColumn id="1" name="海员ID"/>
    <x:tableColumn id="2" name="姓名"/>
    <x:tableColumn id="3" name="主岗位"/>
    <x:tableColumn id="4" name="副岗位"/>
    <x:tableColumn id="5" name="航海"/>
    <x:tableColumn id="6" name="炮术"/>
    <x:tableColumn id="7" name="白刃"/>
    <x:tableColumn id="8" name="贸易"/>
    <x:tableColumn id="9" name="学识"/>
    <x:tableColumn id="10" name="统率"/>
    <x:tableColumn id="11" name="主动技能"/>
    <x:tableColumn id="12" name="主动效果"/>
    <x:tableColumn id="13" name="主动冷却"/>
    <x:tableColumn id="14" name="被动技能"/>
    <x:tableColumn id="15" name="被动触发"/>
    <x:tableColumn id="16" name="被动效果"/>
  </x:tableColumns>
  <x:tableStyleInfo name="TableStyleMedium2" showFirstColumn="0" showLastColumn="0" showRowStripes="1" showColumnStripes="0"/>
</x:table>
</file>

<file path=xl/tables/table24.xml><?xml version="1.0" encoding="utf-8"?>
<x:table xmlns:x="http://schemas.openxmlformats.org/spreadsheetml/2006/main" id="24" name="Table_crew_stories" displayName="Table_crew_stories" ref="A5:H77" headerRowCount="1" totalsRowCount="0" totalsRowShown="0">
  <x:autoFilter ref="A5:H77"/>
  <x:tableColumns count="8">
    <x:tableColumn id="1" name="海员ID"/>
    <x:tableColumn id="2" name="姓名"/>
    <x:tableColumn id="3" name="个人任务的三幕"/>
    <x:tableColumn id="4" name="任务解锁"/>
    <x:tableColumn id="5" name="人物关系"/>
    <x:tableColumn id="6" name="喜好"/>
    <x:tableColumn id="7" name="船上日常"/>
    <x:tableColumn id="8" name="个人结局"/>
  </x:tableColumns>
  <x:tableStyleInfo name="TableStyleMedium2" showFirstColumn="0" showLastColumn="0" showRowStripes="1" showColumnStripes="0"/>
</x:table>
</file>

<file path=xl/tables/table25.xml><?xml version="1.0" encoding="utf-8"?>
<x:table xmlns:x="http://schemas.openxmlformats.org/spreadsheetml/2006/main" id="25" name="Table_roles" displayName="Table_roles" ref="A5:G27" headerRowCount="1" totalsRowCount="0" totalsRowShown="0">
  <x:autoFilter ref="A5:G27"/>
  <x:tableColumns count="7">
    <x:tableColumn id="1" name="岗位ID"/>
    <x:tableColumn id="2" name="职位"/>
    <x:tableColumn id="3" name="任命范围"/>
    <x:tableColumn id="4" name="核心作用"/>
    <x:tableColumn id="5" name="对应属性"/>
    <x:tableColumn id="6" name="未任命时"/>
    <x:tableColumn id="7" name="任命规则"/>
  </x:tableColumns>
  <x:tableStyleInfo name="TableStyleMedium2" showFirstColumn="0" showLastColumn="0" showRowStripes="1" showColumnStripes="0"/>
</x:table>
</file>

<file path=xl/tables/table26.xml><?xml version="1.0" encoding="utf-8"?>
<x:table xmlns:x="http://schemas.openxmlformats.org/spreadsheetml/2006/main" id="26" name="Table_relationships" displayName="Table_relationships" ref="A5:K41" headerRowCount="1" totalsRowCount="0" totalsRowShown="0">
  <x:autoFilter ref="A5:K41"/>
  <x:tableColumns count="11">
    <x:tableColumn id="1" name="关系ID"/>
    <x:tableColumn id="2" name="人物A"/>
    <x:tableColumn id="3" name="人物B"/>
    <x:tableColumn id="4" name="关系标题"/>
    <x:tableColumn id="5" name="关系变化"/>
    <x:tableColumn id="6" name="触发"/>
    <x:tableColumn id="7" name="矛盾与转变"/>
    <x:tableColumn id="8" name="连携奖励"/>
    <x:tableColumn id="9" name="代表场景"/>
    <x:tableColumn id="10" name="人物A姓名"/>
    <x:tableColumn id="11" name="人物B姓名"/>
  </x:tableColumns>
  <x:tableStyleInfo name="TableStyleMedium2" showFirstColumn="0" showLastColumn="0" showRowStripes="1" showColumnStripes="0"/>
</x:table>
</file>

<file path=xl/tables/table27.xml><?xml version="1.0" encoding="utf-8"?>
<x:table xmlns:x="http://schemas.openxmlformats.org/spreadsheetml/2006/main" id="27" name="Table_factions" displayName="Table_factions" ref="A5:V29" headerRowCount="1" totalsRowCount="0" totalsRowShown="0">
  <x:autoFilter ref="A5:V29"/>
  <x:tableColumns count="22">
    <x:tableColumn id="1" name="势力ID"/>
    <x:tableColumn id="2" name="海域"/>
    <x:tableColumn id="3" name="势力"/>
    <x:tableColumn id="4" name="势力类型"/>
    <x:tableColumn id="5" name="本部港"/>
    <x:tableColumn id="6" name="领袖"/>
    <x:tableColumn id="7" name="核心利益"/>
    <x:tableColumn id="8" name="商品偏好"/>
    <x:tableColumn id="9" name="舰船文化"/>
    <x:tableColumn id="10" name="对外关系"/>
    <x:tableColumn id="11" name="合作奖励"/>
    <x:tableColumn id="12" name="介入条件"/>
    <x:tableColumn id="13" name="矛盾"/>
    <x:tableColumn id="14" name="投资路线"/>
    <x:tableColumn id="15" name="路线结局"/>
    <x:tableColumn id="16" name="本部港ID"/>
    <x:tableColumn id="17" name="真实与架空"/>
    <x:tableColumn id="18" name="具名精英对手"/>
    <x:tableColumn id="19" name="招牌舰队"/>
    <x:tableColumn id="20" name="海战打法"/>
    <x:tableColumn id="21" name="代表争夺任务"/>
    <x:tableColumn id="22" name="人物与势力矛盾"/>
  </x:tableColumns>
  <x:tableStyleInfo name="TableStyleMedium2" showFirstColumn="0" showLastColumn="0" showRowStripes="1" showColumnStripes="0"/>
</x:table>
</file>

<file path=xl/tables/table28.xml><?xml version="1.0" encoding="utf-8"?>
<x:table xmlns:x="http://schemas.openxmlformats.org/spreadsheetml/2006/main" id="28" name="Table_discoveries" displayName="Table_discoveries" ref="A5:O125" headerRowCount="1" totalsRowCount="0" totalsRowShown="0">
  <x:autoFilter ref="A5:O125"/>
  <x:tableColumns count="15">
    <x:tableColumn id="1" name="探索ID"/>
    <x:tableColumn id="2" name="发现物"/>
    <x:tableColumn id="3" name="发现分类"/>
    <x:tableColumn id="4" name="海域"/>
    <x:tableColumn id="5" name="出发港口"/>
    <x:tableColumn id="6" name="纬度"/>
    <x:tableColumn id="7" name="经度"/>
    <x:tableColumn id="8" name="探索条件"/>
    <x:tableColumn id="9" name="奖励银币"/>
    <x:tableColumn id="10" name="探索声望"/>
    <x:tableColumn id="11" name="可重复性"/>
    <x:tableColumn id="12" name="发现记录性质"/>
    <x:tableColumn id="13" name="现实与传说依据"/>
    <x:tableColumn id="14" name="坐标与内陆远征说明"/>
    <x:tableColumn id="15" name="资料编号"/>
  </x:tableColumns>
  <x:tableStyleInfo name="TableStyleMedium2" showFirstColumn="0" showLastColumn="0" showRowStripes="1" showColumnStripes="0"/>
</x:table>
</file>

<file path=xl/tables/table29.xml><?xml version="1.0" encoding="utf-8"?>
<x:table xmlns:x="http://schemas.openxmlformats.org/spreadsheetml/2006/main" id="29" name="Table_discovery_stories" displayName="Table_discovery_stories" ref="A5:F125" headerRowCount="1" totalsRowCount="0" totalsRowShown="0">
  <x:autoFilter ref="A5:F125"/>
  <x:tableColumns count="6">
    <x:tableColumn id="1" name="探索ID"/>
    <x:tableColumn id="2" name="发现物"/>
    <x:tableColumn id="3" name="线索来源"/>
    <x:tableColumn id="4" name="现场步骤"/>
    <x:tableColumn id="5" name="发现画面"/>
    <x:tableColumn id="6" name="永久解锁"/>
  </x:tableColumns>
  <x:tableStyleInfo name="TableStyleMedium2" showFirstColumn="0" showLastColumn="0" showRowStripes="1" showColumnStripes="0"/>
</x:table>
</file>

<file path=xl/tables/table30.xml><?xml version="1.0" encoding="utf-8"?>
<x:table xmlns:x="http://schemas.openxmlformats.org/spreadsheetml/2006/main" id="30" name="Table_arcs" displayName="Table_arcs" ref="A5:G17" headerRowCount="1" totalsRowCount="0" totalsRowShown="0">
  <x:autoFilter ref="A5:G17"/>
  <x:tableColumns count="7">
    <x:tableColumn id="1" name="编号"/>
    <x:tableColumn id="2" name="地区"/>
    <x:tableColumn id="3" name="故事名"/>
    <x:tableColumn id="4" name="起点与冲突"/>
    <x:tableColumn id="5" name="主要行动"/>
    <x:tableColumn id="6" name="结局差异"/>
    <x:tableColumn id="7" name="游戏解锁"/>
  </x:tableColumns>
  <x:tableStyleInfo name="TableStyleMedium2" showFirstColumn="0" showLastColumn="0" showRowStripes="1" showColumnStripes="0"/>
</x:table>
</file>

<file path=xl/tables/table31.xml><?xml version="1.0" encoding="utf-8"?>
<x:table xmlns:x="http://schemas.openxmlformats.org/spreadsheetml/2006/main" id="31" name="Table_progression" displayName="Table_progression" ref="A5:E18" headerRowCount="1" totalsRowCount="0" totalsRowShown="0">
  <x:autoFilter ref="A5:E18"/>
  <x:tableColumns count="5">
    <x:tableColumn id="1" name="编号"/>
    <x:tableColumn id="2" name="阶段"/>
    <x:tableColumn id="3" name="达成方式"/>
    <x:tableColumn id="4" name="新能力"/>
    <x:tableColumn id="5" name="代表玩家目标"/>
  </x:tableColumns>
  <x:tableStyleInfo name="TableStyleMedium2" showFirstColumn="0" showLastColumn="0" showRowStripes="1" showColumnStripes="0"/>
</x:table>
</file>

<file path=xl/tables/table32.xml><?xml version="1.0" encoding="utf-8"?>
<x:table xmlns:x="http://schemas.openxmlformats.org/spreadsheetml/2006/main" id="32" name="Table_starts" displayName="Table_starts" ref="A5:J11" headerRowCount="1" totalsRowCount="0" totalsRowShown="0">
  <x:autoFilter ref="A5:J11"/>
  <x:tableColumns count="10">
    <x:tableColumn id="1" name="编号"/>
    <x:tableColumn id="2" name="开局港"/>
    <x:tableColumn id="3" name="身份"/>
    <x:tableColumn id="4" name="初始资产"/>
    <x:tableColumn id="5" name="短期目标"/>
    <x:tableColumn id="6" name="剧情切口"/>
    <x:tableColumn id="7" name="玩法倾向"/>
    <x:tableColumn id="8" name="起始船型ID"/>
    <x:tableColumn id="9" name="起始船型"/>
    <x:tableColumn id="10" name="起始获得说明"/>
  </x:tableColumns>
  <x:tableStyleInfo name="TableStyleMedium2" showFirstColumn="0" showLastColumn="0" showRowStripes="1" showColumnStripes="0"/>
</x:table>
</file>

<file path=xl/tables/table33.xml><?xml version="1.0" encoding="utf-8"?>
<x:table xmlns:x="http://schemas.openxmlformats.org/spreadsheetml/2006/main" id="33" name="Table_services" displayName="Table_services" ref="A5:E21" headerRowCount="1" totalsRowCount="0" totalsRowShown="0">
  <x:autoFilter ref="A5:E21"/>
  <x:tableColumns count="5">
    <x:tableColumn id="1" name="编号"/>
    <x:tableColumn id="2" name="设施"/>
    <x:tableColumn id="3" name="港口条件"/>
    <x:tableColumn id="4" name="功能"/>
    <x:tableColumn id="5" name="代表内容"/>
  </x:tableColumns>
  <x:tableStyleInfo name="TableStyleMedium2" showFirstColumn="0" showLastColumn="0" showRowStripes="1" showColumnStripes="0"/>
</x:table>
</file>

<file path=xl/tables/table34.xml><?xml version="1.0" encoding="utf-8"?>
<x:table xmlns:x="http://schemas.openxmlformats.org/spreadsheetml/2006/main" id="34" name="Table_contracts" displayName="Table_contracts" ref="A5:F15" headerRowCount="1" totalsRowCount="0" totalsRowShown="0">
  <x:autoFilter ref="A5:F15"/>
  <x:tableColumns count="6">
    <x:tableColumn id="1" name="编号"/>
    <x:tableColumn id="2" name="合同类型"/>
    <x:tableColumn id="3" name="目标与条件"/>
    <x:tableColumn id="4" name="计价基础"/>
    <x:tableColumn id="5" name="不同玩法"/>
    <x:tableColumn id="6" name="失败后续"/>
  </x:tableColumns>
  <x:tableStyleInfo name="TableStyleMedium2" showFirstColumn="0" showLastColumn="0" showRowStripes="1" showColumnStripes="0"/>
</x:table>
</file>

<file path=xl/tables/table35.xml><?xml version="1.0" encoding="utf-8"?>
<x:table xmlns:x="http://schemas.openxmlformats.org/spreadsheetml/2006/main" id="35" name="Table_art_direction" displayName="Table_art_direction" ref="A5:E29" headerRowCount="1" totalsRowCount="0" totalsRowShown="0">
  <x:autoFilter ref="A5:E29"/>
  <x:tableColumns count="5">
    <x:tableColumn id="1" name="编号"/>
    <x:tableColumn id="2" name="对象"/>
    <x:tableColumn id="3" name="视觉设计"/>
    <x:tableColumn id="4" name="场景动作或声音"/>
    <x:tableColumn id="5" name="与玩法的联系"/>
  </x:tableColumns>
  <x:tableStyleInfo name="TableStyleMedium2" showFirstColumn="0" showLastColumn="0" showRowStripes="1" showColumnStripes="0"/>
</x:table>
</file>

<file path=xl/tables/table36.xml><?xml version="1.0" encoding="utf-8"?>
<x:table xmlns:x="http://schemas.openxmlformats.org/spreadsheetml/2006/main" id="36" name="Table_sources" displayName="Table_sources" ref="A5:F122" headerRowCount="1" totalsRowCount="0" totalsRowShown="0">
  <x:autoFilter ref="A5:F122"/>
  <x:tableColumns count="6">
    <x:tableColumn id="1" name="编号"/>
    <x:tableColumn id="2" name="类型"/>
    <x:tableColumn id="3" name="名称"/>
    <x:tableColumn id="4" name="含义或支持内容"/>
    <x:tableColumn id="5" name="使用方式"/>
    <x:tableColumn id="6" name="链接"/>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8a6735ac9dc4aba" /></Relationships>
</file>

<file path=xl/worksheets/_rels/sheet2.xml.rels>&#65279;<?xml version="1.0" encoding="utf-8"?><Relationships xmlns="http://schemas.openxmlformats.org/package/2006/relationships"><Relationship Type="http://schemas.openxmlformats.org/officeDocument/2006/relationships/table" Target="/xl/tables/table2.xml" Id="Rdb5702b8010d414e" /></Relationships>
</file>

<file path=xl/worksheets/_rels/sheet3.xml.rels>&#65279;<?xml version="1.0" encoding="utf-8"?><Relationships xmlns="http://schemas.openxmlformats.org/package/2006/relationships"><Relationship Type="http://schemas.openxmlformats.org/officeDocument/2006/relationships/table" Target="/xl/tables/table3.xml" Id="Rfed5a82550bb4ea9" /></Relationships>
</file>

<file path=xl/worksheets/_rels/sheet4.xml.rels>&#65279;<?xml version="1.0" encoding="utf-8"?><Relationships xmlns="http://schemas.openxmlformats.org/package/2006/relationships"><Relationship Type="http://schemas.openxmlformats.org/officeDocument/2006/relationships/table" Target="/xl/tables/table4.xml" Id="Rf05fb5f132b945ba" /></Relationships>
</file>

<file path=xl/worksheets/_rels/sheet5.xml.rels>&#65279;<?xml version="1.0" encoding="utf-8"?><Relationships xmlns="http://schemas.openxmlformats.org/package/2006/relationships"><Relationship Type="http://schemas.openxmlformats.org/officeDocument/2006/relationships/table" Target="/xl/tables/table5.xml" Id="R1ce02c8188174cf8" /></Relationships>
</file>

<file path=xl/worksheets/_rels/sheet6.xml.rels>&#65279;<?xml version="1.0" encoding="utf-8"?><Relationships xmlns="http://schemas.openxmlformats.org/package/2006/relationships"><Relationship Type="http://schemas.openxmlformats.org/officeDocument/2006/relationships/table" Target="/xl/tables/table6.xml" Id="Rf9fe84271eee4f5a" /></Relationships>
</file>

<file path=xl/worksheets/_rels/sheet7.xml.rels>&#65279;<?xml version="1.0" encoding="utf-8"?><Relationships xmlns="http://schemas.openxmlformats.org/package/2006/relationships"><Relationship Type="http://schemas.openxmlformats.org/officeDocument/2006/relationships/table" Target="/xl/tables/table7.xml" Id="R9b5bc6ddcbd745a1" /></Relationships>
</file>

<file path=xl/worksheets/_rels/sheet8.xml.rels>&#65279;<?xml version="1.0" encoding="utf-8"?><Relationships xmlns="http://schemas.openxmlformats.org/package/2006/relationships"><Relationship Type="http://schemas.openxmlformats.org/officeDocument/2006/relationships/table" Target="/xl/tables/table8.xml" Id="Ra3d1b17ded834948" /></Relationships>
</file>

<file path=xl/worksheets/_rels/sheet9.xml.rels>&#65279;<?xml version="1.0" encoding="utf-8"?><Relationships xmlns="http://schemas.openxmlformats.org/package/2006/relationships"><Relationship Type="http://schemas.openxmlformats.org/officeDocument/2006/relationships/table" Target="/xl/tables/table9.xml" Id="R3ec71f7d33364b56" /></Relationships>
</file>

<file path=xl/worksheets/_rels/sheet11.xml.rels>&#65279;<?xml version="1.0" encoding="utf-8"?><Relationships xmlns="http://schemas.openxmlformats.org/package/2006/relationships"><Relationship Type="http://schemas.openxmlformats.org/officeDocument/2006/relationships/table" Target="/xl/tables/table10.xml" Id="R483c132c580743d2" /></Relationships>
</file>

<file path=xl/worksheets/_rels/sheet12.xml.rels>&#65279;<?xml version="1.0" encoding="utf-8"?><Relationships xmlns="http://schemas.openxmlformats.org/package/2006/relationships"><Relationship Type="http://schemas.openxmlformats.org/officeDocument/2006/relationships/table" Target="/xl/tables/table11.xml" Id="Rad0159b73aca4555" /></Relationships>
</file>

<file path=xl/worksheets/_rels/sheet13.xml.rels>&#65279;<?xml version="1.0" encoding="utf-8"?><Relationships xmlns="http://schemas.openxmlformats.org/package/2006/relationships"><Relationship Type="http://schemas.openxmlformats.org/officeDocument/2006/relationships/table" Target="/xl/tables/table12.xml" Id="R0dfd6bc7623c4a27" /></Relationships>
</file>

<file path=xl/worksheets/_rels/sheet14.xml.rels>&#65279;<?xml version="1.0" encoding="utf-8"?><Relationships xmlns="http://schemas.openxmlformats.org/package/2006/relationships"><Relationship Type="http://schemas.openxmlformats.org/officeDocument/2006/relationships/table" Target="/xl/tables/table13.xml" Id="R8c735c938fa0457c" /></Relationships>
</file>

<file path=xl/worksheets/_rels/sheet15.xml.rels>&#65279;<?xml version="1.0" encoding="utf-8"?><Relationships xmlns="http://schemas.openxmlformats.org/package/2006/relationships"><Relationship Type="http://schemas.openxmlformats.org/officeDocument/2006/relationships/table" Target="/xl/tables/table14.xml" Id="Ra46ccd6cd6e44295" /></Relationships>
</file>

<file path=xl/worksheets/_rels/sheet16.xml.rels>&#65279;<?xml version="1.0" encoding="utf-8"?><Relationships xmlns="http://schemas.openxmlformats.org/package/2006/relationships"><Relationship Type="http://schemas.openxmlformats.org/officeDocument/2006/relationships/table" Target="/xl/tables/table15.xml" Id="Ra315997d31f24942" /></Relationships>
</file>

<file path=xl/worksheets/_rels/sheet17.xml.rels>&#65279;<?xml version="1.0" encoding="utf-8"?><Relationships xmlns="http://schemas.openxmlformats.org/package/2006/relationships"><Relationship Type="http://schemas.openxmlformats.org/officeDocument/2006/relationships/table" Target="/xl/tables/table16.xml" Id="R7e28b984fb0c4734" /></Relationships>
</file>

<file path=xl/worksheets/_rels/sheet18.xml.rels>&#65279;<?xml version="1.0" encoding="utf-8"?><Relationships xmlns="http://schemas.openxmlformats.org/package/2006/relationships"><Relationship Type="http://schemas.openxmlformats.org/officeDocument/2006/relationships/table" Target="/xl/tables/table17.xml" Id="Ra827350539f3488c" /></Relationships>
</file>

<file path=xl/worksheets/_rels/sheet19.xml.rels>&#65279;<?xml version="1.0" encoding="utf-8"?><Relationships xmlns="http://schemas.openxmlformats.org/package/2006/relationships"><Relationship Type="http://schemas.openxmlformats.org/officeDocument/2006/relationships/table" Target="/xl/tables/table18.xml" Id="Rf8e1693931ef40eb" /></Relationships>
</file>

<file path=xl/worksheets/_rels/sheet20.xml.rels>&#65279;<?xml version="1.0" encoding="utf-8"?><Relationships xmlns="http://schemas.openxmlformats.org/package/2006/relationships"><Relationship Type="http://schemas.openxmlformats.org/officeDocument/2006/relationships/table" Target="/xl/tables/table19.xml" Id="R24f1c3426822451c" /></Relationships>
</file>

<file path=xl/worksheets/_rels/sheet21.xml.rels>&#65279;<?xml version="1.0" encoding="utf-8"?><Relationships xmlns="http://schemas.openxmlformats.org/package/2006/relationships"><Relationship Type="http://schemas.openxmlformats.org/officeDocument/2006/relationships/table" Target="/xl/tables/table20.xml" Id="Rcbf3aeda500249e3" /></Relationships>
</file>

<file path=xl/worksheets/_rels/sheet22.xml.rels>&#65279;<?xml version="1.0" encoding="utf-8"?><Relationships xmlns="http://schemas.openxmlformats.org/package/2006/relationships"><Relationship Type="http://schemas.openxmlformats.org/officeDocument/2006/relationships/table" Target="/xl/tables/table21.xml" Id="R96cfe331997445c6" /></Relationships>
</file>

<file path=xl/worksheets/_rels/sheet23.xml.rels>&#65279;<?xml version="1.0" encoding="utf-8"?><Relationships xmlns="http://schemas.openxmlformats.org/package/2006/relationships"><Relationship Type="http://schemas.openxmlformats.org/officeDocument/2006/relationships/table" Target="/xl/tables/table22.xml" Id="R4f2c1f9841294fdb" /></Relationships>
</file>

<file path=xl/worksheets/_rels/sheet24.xml.rels>&#65279;<?xml version="1.0" encoding="utf-8"?><Relationships xmlns="http://schemas.openxmlformats.org/package/2006/relationships"><Relationship Type="http://schemas.openxmlformats.org/officeDocument/2006/relationships/table" Target="/xl/tables/table23.xml" Id="R7130573b2150465f" /></Relationships>
</file>

<file path=xl/worksheets/_rels/sheet25.xml.rels>&#65279;<?xml version="1.0" encoding="utf-8"?><Relationships xmlns="http://schemas.openxmlformats.org/package/2006/relationships"><Relationship Type="http://schemas.openxmlformats.org/officeDocument/2006/relationships/table" Target="/xl/tables/table24.xml" Id="R93a89a102f6b43ee" /></Relationships>
</file>

<file path=xl/worksheets/_rels/sheet26.xml.rels>&#65279;<?xml version="1.0" encoding="utf-8"?><Relationships xmlns="http://schemas.openxmlformats.org/package/2006/relationships"><Relationship Type="http://schemas.openxmlformats.org/officeDocument/2006/relationships/table" Target="/xl/tables/table25.xml" Id="Rf421ce20bd3144e8" /></Relationships>
</file>

<file path=xl/worksheets/_rels/sheet27.xml.rels>&#65279;<?xml version="1.0" encoding="utf-8"?><Relationships xmlns="http://schemas.openxmlformats.org/package/2006/relationships"><Relationship Type="http://schemas.openxmlformats.org/officeDocument/2006/relationships/table" Target="/xl/tables/table26.xml" Id="R8e1e4e6b864e44d9" /></Relationships>
</file>

<file path=xl/worksheets/_rels/sheet28.xml.rels>&#65279;<?xml version="1.0" encoding="utf-8"?><Relationships xmlns="http://schemas.openxmlformats.org/package/2006/relationships"><Relationship Type="http://schemas.openxmlformats.org/officeDocument/2006/relationships/table" Target="/xl/tables/table27.xml" Id="R0bcab9d8f9c54797" /></Relationships>
</file>

<file path=xl/worksheets/_rels/sheet29.xml.rels>&#65279;<?xml version="1.0" encoding="utf-8"?><Relationships xmlns="http://schemas.openxmlformats.org/package/2006/relationships"><Relationship Type="http://schemas.openxmlformats.org/officeDocument/2006/relationships/table" Target="/xl/tables/table28.xml" Id="R839e50c3e9ae42ec" /></Relationships>
</file>

<file path=xl/worksheets/_rels/sheet30.xml.rels>&#65279;<?xml version="1.0" encoding="utf-8"?><Relationships xmlns="http://schemas.openxmlformats.org/package/2006/relationships"><Relationship Type="http://schemas.openxmlformats.org/officeDocument/2006/relationships/table" Target="/xl/tables/table29.xml" Id="R8c885d25b6d8434f" /></Relationships>
</file>

<file path=xl/worksheets/_rels/sheet31.xml.rels>&#65279;<?xml version="1.0" encoding="utf-8"?><Relationships xmlns="http://schemas.openxmlformats.org/package/2006/relationships"><Relationship Type="http://schemas.openxmlformats.org/officeDocument/2006/relationships/table" Target="/xl/tables/table30.xml" Id="R0dc8c7bc56564ec5" /></Relationships>
</file>

<file path=xl/worksheets/_rels/sheet32.xml.rels>&#65279;<?xml version="1.0" encoding="utf-8"?><Relationships xmlns="http://schemas.openxmlformats.org/package/2006/relationships"><Relationship Type="http://schemas.openxmlformats.org/officeDocument/2006/relationships/table" Target="/xl/tables/table31.xml" Id="R0f9dd38cc865449e" /></Relationships>
</file>

<file path=xl/worksheets/_rels/sheet33.xml.rels>&#65279;<?xml version="1.0" encoding="utf-8"?><Relationships xmlns="http://schemas.openxmlformats.org/package/2006/relationships"><Relationship Type="http://schemas.openxmlformats.org/officeDocument/2006/relationships/table" Target="/xl/tables/table32.xml" Id="R86d794b4ecd847e0" /></Relationships>
</file>

<file path=xl/worksheets/_rels/sheet34.xml.rels>&#65279;<?xml version="1.0" encoding="utf-8"?><Relationships xmlns="http://schemas.openxmlformats.org/package/2006/relationships"><Relationship Type="http://schemas.openxmlformats.org/officeDocument/2006/relationships/table" Target="/xl/tables/table33.xml" Id="Re0949dfe090f481b" /></Relationships>
</file>

<file path=xl/worksheets/_rels/sheet35.xml.rels>&#65279;<?xml version="1.0" encoding="utf-8"?><Relationships xmlns="http://schemas.openxmlformats.org/package/2006/relationships"><Relationship Type="http://schemas.openxmlformats.org/officeDocument/2006/relationships/table" Target="/xl/tables/table34.xml" Id="Rb0a0af881bec46cd" /></Relationships>
</file>

<file path=xl/worksheets/_rels/sheet36.xml.rels>&#65279;<?xml version="1.0" encoding="utf-8"?><Relationships xmlns="http://schemas.openxmlformats.org/package/2006/relationships"><Relationship Type="http://schemas.openxmlformats.org/officeDocument/2006/relationships/table" Target="/xl/tables/table35.xml" Id="Rca64d1ce9238409e" /></Relationships>
</file>

<file path=xl/worksheets/_rels/sheet37.xml.rels>&#65279;<?xml version="1.0" encoding="utf-8"?><Relationships xmlns="http://schemas.openxmlformats.org/package/2006/relationships"><Relationship Type="http://schemas.openxmlformats.org/officeDocument/2006/relationships/table" Target="/xl/tables/table36.xml" Id="Rcb42f75e5f0742d4" /></Relationships>
</file>

<file path=xl/worksheets/sheet1.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24" hidden="0" customWidth="1"/>
    <x:col min="3" max="3" width="84" hidden="0" customWidth="1"/>
    <x:col min="4" max="4" width="60" hidden="0" customWidth="1"/>
  </x:cols>
  <x:sheetData>
    <x:row r="1">
      <x:c r="A1" s="2"/>
      <x:c r="B1" s="2"/>
      <x:c r="C1" s="2"/>
      <x:c r="D1" s="2"/>
    </x:row>
    <x:row r="2" ht="28" customHeight="1">
      <x:c r="A2" s="3" t="str">
        <x:v>潮痕：群星之海  HD-2D航海单机设计</x:v>
      </x:c>
      <x:c r="B2" s="2"/>
      <x:c r="C2" s="2"/>
      <x:c r="D2" s="2"/>
    </x:row>
    <x:row r="3">
      <x:c r="A3" s="5" t="str">
        <x:v>120港口，230商品，72船型，72独特海员，120探索物。所有数值为本案设计基值。</x:v>
      </x:c>
      <x:c r="B3" s="2"/>
      <x:c r="C3" s="2"/>
      <x:c r="D3" s="2"/>
    </x:row>
    <x:row r="4">
      <x:c r="A4" s="2"/>
      <x:c r="B4" s="2"/>
      <x:c r="C4" s="2"/>
      <x:c r="D4" s="2"/>
    </x:row>
    <x:row r="5" ht="34" customHeight="1">
      <x:c r="A5" s="10" t="str">
        <x:v>编号</x:v>
      </x:c>
      <x:c r="B5" s="10" t="str">
        <x:v>主题</x:v>
      </x:c>
      <x:c r="C5" s="10" t="str">
        <x:v>设计内容</x:v>
      </x:c>
      <x:c r="D5" s="10" t="str">
        <x:v>玩家体验</x:v>
      </x:c>
    </x:row>
    <x:row r="6" ht="42" customHeight="1">
      <x:c r="A6" s="12" t="str">
        <x:v>O01</x:v>
      </x:c>
      <x:c r="B6" s="12" t="str">
        <x:v>作品定位</x:v>
      </x:c>
      <x:c r="C6" s="12" t="str">
        <x:v>《潮痕：群星之海》TIDEMARK；HD-2D全球航海、港口经营、群像冒险的单机作品，采用大航海时代式重制方向与原创世界事件。</x:v>
      </x:c>
      <x:c r="D6" s="12" t="str">
        <x:v>把第一条小船变成有名字、有历史、有伙伴的远洋舰队。</x:v>
      </x:c>
    </x:row>
    <x:row r="7" ht="42" customHeight="1">
      <x:c r="A7" s="15" t="str">
        <x:v>O02</x:v>
      </x:c>
      <x:c r="B7" s="15" t="str">
        <x:v>世界年代</x:v>
      </x:c>
      <x:c r="C7" s="15" t="str">
        <x:v>真实地球海岸与港口位置；揉合约1500—1780年的航海文化，少量更晚的港型与技术仅以架空前置形式登场。</x:v>
      </x:c>
      <x:c r="D7" s="15" t="str">
        <x:v>同一张地图容纳福船、桨帆船、阿拉伯帆船与双体航海舟的相遇。</x:v>
      </x:c>
    </x:row>
    <x:row r="8" ht="42" customHeight="1">
      <x:c r="A8" s="13" t="str">
        <x:v>O03</x:v>
      </x:c>
      <x:c r="B8" s="13" t="str">
        <x:v>主线问题</x:v>
      </x:c>
      <x:c r="C8" s="13" t="str">
        <x:v>全球十二处观测传统记录同一种“星潮”，海图残注把季风、迁徙与沉没遗迹联系起来。争执焦点是航路知识由谁拥有。</x:v>
      </x:c>
      <x:c r="D8" s="13" t="str">
        <x:v>开图、做生意和结交船员共同推进故事，而不是额外刷主线道具。</x:v>
      </x:c>
    </x:row>
    <x:row r="9" ht="31" customHeight="1">
      <x:c r="A9" s="15" t="str">
        <x:v>O04</x:v>
      </x:c>
      <x:c r="B9" s="15" t="str">
        <x:v>游戏结构</x:v>
      </x:c>
      <x:c r="C9" s="15" t="str">
        <x:v>六种开局身份共享世界；每个区域有独立故事，终章由已建立的港口网络和伙伴立场组合。</x:v>
      </x:c>
      <x:c r="D9" s="15" t="str">
        <x:v>既能沿剧情环游，也能先经营喜欢的海域。</x:v>
      </x:c>
    </x:row>
    <x:row r="10" ht="42" customHeight="1">
      <x:c r="A10" s="13" t="str">
        <x:v>O05</x:v>
      </x:c>
      <x:c r="B10" s="13" t="str">
        <x:v>核心循环</x:v>
      </x:c>
      <x:c r="C10" s="13" t="str">
        <x:v>听消息，准备人船货，规划季风与停靠港，航行遇事，贸易或探索，投资解锁，带着新技术和人情再次出海。</x:v>
      </x:c>
      <x:c r="D10" s="13" t="str">
        <x:v>一次航程同时有眼前收入和长期愿望。</x:v>
      </x:c>
    </x:row>
    <x:row r="11" ht="31" customHeight="1">
      <x:c r="A11" s="15" t="str">
        <x:v>O06</x:v>
      </x:c>
      <x:c r="B11" s="15" t="str">
        <x:v>成长资产</x:v>
      </x:c>
      <x:c r="C11" s="15" t="str">
        <x:v>钱、港口发展、武装、贸易关系、海图知识、伙伴个人完成度和船舶配置共同构成成长。</x:v>
      </x:c>
      <x:c r="D11" s="15" t="str">
        <x:v>拥有更多选择，不只增加同一个伤害数字。</x:v>
      </x:c>
    </x:row>
    <x:row r="12" ht="42" customHeight="1">
      <x:c r="A12" s="13" t="str">
        <x:v>O07</x:v>
      </x:c>
      <x:c r="B12" s="13" t="str">
        <x:v>单机时间</x:v>
      </x:c>
      <x:c r="C12" s="13" t="str">
        <x:v>世界按游戏日推进；默认航海每游戏日约12秒，可停靠时计划；委托期限以游戏日显示，战斗使用独立实时秒。</x:v>
      </x:c>
      <x:c r="D12" s="13" t="str">
        <x:v>环球远航保持旅途感，日常跑商不拖成长时间。</x:v>
      </x:c>
    </x:row>
    <x:row r="13" ht="42" customHeight="1">
      <x:c r="A13" s="15" t="str">
        <x:v>O08</x:v>
      </x:c>
      <x:c r="B13" s="15" t="str">
        <x:v>舰队规模</x:v>
      </x:c>
      <x:c r="C13" s="15" t="str">
        <x:v>玩家主舰队最多5船；港口船坞保存其余船。中后期允许3支由独特海员担任舰长的地方商队，每队最多3船。</x:v>
      </x:c>
      <x:c r="D13" s="15" t="str">
        <x:v>亲自远航与熟悉海域的经营可以并行。</x:v>
      </x:c>
    </x:row>
    <x:row r="14" ht="31" customHeight="1">
      <x:c r="A14" s="13" t="str">
        <x:v>O09</x:v>
      </x:c>
      <x:c r="B14" s="13" t="str">
        <x:v>英雄与水手</x:v>
      </x:c>
      <x:c r="C14" s="13" t="str">
        <x:v>独特海员负责职业、技能和人物故事；普通水手组成操帆、炮队和登舰队。两者薪资分别记录。</x:v>
      </x:c>
      <x:c r="D14" s="13" t="str">
        <x:v>英雄活跃在船上，普通水手让舰船能力真正成立。</x:v>
      </x:c>
    </x:row>
    <x:row r="15" ht="31" customHeight="1">
      <x:c r="A15" s="15" t="str">
        <x:v>O10</x:v>
      </x:c>
      <x:c r="B15" s="15" t="str">
        <x:v>港口层级</x:v>
      </x:c>
      <x:c r="C15" s="15" t="str">
        <x:v>大港是贸易与人物中心，小港擅长稀少材料、捷径补给和地方故事；每港至少一个独有特产。</x:v>
      </x:c>
      <x:c r="D15" s="15" t="str">
        <x:v>大港不替代小港，世界不是重复菜单。</x:v>
      </x:c>
    </x:row>
    <x:row r="16" ht="31" customHeight="1">
      <x:c r="A16" s="13" t="str">
        <x:v>O11</x:v>
      </x:c>
      <x:c r="B16" s="13" t="str">
        <x:v>基础数值</x:v>
      </x:c>
      <x:c r="C16" s="13" t="str">
        <x:v>所有货物、船、武器、改造和招募均给出基础价格；数值用于描述成本和角色定位，不进行精密平衡。</x:v>
      </x:c>
      <x:c r="D16" s="13" t="str">
        <x:v>可以直接据此做后续策划与资产分工。</x:v>
      </x:c>
    </x:row>
    <x:row r="17" ht="31" customHeight="1">
      <x:c r="A17" s="15" t="str">
        <x:v>O12</x:v>
      </x:c>
      <x:c r="B17" s="15" t="str">
        <x:v>货载单位</x:v>
      </x:c>
      <x:c r="C17" s="15" t="str">
        <x:v>1货载单位约对应1立方米舱容；它是跨货物统一的游戏单位，并非每种货物都等重。银币是统一游戏货币。</x:v>
      </x:c>
      <x:c r="D17" s="15" t="str">
        <x:v>比较香料、木料与补给时有清楚的空间成本。</x:v>
      </x:c>
    </x:row>
    <x:row r="18" ht="31" customHeight="1">
      <x:c r="A18" s="13" t="str">
        <x:v>O13</x:v>
      </x:c>
      <x:c r="B18" s="13" t="str">
        <x:v>地理表达</x:v>
      </x:c>
      <x:c r="C18" s="13" t="str">
        <x:v>港口坐标为设计用近似位置；河港放在对应城市，海上航线先到河口；边界不作为历史国境的断言。</x:v>
      </x:c>
      <x:c r="D18" s="13" t="str">
        <x:v>海岸熟悉可认，历史港市可以按游戏动线重组。</x:v>
      </x:c>
    </x:row>
    <x:row r="19" ht="42" customHeight="1">
      <x:c r="A19" s="15" t="str">
        <x:v>O14</x:v>
      </x:c>
      <x:c r="B19" s="15" t="str">
        <x:v>贸易品构成</x:v>
      </x:c>
      <x:c r="C19" s="15" t="str">
        <x:v>通用品是区域经济骨架，命名特产是地方工坊或产区品牌；特产优先一次独有，不使用全港同一顶级奢侈品。</x:v>
      </x:c>
      <x:c r="D19" s="15" t="str">
        <x:v>为了某一种货物专程回来。</x:v>
      </x:c>
    </x:row>
    <x:row r="20" ht="31" customHeight="1">
      <x:c r="A20" s="13" t="str">
        <x:v>O15</x:v>
      </x:c>
      <x:c r="B20" s="13" t="str">
        <x:v>发现意义</x:v>
      </x:c>
      <x:c r="C20" s="13" t="str">
        <x:v>探索记录包括自然、航海、建筑、沉船、艺术与传说；奖励可为路线资料、工坊配方、关系与技能。</x:v>
      </x:c>
      <x:c r="D20" s="13" t="str">
        <x:v>发现物改变以后的航程。</x:v>
      </x:c>
    </x:row>
    <x:row r="21" ht="31" customHeight="1">
      <x:c r="A21" s="15" t="str">
        <x:v>O16</x:v>
      </x:c>
      <x:c r="B21" s="15" t="str">
        <x:v>冲突尺度</x:v>
      </x:c>
      <x:c r="C21" s="15" t="str">
        <x:v>争夺港口合同、保卫商船、打开封锁、追捕对手、营救船员；击沉、逼退、俘获和谈判均可完成相应目标。</x:v>
      </x:c>
      <x:c r="D21" s="15" t="str">
        <x:v>海战动机来自世界与利益关系。</x:v>
      </x:c>
    </x:row>
    <x:row r="22" ht="31" customHeight="1">
      <x:c r="A22" s="13" t="str">
        <x:v>O17</x:v>
      </x:c>
      <x:c r="B22" s="13" t="str">
        <x:v>叙事语气</x:v>
      </x:c>
      <x:c r="C22" s="13" t="str">
        <x:v>明亮而有风霜：海雾、旧信、甜食、船上斗嘴和失而复得的港灯；阴谋存在，冒险者始终有主动选择。</x:v>
      </x:c>
      <x:c r="D22" s="13" t="str">
        <x:v>浪漫航海群像，而非阴暗海盗世界的单一气质。</x:v>
      </x:c>
    </x:row>
    <x:row r="23" ht="31" customHeight="1">
      <x:c r="A23" s="16" t="str">
        <x:v>O18</x:v>
      </x:c>
      <x:c r="B23" s="16" t="str">
        <x:v>交付范围</x:v>
      </x:c>
      <x:c r="C23" s="16" t="str">
        <x:v>完整设计总表、同源JSON与CSV、网页港口地图骨架、四张游戏概念图。</x:v>
      </x:c>
      <x:c r="D23" s="16" t="str">
        <x:v>本次完成内容和玩法设计，不开发游戏运行系统。</x:v>
      </x:c>
    </x:row>
    <x:row r="24">
      <x:c r="A24" s="2"/>
      <x:c r="B24" s="2"/>
      <x:c r="C24" s="2"/>
      <x:c r="D24" s="2"/>
    </x:row>
  </x:sheetData>
  <x:pageMargins left="0.7" right="0.7" top="0.75" bottom="0.75" header="0.3" footer="0.3"/>
  <x:tableParts count="1">
    <x:tablePart xmlns:r="http://schemas.openxmlformats.org/officeDocument/2006/relationships" r:id="R28a6735ac9dc4aba"/>
  </x:tableParts>
</x:worksheet>
</file>

<file path=xl/worksheets/sheet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28" hidden="0" customWidth="1"/>
    <x:col min="3" max="3" width="52" hidden="0" customWidth="1"/>
    <x:col min="4" max="4" width="32" hidden="0" customWidth="1"/>
    <x:col min="5" max="5" width="58" hidden="0" customWidth="1"/>
    <x:col min="6" max="6" width="58" hidden="0" customWidth="1"/>
    <x:col min="7" max="7" width="58" hidden="0" customWidth="1"/>
    <x:col min="8" max="8" width="12" hidden="0" customWidth="1"/>
  </x:cols>
  <x:sheetData>
    <x:row r="1">
      <x:c r="A1" s="2"/>
      <x:c r="B1" s="2"/>
      <x:c r="C1" s="2"/>
      <x:c r="D1" s="2"/>
      <x:c r="E1" s="2"/>
      <x:c r="F1" s="2"/>
      <x:c r="G1" s="2"/>
      <x:c r="H1" s="2"/>
    </x:row>
    <x:row r="2" ht="28" customHeight="1">
      <x:c r="A2" s="3" t="str">
        <x:v>十二片文化海域</x:v>
      </x:c>
      <x:c r="B2" s="2"/>
      <x:c r="C2" s="2"/>
      <x:c r="D2" s="2"/>
      <x:c r="E2" s="2"/>
      <x:c r="F2" s="2"/>
      <x:c r="G2" s="2"/>
      <x:c r="H2" s="2"/>
    </x:row>
    <x:row r="3">
      <x:c r="A3" s="2"/>
      <x:c r="B3" s="2"/>
      <x:c r="C3" s="2"/>
      <x:c r="D3" s="2"/>
      <x:c r="E3" s="2"/>
      <x:c r="F3" s="2"/>
      <x:c r="G3" s="2"/>
      <x:c r="H3" s="2"/>
    </x:row>
    <x:row r="4">
      <x:c r="A4" s="2"/>
      <x:c r="B4" s="2"/>
      <x:c r="C4" s="2"/>
      <x:c r="D4" s="2"/>
      <x:c r="E4" s="2"/>
      <x:c r="F4" s="2"/>
      <x:c r="G4" s="2"/>
      <x:c r="H4" s="2"/>
    </x:row>
    <x:row r="5" ht="34" customHeight="1">
      <x:c r="A5" s="10" t="str">
        <x:v>海域ID</x:v>
      </x:c>
      <x:c r="B5" s="10" t="str">
        <x:v>海域</x:v>
      </x:c>
      <x:c r="C5" s="10" t="str">
        <x:v>经济与文化识别</x:v>
      </x:c>
      <x:c r="D5" s="10" t="str">
        <x:v>船文化</x:v>
      </x:c>
      <x:c r="E5" s="10" t="str">
        <x:v>视觉色彩与形态</x:v>
      </x:c>
      <x:c r="F5" s="10" t="str">
        <x:v>季节经济</x:v>
      </x:c>
      <x:c r="G5" s="10" t="str">
        <x:v>航行特点</x:v>
      </x:c>
      <x:c r="H5" s="10" t="str">
        <x:v>港口数</x:v>
      </x:c>
    </x:row>
    <x:row r="6" ht="31" customHeight="1">
      <x:c r="A6" s="12" t="str">
        <x:v>R01</x:v>
      </x:c>
      <x:c r="B6" s="12" t="str">
        <x:v>北海与波罗的海</x:v>
      </x:c>
      <x:c r="C6" s="12" t="str">
        <x:v>汉萨商路、寒海船木与羊毛织业</x:v>
      </x:c>
      <x:c r="D6" s="12" t="str">
        <x:v>北海—波罗的海</x:v>
      </x:c>
      <x:c r="E6" s="12" t="str">
        <x:v>冷灰蓝、红砖、铜绿；钟楼与起重机突出垂直层次</x:v>
      </x:c>
      <x:c r="F6" s="12" t="str">
        <x:v>寒海冬季粮价与衣料需求上升；温暖季节渔业和林材大量出港</x:v>
      </x:c>
      <x:c r="G6" s="12" t="str">
        <x:v>短程货流密集；风暴、海峡收费与浅海航道塑造北海航行</x:v>
      </x:c>
      <x:c r="H6" s="12" t="n">
        <x:v>10</x:v>
      </x:c>
    </x:row>
    <x:row r="7" ht="31" customHeight="1">
      <x:c r="A7" s="15" t="str">
        <x:v>R02</x:v>
      </x:c>
      <x:c r="B7" s="15" t="str">
        <x:v>西欧与伊比利亚</x:v>
      </x:c>
      <x:c r="C7" s="15" t="str">
        <x:v>大西洋门户、葡萄酒与远航船厂</x:v>
      </x:c>
      <x:c r="D7" s="15" t="str">
        <x:v>西欧—伊比利亚</x:v>
      </x:c>
      <x:c r="E7" s="15" t="str">
        <x:v>奶白石墙、赭瓦、青蓝陶砖；河口夕照与大帆高差</x:v>
      </x:c>
      <x:c r="F7" s="15" t="str">
        <x:v>葡萄收获和酒窖订单带来秋季货流；远洋舰队出发季提高补给需求</x:v>
      </x:c>
      <x:c r="G7" s="15" t="str">
        <x:v>大西洋门户；沿岸小买卖可自然成长为跨洋船团</x:v>
      </x:c>
      <x:c r="H7" s="15" t="n">
        <x:v>10</x:v>
      </x:c>
    </x:row>
    <x:row r="8" ht="31" customHeight="1">
      <x:c r="A8" s="13" t="str">
        <x:v>R03</x:v>
      </x:c>
      <x:c r="B8" s="13" t="str">
        <x:v>地中海与黑海</x:v>
      </x:c>
      <x:c r="C8" s="13" t="str">
        <x:v>群城工坊、东方转口与桨帆传统</x:v>
      </x:c>
      <x:c r="D8" s="13" t="str">
        <x:v>地中海—黑海</x:v>
      </x:c>
      <x:c r="E8" s="13" t="str">
        <x:v>蜂蜜石、靛蓝海、孔雀玻璃和珊瑚红；露台与拱廊</x:v>
      </x:c>
      <x:c r="F8" s="13" t="str">
        <x:v>葡萄、橄榄收获驱动食品价；宫廷庆典驱动工艺与香料消费</x:v>
      </x:c>
      <x:c r="G8" s="13" t="str">
        <x:v>密集港城与狭海；转口、海峡和桨帆战术相互作用</x:v>
      </x:c>
      <x:c r="H8" s="13" t="n">
        <x:v>14</x:v>
      </x:c>
    </x:row>
    <x:row r="9" ht="31" customHeight="1">
      <x:c r="A9" s="15" t="str">
        <x:v>R04</x:v>
      </x:c>
      <x:c r="B9" s="15" t="str">
        <x:v>西非与大西洋群岛</x:v>
      </x:c>
      <x:c r="C9" s="15" t="str">
        <x:v>信风补给、黄金贸易与群岛糖业</x:v>
      </x:c>
      <x:c r="D9" s="15" t="str">
        <x:v>西非—大西洋群岛</x:v>
      </x:c>
      <x:c r="E9" s="15" t="str">
        <x:v>火山黑、沙金、靛布和白堡；彩绘长舟带来动势</x:v>
      </x:c>
      <x:c r="F9" s="15" t="str">
        <x:v>岛屿收获与大陆商队到货分开计算；补给港有船团到港波峰</x:v>
      </x:c>
      <x:c r="G9" s="15" t="str">
        <x:v>信风接力港串起跨洋路线；浅滩港鼓励轻船换装</x:v>
      </x:c>
      <x:c r="H9" s="15" t="n">
        <x:v>8</x:v>
      </x:c>
    </x:row>
    <x:row r="10" ht="31" customHeight="1">
      <x:c r="A10" s="13" t="str">
        <x:v>R05</x:v>
      </x:c>
      <x:c r="B10" s="13" t="str">
        <x:v>东非与西印度洋</x:v>
      </x:c>
      <x:c r="C10" s="13" t="str">
        <x:v>季风商路、珊瑚城与南端越洋枢纽</x:v>
      </x:c>
      <x:c r="D10" s="13" t="str">
        <x:v>斯瓦希里—西印度洋</x:v>
      </x:c>
      <x:c r="E10" s="13" t="str">
        <x:v>珊瑚白、红土、深蓝海与雕花木门；岛城低廊</x:v>
      </x:c>
      <x:c r="F10" s="13" t="str">
        <x:v>季风换向改变商队到货节奏；南端补给与热带货流错开</x:v>
      </x:c>
      <x:c r="G10" s="13" t="str">
        <x:v>绕好望角的长航程与斯瓦希里季风港网交汇</x:v>
      </x:c>
      <x:c r="H10" s="13" t="n">
        <x:v>8</x:v>
      </x:c>
    </x:row>
    <x:row r="11" ht="31" customHeight="1">
      <x:c r="A11" s="15" t="str">
        <x:v>R06</x:v>
      </x:c>
      <x:c r="B11" s="15" t="str">
        <x:v>红海与波斯湾</x:v>
      </x:c>
      <x:c r="C11" s="15" t="str">
        <x:v>咖啡、珍珠、香木与沙海商队</x:v>
      </x:c>
      <x:c r="D11" s="15" t="str">
        <x:v>阿拉伯—波斯</x:v>
      </x:c>
      <x:c r="E11" s="15" t="str">
        <x:v>砂金、岩赭、白墙与木格窗；狭湾里聚集宝石色</x:v>
      </x:c>
      <x:c r="F11" s="15" t="str">
        <x:v>咖啡高地产季、朝觐船流与商队到货使需求形成错峰</x:v>
      </x:c>
      <x:c r="G11" s="15" t="str">
        <x:v>海峡、礁岸和沙海商队；水粮低利润但强需求</x:v>
      </x:c>
      <x:c r="H11" s="15" t="n">
        <x:v>8</x:v>
      </x:c>
    </x:row>
    <x:row r="12" ht="31" customHeight="1">
      <x:c r="A12" s="13" t="str">
        <x:v>R07</x:v>
      </x:c>
      <x:c r="B12" s="13" t="str">
        <x:v>印度与孟加拉湾</x:v>
      </x:c>
      <x:c r="C12" s="13" t="str">
        <x:v>棉布、胡椒、宝石与柚木造船</x:v>
      </x:c>
      <x:c r="D12" s="13" t="str">
        <x:v>印度—孟加拉</x:v>
      </x:c>
      <x:c r="E12" s="13" t="str">
        <x:v>孔雀蓝、姜黄、棉白与金线；长布棚和木印染缸</x:v>
      </x:c>
      <x:c r="F12" s="13" t="str">
        <x:v>季风影响出海窗口；棉布工坊常年加工，胡椒等分产季到货</x:v>
      </x:c>
      <x:c r="G12" s="13" t="str">
        <x:v>从原棉到成衣再到香料交换，支持多段贸易</x:v>
      </x:c>
      <x:c r="H12" s="13" t="n">
        <x:v>10</x:v>
      </x:c>
    </x:row>
    <x:row r="13" ht="31" customHeight="1">
      <x:c r="A13" s="15" t="str">
        <x:v>R08</x:v>
      </x:c>
      <x:c r="B13" s="15" t="str">
        <x:v>东南亚与香料群岛</x:v>
      </x:c>
      <x:c r="C13" s="15" t="str">
        <x:v>海峡转运、稀有香料与岛链航路</x:v>
      </x:c>
      <x:c r="D13" s="15" t="str">
        <x:v>东南亚—香料群岛</x:v>
      </x:c>
      <x:c r="E13" s="15" t="str">
        <x:v>翡翠雨林、火山靛影、红砖与白蝶帆；浮市层叠</x:v>
      </x:c>
      <x:c r="F13" s="15" t="str">
        <x:v>丁香与肉豆蔻保留各自产地；雨季和季风影响岛间补货</x:v>
      </x:c>
      <x:c r="G13" s="15" t="str">
        <x:v>海峡大港加稀缺原产小岛，形成转运中心和产地航线</x:v>
      </x:c>
      <x:c r="H13" s="15" t="n">
        <x:v>12</x:v>
      </x:c>
    </x:row>
    <x:row r="14" ht="31" customHeight="1">
      <x:c r="A14" s="13" t="str">
        <x:v>R09</x:v>
      </x:c>
      <x:c r="B14" s="13" t="str">
        <x:v>东亚</x:v>
      </x:c>
      <x:c r="C14" s="13" t="str">
        <x:v>瓷器、丝绸、茶与季风航海工艺</x:v>
      </x:c>
      <x:c r="D14" s="13" t="str">
        <x:v>东亚</x:v>
      </x:c>
      <x:c r="E14" s="13" t="str">
        <x:v>青瓦、朱漆、瓷白、灯笼金；河口帆影和工坊庭院</x:v>
      </x:c>
      <x:c r="F14" s="13" t="str">
        <x:v>茶季、丝作与城市节庆改变需求；北方冷海与南方糖港互补</x:v>
      </x:c>
      <x:c r="G14" s="13" t="str">
        <x:v>海贸、内河与精工商品结合；多个同类货源仍有独特特产</x:v>
      </x:c>
      <x:c r="H14" s="13" t="n">
        <x:v>14</x:v>
      </x:c>
    </x:row>
    <x:row r="15" ht="31" customHeight="1">
      <x:c r="A15" s="15" t="str">
        <x:v>R10</x:v>
      </x:c>
      <x:c r="B15" s="15" t="str">
        <x:v>加勒比与北美东岸</x:v>
      </x:c>
      <x:c r="C15" s="15" t="str">
        <x:v>群岛蔗业、大西洋新港与私掠博弈</x:v>
      </x:c>
      <x:c r="D15" s="15" t="str">
        <x:v>加勒比—北美东岸</x:v>
      </x:c>
      <x:c r="E15" s="15" t="str">
        <x:v>粉彩城墙、热带深绿、海堡金与黑帆；湾口轮廓强烈</x:v>
      </x:c>
      <x:c r="F15" s="15" t="str">
        <x:v>船团出港、收获季和私掠事件产生价格窗口</x:v>
      </x:c>
      <x:c r="G15" s="15" t="str">
        <x:v>岛间短程贸易通向跨大西洋；军需和酒糖之间有明显回程货</x:v>
      </x:c>
      <x:c r="H15" s="15" t="n">
        <x:v>10</x:v>
      </x:c>
    </x:row>
    <x:row r="16" ht="31" customHeight="1">
      <x:c r="A16" s="13" t="str">
        <x:v>R11</x:v>
      </x:c>
      <x:c r="B16" s="13" t="str">
        <x:v>南美</x:v>
      </x:c>
      <x:c r="C16" s="13" t="str">
        <x:v>安第斯银路、南大西洋补给与南角远航</x:v>
      </x:c>
      <x:c r="D16" s="13" t="str">
        <x:v>南美</x:v>
      </x:c>
      <x:c r="E16" s="13" t="str">
        <x:v>安第斯赭银、雨林翡翠、巴西深红和草原灰蓝</x:v>
      </x:c>
      <x:c r="F16" s="13" t="str">
        <x:v>南北半球季节错开；银货商队、牛皮季与粮食收获各自驱动供货</x:v>
      </x:c>
      <x:c r="G16" s="13" t="str">
        <x:v>大河腹地与漫长海岸；绕南角航程提升补给和耐久船的价值</x:v>
      </x:c>
      <x:c r="H16" s="13" t="n">
        <x:v>8</x:v>
      </x:c>
    </x:row>
    <x:row r="17" ht="42" customHeight="1">
      <x:c r="A17" s="16" t="str">
        <x:v>R12</x:v>
      </x:c>
      <x:c r="B17" s="16" t="str">
        <x:v>大洋洲与太平洋</x:v>
      </x:c>
      <x:c r="C17" s="16" t="str">
        <x:v>岛屿星航、双体船工艺与漫长蓝海</x:v>
      </x:c>
      <x:c r="D17" s="16" t="str">
        <x:v>大洋洲—太平洋</x:v>
      </x:c>
      <x:c r="E17" s="16" t="str">
        <x:v>蓝紫远海、黑火山石、乳白树皮布与金羽；留出广阔天空</x:v>
      </x:c>
      <x:c r="F17" s="16" t="str">
        <x:v>鲜果短保鲜与岛间补给形成接力；工艺少量稳定，进口工具按船期到货</x:v>
      </x:c>
      <x:c r="G17" s="16" t="str">
        <x:v>星航、双体帆与自然线索成为技术主角；新港投资体现当地和来访工匠共同建设</x:v>
      </x:c>
      <x:c r="H17" s="16" t="n">
        <x:v>8</x:v>
      </x:c>
    </x:row>
    <x:row r="18">
      <x:c r="A18" s="2"/>
      <x:c r="B18" s="2"/>
      <x:c r="C18" s="2"/>
      <x:c r="D18" s="2"/>
      <x:c r="E18" s="2"/>
      <x:c r="F18" s="2"/>
      <x:c r="G18" s="2"/>
      <x:c r="H18" s="2"/>
    </x:row>
  </x:sheetData>
  <x:pageMargins left="0.7" right="0.7" top="0.75" bottom="0.75" header="0.3" footer="0.3"/>
  <x:tableParts count="1">
    <x:tablePart xmlns:r="http://schemas.openxmlformats.org/officeDocument/2006/relationships" r:id="Rdb5702b8010d414e"/>
  </x:tableParts>
</x:worksheet>
</file>

<file path=xl/worksheets/sheet3.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20" hidden="0" customWidth="1"/>
    <x:col min="3" max="3" width="28" hidden="0" customWidth="1"/>
    <x:col min="4" max="4" width="25" hidden="0" customWidth="1"/>
    <x:col min="5" max="5" width="36" hidden="0" customWidth="1"/>
    <x:col min="6" max="6" width="12" hidden="0" customWidth="1"/>
    <x:col min="7" max="7" width="12" hidden="0" customWidth="1"/>
    <x:col min="8" max="8" width="21" hidden="0" customWidth="1"/>
    <x:col min="9" max="9" width="16" hidden="0" customWidth="1"/>
    <x:col min="10" max="10" width="16" hidden="0" customWidth="1"/>
    <x:col min="11" max="11" width="64" hidden="0" customWidth="1"/>
    <x:col min="12" max="12" width="42" hidden="0" customWidth="1"/>
    <x:col min="13" max="13" width="42" hidden="0" customWidth="1"/>
    <x:col min="14" max="14" width="35" hidden="0" customWidth="1"/>
    <x:col min="15" max="15" width="32" hidden="0" customWidth="1"/>
    <x:col min="16" max="16" width="13" hidden="0" customWidth="1"/>
    <x:col min="17" max="17" width="32" hidden="0" customWidth="1"/>
    <x:col min="18" max="18" width="64" hidden="0" customWidth="1"/>
    <x:col min="19" max="19" width="46" hidden="0" customWidth="1"/>
    <x:col min="20" max="20" width="24" hidden="0" customWidth="1"/>
  </x:cols>
  <x:sheetData>
    <x:row r="1">
      <x:c r="A1" s="2"/>
      <x:c r="B1" s="2"/>
      <x:c r="C1" s="2"/>
      <x:c r="D1" s="2"/>
      <x:c r="E1" s="2"/>
      <x:c r="F1" s="2"/>
      <x:c r="G1" s="2"/>
      <x:c r="H1" s="2"/>
      <x:c r="I1" s="2"/>
      <x:c r="J1" s="2"/>
      <x:c r="K1" s="2"/>
      <x:c r="L1" s="2"/>
      <x:c r="M1" s="2"/>
      <x:c r="N1" s="2"/>
      <x:c r="O1" s="2"/>
      <x:c r="P1" s="2"/>
      <x:c r="Q1" s="2"/>
      <x:c r="R1" s="2"/>
      <x:c r="S1" s="2"/>
      <x:c r="T1" s="2"/>
    </x:row>
    <x:row r="2" ht="28" customHeight="1">
      <x:c r="A2" s="3" t="str">
        <x:v>世界港口总表</x:v>
      </x:c>
      <x:c r="B2" s="2"/>
      <x:c r="C2" s="2"/>
      <x:c r="D2" s="2"/>
      <x:c r="E2" s="2"/>
      <x:c r="F2" s="2"/>
      <x:c r="G2" s="2"/>
      <x:c r="H2" s="2"/>
      <x:c r="I2" s="2"/>
      <x:c r="J2" s="2"/>
      <x:c r="K2" s="2"/>
      <x:c r="L2" s="2"/>
      <x:c r="M2" s="2"/>
      <x:c r="N2" s="2"/>
      <x:c r="O2" s="2"/>
      <x:c r="P2" s="2"/>
      <x:c r="Q2" s="2"/>
      <x:c r="R2" s="2"/>
      <x:c r="S2" s="2"/>
      <x:c r="T2" s="2"/>
    </x:row>
    <x:row r="3">
      <x:c r="A3" s="5" t="str">
        <x:v>纬度北正南负，经度东正西负；D/A为0—1000点，解锁等级见投资发展表。</x:v>
      </x:c>
      <x:c r="B3" s="2"/>
      <x:c r="C3" s="2"/>
      <x:c r="D3" s="2"/>
      <x:c r="E3" s="2"/>
      <x:c r="F3" s="2"/>
      <x:c r="G3" s="2"/>
      <x:c r="H3" s="2"/>
      <x:c r="I3" s="2"/>
      <x:c r="J3" s="2"/>
      <x:c r="K3" s="2"/>
      <x:c r="L3" s="2"/>
      <x:c r="M3" s="2"/>
      <x:c r="N3" s="2"/>
      <x:c r="O3" s="2"/>
      <x:c r="P3" s="2"/>
      <x:c r="Q3" s="2"/>
      <x:c r="R3" s="2"/>
      <x:c r="S3" s="2"/>
      <x:c r="T3" s="2"/>
    </x:row>
    <x:row r="4">
      <x:c r="A4" s="2"/>
      <x:c r="B4" s="2"/>
      <x:c r="C4" s="2"/>
      <x:c r="D4" s="2"/>
      <x:c r="E4" s="2"/>
      <x:c r="F4" s="2"/>
      <x:c r="G4" s="2"/>
      <x:c r="H4" s="2"/>
      <x:c r="I4" s="2"/>
      <x:c r="J4" s="2"/>
      <x:c r="K4" s="2"/>
      <x:c r="L4" s="2"/>
      <x:c r="M4" s="2"/>
      <x:c r="N4" s="2"/>
      <x:c r="O4" s="2"/>
      <x:c r="P4" s="2"/>
      <x:c r="Q4" s="2"/>
      <x:c r="R4" s="2"/>
      <x:c r="S4" s="2"/>
      <x:c r="T4" s="2"/>
    </x:row>
    <x:row r="5" ht="34" customHeight="1">
      <x:c r="A5" s="10" t="str">
        <x:v>港口ID</x:v>
      </x:c>
      <x:c r="B5" s="10" t="str">
        <x:v>港口</x:v>
      </x:c>
      <x:c r="C5" s="10" t="str">
        <x:v>文化海域</x:v>
      </x:c>
      <x:c r="D5" s="10" t="str">
        <x:v>现代地名</x:v>
      </x:c>
      <x:c r="E5" s="10" t="str">
        <x:v>地理位置</x:v>
      </x:c>
      <x:c r="F5" s="10" t="str">
        <x:v>纬度</x:v>
      </x:c>
      <x:c r="G5" s="10" t="str">
        <x:v>经度</x:v>
      </x:c>
      <x:c r="H5" s="10" t="str">
        <x:v>港口类型</x:v>
      </x:c>
      <x:c r="I5" s="10" t="str">
        <x:v>初始发展点数</x:v>
      </x:c>
      <x:c r="J5" s="10" t="str">
        <x:v>初始武装点数</x:v>
      </x:c>
      <x:c r="K5" s="10" t="str">
        <x:v>场景辨识</x:v>
      </x:c>
      <x:c r="L5" s="10" t="str">
        <x:v>经济定位</x:v>
      </x:c>
      <x:c r="M5" s="10" t="str">
        <x:v>船厂文化</x:v>
      </x:c>
      <x:c r="N5" s="10" t="str">
        <x:v>本地需求</x:v>
      </x:c>
      <x:c r="O5" s="10" t="str">
        <x:v>特色建设项目</x:v>
      </x:c>
      <x:c r="P5" s="10" t="str">
        <x:v>特产ID</x:v>
      </x:c>
      <x:c r="Q5" s="10" t="str">
        <x:v>独特特产</x:v>
      </x:c>
      <x:c r="R5" s="10" t="str">
        <x:v>历史与架空处理</x:v>
      </x:c>
      <x:c r="S5" s="10" t="str">
        <x:v>坐标说明</x:v>
      </x:c>
      <x:c r="T5" s="10" t="str">
        <x:v>资料编号</x:v>
      </x:c>
    </x:row>
    <x:row r="6" ht="42" customHeight="1">
      <x:c r="A6" s="12" t="str">
        <x:v>P001</x:v>
      </x:c>
      <x:c r="B6" s="12" t="str">
        <x:v>伦敦</x:v>
      </x:c>
      <x:c r="C6" s="12" t="str">
        <x:v>北海与波罗的海</x:v>
      </x:c>
      <x:c r="D6" s="12" t="str">
        <x:v>London</x:v>
      </x:c>
      <x:c r="E6" s="12" t="str">
        <x:v>英格兰·泰晤士河</x:v>
      </x:c>
      <x:c r="F6" s="20" t="n">
        <x:v>51.507</x:v>
      </x:c>
      <x:c r="G6" s="20" t="n">
        <x:v>-0.128</x:v>
      </x:c>
      <x:c r="H6" s="12" t="str">
        <x:v>河港</x:v>
      </x:c>
      <x:c r="I6" s="26" t="n">
        <x:v>420</x:v>
      </x:c>
      <x:c r="J6" s="26" t="n">
        <x:v>360</x:v>
      </x:c>
      <x:c r="K6" s="12" t="str">
        <x:v>雾蓝泰晤士水面、赭砖货栈与巨型钟面；桥洞下驳船如一条移动商街</x:v>
      </x:c>
      <x:c r="L6" s="12" t="str">
        <x:v>羊毛织业、远航金融与精密仪器集散</x:v>
      </x:c>
      <x:c r="M6" s="12" t="str">
        <x:v>英格兰远洋帆舰</x:v>
      </x:c>
      <x:c r="N6" s="12" t="str">
        <x:v>茶馆；学会；船厂</x:v>
      </x:c>
      <x:c r="O6" s="12" t="str">
        <x:v>河岸计时工坊</x:v>
      </x:c>
      <x:c r="P6" s="12" t="str">
        <x:v>SP001</x:v>
      </x:c>
      <x:c r="Q6" s="12" t="str">
        <x:v>雾钟双盘航海表</x:v>
      </x:c>
      <x:c r="R6" s="12" t="str">
        <x:v>以真实海岸、河口或岛屿定位；本作综合1500—1780年前后航海文化，港区构图、工坊品牌、供货与数值均为原创设计。</x:v>
      </x:c>
      <x:c r="S6" s="12" t="str">
        <x:v>今址近似坐标，仅用于设计地图定位；不表达近世政治边界。</x:v>
      </x:c>
      <x:c r="T6" s="12" t="str"/>
    </x:row>
    <x:row r="7" ht="42" customHeight="1">
      <x:c r="A7" s="15" t="str">
        <x:v>P002</x:v>
      </x:c>
      <x:c r="B7" s="15" t="str">
        <x:v>阿姆斯特丹</x:v>
      </x:c>
      <x:c r="C7" s="15" t="str">
        <x:v>北海与波罗的海</x:v>
      </x:c>
      <x:c r="D7" s="15" t="str">
        <x:v>Amsterdam</x:v>
      </x:c>
      <x:c r="E7" s="15" t="str">
        <x:v>尼德兰·艾湾</x:v>
      </x:c>
      <x:c r="F7" s="29" t="n">
        <x:v>52.367</x:v>
      </x:c>
      <x:c r="G7" s="29" t="n">
        <x:v>4.904</x:v>
      </x:c>
      <x:c r="H7" s="15" t="str">
        <x:v>运河海港</x:v>
      </x:c>
      <x:c r="I7" s="30" t="n">
        <x:v>450</x:v>
      </x:c>
      <x:c r="J7" s="30" t="n">
        <x:v>310</x:v>
      </x:c>
      <x:c r="K7" s="15" t="str">
        <x:v>薄荷绿运河、窄山墙与高悬吊货梁；夜间窗灯映成无数竖琴弦</x:v>
      </x:c>
      <x:c r="L7" s="15" t="str">
        <x:v>转口贸易、仓储与海图出版</x:v>
      </x:c>
      <x:c r="M7" s="15" t="str">
        <x:v>尼德兰浅吃水货船</x:v>
      </x:c>
      <x:c r="N7" s="15" t="str">
        <x:v>香辛料收藏；茶馆；染织工坊</x:v>
      </x:c>
      <x:c r="O7" s="15" t="str">
        <x:v>蓝釉与箱匠联合作坊</x:v>
      </x:c>
      <x:c r="P7" s="15" t="str">
        <x:v>SP002</x:v>
      </x:c>
      <x:c r="Q7" s="15" t="str">
        <x:v>蓝釉远洋药柜</x:v>
      </x:c>
      <x:c r="R7" s="15" t="str">
        <x:v>以真实海岸、河口或岛屿定位；本作综合1500—1780年前后航海文化，港区构图、工坊品牌、供货与数值均为原创设计。</x:v>
      </x:c>
      <x:c r="S7" s="15" t="str">
        <x:v>今址近似坐标，仅用于设计地图定位；不表达近世政治边界。</x:v>
      </x:c>
      <x:c r="T7" s="15" t="str"/>
    </x:row>
    <x:row r="8" ht="42" customHeight="1">
      <x:c r="A8" s="13" t="str">
        <x:v>P003</x:v>
      </x:c>
      <x:c r="B8" s="13" t="str">
        <x:v>汉堡</x:v>
      </x:c>
      <x:c r="C8" s="13" t="str">
        <x:v>北海与波罗的海</x:v>
      </x:c>
      <x:c r="D8" s="13" t="str">
        <x:v>Hamburg</x:v>
      </x:c>
      <x:c r="E8" s="13" t="str">
        <x:v>德意志·易北河</x:v>
      </x:c>
      <x:c r="F8" s="21" t="n">
        <x:v>53.551</x:v>
      </x:c>
      <x:c r="G8" s="21" t="n">
        <x:v>9.994</x:v>
      </x:c>
      <x:c r="H8" s="13" t="str">
        <x:v>河口港</x:v>
      </x:c>
      <x:c r="I8" s="27" t="n">
        <x:v>340</x:v>
      </x:c>
      <x:c r="J8" s="27" t="n">
        <x:v>280</x:v>
      </x:c>
      <x:c r="K8" s="13" t="str">
        <x:v>水闸间的红砖仓库层层入水，桥上铃铛随着货车节拍摇摆</x:v>
      </x:c>
      <x:c r="L8" s="13" t="str">
        <x:v>河流粮仓、啤酒与铁器转运</x:v>
      </x:c>
      <x:c r="M8" s="13" t="str">
        <x:v>汉萨宽腹商船</x:v>
      </x:c>
      <x:c r="N8" s="13" t="str">
        <x:v>酒馆；工具工坊；染织工坊</x:v>
      </x:c>
      <x:c r="O8" s="13" t="str">
        <x:v>河闸桶匠公所</x:v>
      </x:c>
      <x:c r="P8" s="13" t="str">
        <x:v>SP003</x:v>
      </x:c>
      <x:c r="Q8" s="13" t="str">
        <x:v>易北铜箍航海桶</x:v>
      </x:c>
      <x:c r="R8" s="13" t="str">
        <x:v>以真实海岸、河口或岛屿定位；本作综合1500—1780年前后航海文化，港区构图、工坊品牌、供货与数值均为原创设计。</x:v>
      </x:c>
      <x:c r="S8" s="13" t="str">
        <x:v>今址近似坐标，仅用于设计地图定位；不表达近世政治边界。</x:v>
      </x:c>
      <x:c r="T8" s="13" t="str"/>
    </x:row>
    <x:row r="9" ht="42" customHeight="1">
      <x:c r="A9" s="15" t="str">
        <x:v>P004</x:v>
      </x:c>
      <x:c r="B9" s="15" t="str">
        <x:v>吕贝克</x:v>
      </x:c>
      <x:c r="C9" s="15" t="str">
        <x:v>北海与波罗的海</x:v>
      </x:c>
      <x:c r="D9" s="15" t="str">
        <x:v>Lübeck</x:v>
      </x:c>
      <x:c r="E9" s="15" t="str">
        <x:v>德意志·特拉沃河</x:v>
      </x:c>
      <x:c r="F9" s="29" t="n">
        <x:v>53.865</x:v>
      </x:c>
      <x:c r="G9" s="29" t="n">
        <x:v>10.686</x:v>
      </x:c>
      <x:c r="H9" s="15" t="str">
        <x:v>河港</x:v>
      </x:c>
      <x:c r="I9" s="30" t="n">
        <x:v>330</x:v>
      </x:c>
      <x:c r="J9" s="30" t="n">
        <x:v>250</x:v>
      </x:c>
      <x:c r="K9" s="15" t="str">
        <x:v>双塔城门、陡红屋顶与暗绿运河；盐仓墙面像竖立的帆</x:v>
      </x:c>
      <x:c r="L9" s="15" t="str">
        <x:v>波罗的海转口与盐粮贸易</x:v>
      </x:c>
      <x:c r="M9" s="15" t="str">
        <x:v>汉萨科克船传统</x:v>
      </x:c>
      <x:c r="N9" s="15" t="str">
        <x:v>远航补给；珠宝工坊；城市衣料</x:v>
      </x:c>
      <x:c r="O9" s="15" t="str">
        <x:v>商印与蜂蜡工坊</x:v>
      </x:c>
      <x:c r="P9" s="15" t="str">
        <x:v>SP004</x:v>
      </x:c>
      <x:c r="Q9" s="15" t="str">
        <x:v>七港封蜡匣</x:v>
      </x:c>
      <x:c r="R9" s="15" t="str">
        <x:v>以真实海岸、河口或岛屿定位；本作综合1500—1780年前后航海文化，港区构图、工坊品牌、供货与数值均为原创设计。</x:v>
      </x:c>
      <x:c r="S9" s="15" t="str">
        <x:v>今址近似坐标，仅用于设计地图定位；不表达近世政治边界。</x:v>
      </x:c>
      <x:c r="T9" s="15" t="str"/>
    </x:row>
    <x:row r="10" ht="42" customHeight="1">
      <x:c r="A10" s="13" t="str">
        <x:v>P005</x:v>
      </x:c>
      <x:c r="B10" s="13" t="str">
        <x:v>卑尔根</x:v>
      </x:c>
      <x:c r="C10" s="13" t="str">
        <x:v>北海与波罗的海</x:v>
      </x:c>
      <x:c r="D10" s="13" t="str">
        <x:v>Bergen</x:v>
      </x:c>
      <x:c r="E10" s="13" t="str">
        <x:v>挪威·西海岸</x:v>
      </x:c>
      <x:c r="F10" s="21" t="n">
        <x:v>60.392</x:v>
      </x:c>
      <x:c r="G10" s="21" t="n">
        <x:v>5.323</x:v>
      </x:c>
      <x:c r="H10" s="13" t="str">
        <x:v>峡湾港</x:v>
      </x:c>
      <x:c r="I10" s="27" t="n">
        <x:v>250</x:v>
      </x:c>
      <x:c r="J10" s="27" t="n">
        <x:v>150</x:v>
      </x:c>
      <x:c r="K10" s="13" t="str">
        <x:v>紧密彩木山墙压在深蓝峡湾边，鳕鱼架在雨雾里形成层叠剪影</x:v>
      </x:c>
      <x:c r="L10" s="13" t="str">
        <x:v>寒海干鱼与渔业转口</x:v>
      </x:c>
      <x:c r="M10" s="13" t="str">
        <x:v>挪威峡湾长艏船</x:v>
      </x:c>
      <x:c r="N10" s="13" t="str">
        <x:v>城市口粮；船厂；寒地衣料</x:v>
      </x:c>
      <x:c r="O10" s="13" t="str">
        <x:v>高架风干场</x:v>
      </x:c>
      <x:c r="P10" s="13" t="str">
        <x:v>SP005</x:v>
      </x:c>
      <x:c r="Q10" s="13" t="str">
        <x:v>极昼白鳕礼匣</x:v>
      </x:c>
      <x:c r="R10" s="13" t="str">
        <x:v>卑尔根的汉萨仓库与干鳕鱼交易有历史依据；鱼货礼匣和具体工坊为原创。</x:v>
      </x:c>
      <x:c r="S10" s="13" t="str">
        <x:v>今址近似坐标，仅用于设计地图定位；不表达近世政治边界。</x:v>
      </x:c>
      <x:c r="T10" s="13" t="str">
        <x:v>WT-H01</x:v>
      </x:c>
    </x:row>
    <x:row r="11" ht="42" customHeight="1">
      <x:c r="A11" s="15" t="str">
        <x:v>P006</x:v>
      </x:c>
      <x:c r="B11" s="15" t="str">
        <x:v>哥本哈根</x:v>
      </x:c>
      <x:c r="C11" s="15" t="str">
        <x:v>北海与波罗的海</x:v>
      </x:c>
      <x:c r="D11" s="15" t="str">
        <x:v>Copenhagen</x:v>
      </x:c>
      <x:c r="E11" s="15" t="str">
        <x:v>丹麦·厄勒海峡</x:v>
      </x:c>
      <x:c r="F11" s="29" t="n">
        <x:v>55.676</x:v>
      </x:c>
      <x:c r="G11" s="29" t="n">
        <x:v>12.568</x:v>
      </x:c>
      <x:c r="H11" s="15" t="str">
        <x:v>海峡港</x:v>
      </x:c>
      <x:c r="I11" s="30" t="n">
        <x:v>350</x:v>
      </x:c>
      <x:c r="J11" s="30" t="n">
        <x:v>420</x:v>
      </x:c>
      <x:c r="K11" s="15" t="str">
        <x:v>海峡税楼、铜绿尖塔与黄墙长街，白帆从城堡脚下贴岸经过</x:v>
      </x:c>
      <x:c r="L11" s="15" t="str">
        <x:v>海峡税贸、军粮与船用物资</x:v>
      </x:c>
      <x:c r="M11" s="15" t="str">
        <x:v>丹麦海峡军商舰</x:v>
      </x:c>
      <x:c r="N11" s="15" t="str">
        <x:v>军港补给；船厂；宴会</x:v>
      </x:c>
      <x:c r="O11" s="15" t="str">
        <x:v>海峡量具工坊</x:v>
      </x:c>
      <x:c r="P11" s="15" t="str">
        <x:v>SP006</x:v>
      </x:c>
      <x:c r="Q11" s="15" t="str">
        <x:v>双狮黄铜分规</x:v>
      </x:c>
      <x:c r="R11" s="15" t="str">
        <x:v>以真实海岸、河口或岛屿定位；本作综合1500—1780年前后航海文化，港区构图、工坊品牌、供货与数值均为原创设计。</x:v>
      </x:c>
      <x:c r="S11" s="15" t="str">
        <x:v>今址近似坐标，仅用于设计地图定位；不表达近世政治边界。</x:v>
      </x:c>
      <x:c r="T11" s="15" t="str"/>
    </x:row>
    <x:row r="12" ht="42" customHeight="1">
      <x:c r="A12" s="13" t="str">
        <x:v>P007</x:v>
      </x:c>
      <x:c r="B12" s="13" t="str">
        <x:v>斯德哥尔摩</x:v>
      </x:c>
      <x:c r="C12" s="13" t="str">
        <x:v>北海与波罗的海</x:v>
      </x:c>
      <x:c r="D12" s="13" t="str">
        <x:v>Stockholm</x:v>
      </x:c>
      <x:c r="E12" s="13" t="str">
        <x:v>瑞典·梅拉伦湖口</x:v>
      </x:c>
      <x:c r="F12" s="21" t="n">
        <x:v>59.329</x:v>
      </x:c>
      <x:c r="G12" s="21" t="n">
        <x:v>18.069</x:v>
      </x:c>
      <x:c r="H12" s="13" t="str">
        <x:v>群岛河口港</x:v>
      </x:c>
      <x:c r="I12" s="27" t="n">
        <x:v>370</x:v>
      </x:c>
      <x:c r="J12" s="27" t="n">
        <x:v>390</x:v>
      </x:c>
      <x:c r="K12" s="13" t="str">
        <x:v>赭红王城架在群岛桥梁上，铜屋顶下的水面亮得像碎镜</x:v>
      </x:c>
      <x:c r="L12" s="13" t="str">
        <x:v>铜铁出口、林材与军舰订造</x:v>
      </x:c>
      <x:c r="M12" s="13" t="str">
        <x:v>瑞典重炮帆舰</x:v>
      </x:c>
      <x:c r="N12" s="13" t="str">
        <x:v>军需工坊；船厂；宫廷</x:v>
      </x:c>
      <x:c r="O12" s="13" t="str">
        <x:v>群岛铜器工坊</x:v>
      </x:c>
      <x:c r="P12" s="13" t="str">
        <x:v>SP007</x:v>
      </x:c>
      <x:c r="Q12" s="13" t="str">
        <x:v>铜冠折影烛台</x:v>
      </x:c>
      <x:c r="R12" s="13" t="str">
        <x:v>以真实海岸、河口或岛屿定位；本作综合1500—1780年前后航海文化，港区构图、工坊品牌、供货与数值均为原创设计。</x:v>
      </x:c>
      <x:c r="S12" s="13" t="str">
        <x:v>今址近似坐标，仅用于设计地图定位；不表达近世政治边界。</x:v>
      </x:c>
      <x:c r="T12" s="13" t="str"/>
    </x:row>
    <x:row r="13" ht="42" customHeight="1">
      <x:c r="A13" s="15" t="str">
        <x:v>P008</x:v>
      </x:c>
      <x:c r="B13" s="15" t="str">
        <x:v>但泽</x:v>
      </x:c>
      <x:c r="C13" s="15" t="str">
        <x:v>北海与波罗的海</x:v>
      </x:c>
      <x:c r="D13" s="15" t="str">
        <x:v>Gdańsk</x:v>
      </x:c>
      <x:c r="E13" s="15" t="str">
        <x:v>波罗的海·维斯瓦河口</x:v>
      </x:c>
      <x:c r="F13" s="29" t="n">
        <x:v>54.352</x:v>
      </x:c>
      <x:c r="G13" s="29" t="n">
        <x:v>18.647</x:v>
      </x:c>
      <x:c r="H13" s="15" t="str">
        <x:v>河口港</x:v>
      </x:c>
      <x:c r="I13" s="30" t="n">
        <x:v>310</x:v>
      </x:c>
      <x:c r="J13" s="30" t="n">
        <x:v>270</x:v>
      </x:c>
      <x:c r="K13" s="15" t="str">
        <x:v>长脚吊车跨在谷物码头，金黄粮尘与高尖山墙构成秋色</x:v>
      </x:c>
      <x:c r="L13" s="15" t="str">
        <x:v>维斯瓦河粮食、船木与琥珀</x:v>
      </x:c>
      <x:c r="M13" s="15" t="str">
        <x:v>波罗的海粮船</x:v>
      </x:c>
      <x:c r="N13" s="15" t="str">
        <x:v>人口增长；船厂；奢华衣料</x:v>
      </x:c>
      <x:c r="O13" s="15" t="str">
        <x:v>琥珀雕刻师行会</x:v>
      </x:c>
      <x:c r="P13" s="15" t="str">
        <x:v>SP008</x:v>
      </x:c>
      <x:c r="Q13" s="15" t="str">
        <x:v>潮封琥珀玫瑰</x:v>
      </x:c>
      <x:c r="R13" s="15" t="str">
        <x:v>以真实海岸、河口或岛屿定位；本作综合1500—1780年前后航海文化，港区构图、工坊品牌、供货与数值均为原创设计。</x:v>
      </x:c>
      <x:c r="S13" s="15" t="str">
        <x:v>今址近似坐标，仅用于设计地图定位；不表达近世政治边界。</x:v>
      </x:c>
      <x:c r="T13" s="15" t="str"/>
    </x:row>
    <x:row r="14" ht="42" customHeight="1">
      <x:c r="A14" s="13" t="str">
        <x:v>P009</x:v>
      </x:c>
      <x:c r="B14" s="13" t="str">
        <x:v>里加</x:v>
      </x:c>
      <x:c r="C14" s="13" t="str">
        <x:v>北海与波罗的海</x:v>
      </x:c>
      <x:c r="D14" s="13" t="str">
        <x:v>Riga</x:v>
      </x:c>
      <x:c r="E14" s="13" t="str">
        <x:v>拉脱维亚·道加瓦河口</x:v>
      </x:c>
      <x:c r="F14" s="21" t="n">
        <x:v>56.95</x:v>
      </x:c>
      <x:c r="G14" s="21" t="n">
        <x:v>24.105</x:v>
      </x:c>
      <x:c r="H14" s="13" t="str">
        <x:v>河口港</x:v>
      </x:c>
      <x:c r="I14" s="27" t="n">
        <x:v>270</x:v>
      </x:c>
      <x:c r="J14" s="27" t="n">
        <x:v>230</x:v>
      </x:c>
      <x:c r="K14" s="13" t="str">
        <x:v>宽阔木筏河道、褐砖尖塔和晾开的白麻布在冷阳光下交错</x:v>
      </x:c>
      <x:c r="L14" s="13" t="str">
        <x:v>大麻、亚麻与桅木出口</x:v>
      </x:c>
      <x:c r="M14" s="13" t="str">
        <x:v>利沃尼亚河海商船</x:v>
      </x:c>
      <x:c r="N14" s="13" t="str">
        <x:v>索具工坊；人口增长；茶馆</x:v>
      </x:c>
      <x:c r="O14" s="13" t="str">
        <x:v>双织密帆布工坊</x:v>
      </x:c>
      <x:c r="P14" s="13" t="str">
        <x:v>SP009</x:v>
      </x:c>
      <x:c r="Q14" s="13" t="str">
        <x:v>里加长纤帆布</x:v>
      </x:c>
      <x:c r="R14" s="13" t="str">
        <x:v>以真实海岸、河口或岛屿定位；本作综合1500—1780年前后航海文化，港区构图、工坊品牌、供货与数值均为原创设计。</x:v>
      </x:c>
      <x:c r="S14" s="13" t="str">
        <x:v>今址近似坐标，仅用于设计地图定位；不表达近世政治边界。</x:v>
      </x:c>
      <x:c r="T14" s="13" t="str"/>
    </x:row>
    <x:row r="15" ht="42" customHeight="1">
      <x:c r="A15" s="15" t="str">
        <x:v>P010</x:v>
      </x:c>
      <x:c r="B15" s="15" t="str">
        <x:v>雷克雅未克</x:v>
      </x:c>
      <x:c r="C15" s="15" t="str">
        <x:v>北海与波罗的海</x:v>
      </x:c>
      <x:c r="D15" s="15" t="str">
        <x:v>Reykjavík</x:v>
      </x:c>
      <x:c r="E15" s="15" t="str">
        <x:v>冰岛·法赫萨湾</x:v>
      </x:c>
      <x:c r="F15" s="29" t="n">
        <x:v>64.147</x:v>
      </x:c>
      <x:c r="G15" s="29" t="n">
        <x:v>-21.94</x:v>
      </x:c>
      <x:c r="H15" s="15" t="str">
        <x:v>寒海湾港</x:v>
      </x:c>
      <x:c r="I15" s="30" t="n">
        <x:v>90</x:v>
      </x:c>
      <x:c r="J15" s="30" t="n">
        <x:v>60</x:v>
      </x:c>
      <x:c r="K15" s="15" t="str">
        <x:v>黑色火山石码头、低草顶屋与远山雪线，渔灯像落在海上的星子</x:v>
      </x:c>
      <x:c r="L15" s="15" t="str">
        <x:v>寒海补给、羊毛与海产</x:v>
      </x:c>
      <x:c r="M15" s="15" t="str">
        <x:v>冰岛寒海小帆船</x:v>
      </x:c>
      <x:c r="N15" s="15" t="str">
        <x:v>城市口粮；铁器进口；木材进口</x:v>
      </x:c>
      <x:c r="O15" s="15" t="str">
        <x:v>鱼皮装帧小屋</x:v>
      </x:c>
      <x:c r="P15" s="15" t="str">
        <x:v>SP010</x:v>
      </x:c>
      <x:c r="Q15" s="15" t="str">
        <x:v>火山盐烟鱼皮册</x:v>
      </x:c>
      <x:c r="R15" s="15" t="str">
        <x:v>使用雷克雅未克湾区的真实地理；商村与18世纪工坊发展的城市规模作时代融合。</x:v>
      </x:c>
      <x:c r="S15" s="15" t="str">
        <x:v>今址近似坐标，仅用于设计地图定位；不表达近世政治边界。</x:v>
      </x:c>
      <x:c r="T15" s="15" t="str"/>
    </x:row>
    <x:row r="16" ht="42" customHeight="1">
      <x:c r="A16" s="13" t="str">
        <x:v>P011</x:v>
      </x:c>
      <x:c r="B16" s="13" t="str">
        <x:v>里斯本</x:v>
      </x:c>
      <x:c r="C16" s="13" t="str">
        <x:v>西欧与伊比利亚</x:v>
      </x:c>
      <x:c r="D16" s="13" t="str">
        <x:v>Lisbon</x:v>
      </x:c>
      <x:c r="E16" s="13" t="str">
        <x:v>葡萄牙·特茹河口</x:v>
      </x:c>
      <x:c r="F16" s="21" t="n">
        <x:v>38.722</x:v>
      </x:c>
      <x:c r="G16" s="21" t="n">
        <x:v>-9.139</x:v>
      </x:c>
      <x:c r="H16" s="13" t="str">
        <x:v>河口港</x:v>
      </x:c>
      <x:c r="I16" s="27" t="n">
        <x:v>440</x:v>
      </x:c>
      <x:c r="J16" s="27" t="n">
        <x:v>380</x:v>
      </x:c>
      <x:c r="K16" s="13" t="str">
        <x:v>奶白修道院塔与蓝瓷墙贴着金色山坡，河口无数三角帆向夕阳展开</x:v>
      </x:c>
      <x:c r="L16" s="13" t="str">
        <x:v>大西洋远航门户、香料转口与造船</x:v>
      </x:c>
      <x:c r="M16" s="13" t="str">
        <x:v>葡萄牙卡拉维尔与卡拉克</x:v>
      </x:c>
      <x:c r="N16" s="13" t="str">
        <x:v>香辛料收藏；船厂；学会</x:v>
      </x:c>
      <x:c r="O16" s="13" t="str">
        <x:v>蓝瓷星图窑</x:v>
      </x:c>
      <x:c r="P16" s="13" t="str">
        <x:v>SP011</x:v>
      </x:c>
      <x:c r="Q16" s="13" t="str">
        <x:v>蓝海星盘瓷盘</x:v>
      </x:c>
      <x:c r="R16" s="13" t="str">
        <x:v>以真实海岸、河口或岛屿定位；本作综合1500—1780年前后航海文化，港区构图、工坊品牌、供货与数值均为原创设计。</x:v>
      </x:c>
      <x:c r="S16" s="13" t="str">
        <x:v>今址近似坐标，仅用于设计地图定位；不表达近世政治边界。</x:v>
      </x:c>
      <x:c r="T16" s="13" t="str"/>
    </x:row>
    <x:row r="17" ht="42" customHeight="1">
      <x:c r="A17" s="15" t="str">
        <x:v>P012</x:v>
      </x:c>
      <x:c r="B17" s="15" t="str">
        <x:v>波尔图</x:v>
      </x:c>
      <x:c r="C17" s="15" t="str">
        <x:v>西欧与伊比利亚</x:v>
      </x:c>
      <x:c r="D17" s="15" t="str">
        <x:v>Porto</x:v>
      </x:c>
      <x:c r="E17" s="15" t="str">
        <x:v>葡萄牙·杜罗河口</x:v>
      </x:c>
      <x:c r="F17" s="29" t="n">
        <x:v>41.15</x:v>
      </x:c>
      <x:c r="G17" s="29" t="n">
        <x:v>-8.611</x:v>
      </x:c>
      <x:c r="H17" s="15" t="str">
        <x:v>河口港</x:v>
      </x:c>
      <x:c r="I17" s="30" t="n">
        <x:v>300</x:v>
      </x:c>
      <x:c r="J17" s="30" t="n">
        <x:v>200</x:v>
      </x:c>
      <x:c r="K17" s="15" t="str">
        <x:v>杜罗河两岸酒仓像红瓦阶梯，低矮运酒船在金红水面排队</x:v>
      </x:c>
      <x:c r="L17" s="15" t="str">
        <x:v>杜罗葡萄酒与橡木桶出口</x:v>
      </x:c>
      <x:c r="M17" s="15" t="str">
        <x:v>葡萄牙河海货船</x:v>
      </x:c>
      <x:c r="N17" s="15" t="str">
        <x:v>桶匠；宴会；城市衣料</x:v>
      </x:c>
      <x:c r="O17" s="15" t="str">
        <x:v>山坡恒温酒窖</x:v>
      </x:c>
      <x:c r="P17" s="15" t="str">
        <x:v>SP012</x:v>
      </x:c>
      <x:c r="Q17" s="15" t="str">
        <x:v>暮金杜罗陈酿</x:v>
      </x:c>
      <x:c r="R17" s="15" t="str">
        <x:v>杜罗酒业与波尔图转运为历史地理依据；本作强化酒品牌与酒窖发展链原创。</x:v>
      </x:c>
      <x:c r="S17" s="15" t="str">
        <x:v>今址近似坐标，仅用于设计地图定位；不表达近世政治边界。</x:v>
      </x:c>
      <x:c r="T17" s="15" t="str">
        <x:v>WT-H02</x:v>
      </x:c>
    </x:row>
    <x:row r="18" ht="42" customHeight="1">
      <x:c r="A18" s="13" t="str">
        <x:v>P013</x:v>
      </x:c>
      <x:c r="B18" s="13" t="str">
        <x:v>塞维利亚</x:v>
      </x:c>
      <x:c r="C18" s="13" t="str">
        <x:v>西欧与伊比利亚</x:v>
      </x:c>
      <x:c r="D18" s="13" t="str">
        <x:v>Seville</x:v>
      </x:c>
      <x:c r="E18" s="13" t="str">
        <x:v>西班牙·瓜达尔基维尔河</x:v>
      </x:c>
      <x:c r="F18" s="21" t="n">
        <x:v>37.389</x:v>
      </x:c>
      <x:c r="G18" s="21" t="n">
        <x:v>-5.984</x:v>
      </x:c>
      <x:c r="H18" s="13" t="str">
        <x:v>内河海港</x:v>
      </x:c>
      <x:c r="I18" s="27" t="n">
        <x:v>430</x:v>
      </x:c>
      <x:c r="J18" s="27" t="n">
        <x:v>370</x:v>
      </x:c>
      <x:c r="K18" s="13" t="str">
        <x:v>河道穿过橙园与白墙庭院，金色塔楼旁的船帆高过城市屋顶</x:v>
      </x:c>
      <x:c r="L18" s="13" t="str">
        <x:v>内陆商会、染织与美洲贸易结算</x:v>
      </x:c>
      <x:c r="M18" s="13" t="str">
        <x:v>伊比利亚大帆船</x:v>
      </x:c>
      <x:c r="N18" s="13" t="str">
        <x:v>铸币；染织工坊；宫廷</x:v>
      </x:c>
      <x:c r="O18" s="13" t="str">
        <x:v>橙园银线织坊</x:v>
      </x:c>
      <x:c r="P18" s="13" t="str">
        <x:v>SP013</x:v>
      </x:c>
      <x:c r="Q18" s="13" t="str">
        <x:v>橙花银线披肩</x:v>
      </x:c>
      <x:c r="R18" s="13" t="str">
        <x:v>以真实海岸、河口或岛屿定位；本作综合1500—1780年前后航海文化，港区构图、工坊品牌、供货与数值均为原创设计。</x:v>
      </x:c>
      <x:c r="S18" s="13" t="str">
        <x:v>今址近似坐标，仅用于设计地图定位；不表达近世政治边界。</x:v>
      </x:c>
      <x:c r="T18" s="13" t="str"/>
    </x:row>
    <x:row r="19" ht="42" customHeight="1">
      <x:c r="A19" s="15" t="str">
        <x:v>P014</x:v>
      </x:c>
      <x:c r="B19" s="15" t="str">
        <x:v>加的斯</x:v>
      </x:c>
      <x:c r="C19" s="15" t="str">
        <x:v>西欧与伊比利亚</x:v>
      </x:c>
      <x:c r="D19" s="15" t="str">
        <x:v>Cádiz</x:v>
      </x:c>
      <x:c r="E19" s="15" t="str">
        <x:v>西班牙·安达卢西亚</x:v>
      </x:c>
      <x:c r="F19" s="29" t="n">
        <x:v>36.527</x:v>
      </x:c>
      <x:c r="G19" s="29" t="n">
        <x:v>-6.288</x:v>
      </x:c>
      <x:c r="H19" s="15" t="str">
        <x:v>半岛海港</x:v>
      </x:c>
      <x:c r="I19" s="30" t="n">
        <x:v>400</x:v>
      </x:c>
      <x:c r="J19" s="30" t="n">
        <x:v>440</x:v>
      </x:c>
      <x:c r="K19" s="15" t="str">
        <x:v>海水围抱淡金城墙，穹顶与高耸瞭望塔成为一道明亮天际线</x:v>
      </x:c>
      <x:c r="L19" s="15" t="str">
        <x:v>远洋舰队集结、盐与海外贵金属转口</x:v>
      </x:c>
      <x:c r="M19" s="15" t="str">
        <x:v>安达卢西亚远洋盖伦</x:v>
      </x:c>
      <x:c r="N19" s="15" t="str">
        <x:v>军港补给；铸币；船厂</x:v>
      </x:c>
      <x:c r="O19" s="15" t="str">
        <x:v>海风调配酒库</x:v>
      </x:c>
      <x:c r="P19" s="15" t="str">
        <x:v>SP014</x:v>
      </x:c>
      <x:c r="Q19" s="15" t="str">
        <x:v>日晷塔雪莉珍酿</x:v>
      </x:c>
      <x:c r="R19" s="15" t="str">
        <x:v>以真实海岸、河口或岛屿定位；本作综合1500—1780年前后航海文化，港区构图、工坊品牌、供货与数值均为原创设计。</x:v>
      </x:c>
      <x:c r="S19" s="15" t="str">
        <x:v>今址近似坐标，仅用于设计地图定位；不表达近世政治边界。</x:v>
      </x:c>
      <x:c r="T19" s="15" t="str"/>
    </x:row>
    <x:row r="20" ht="42" customHeight="1">
      <x:c r="A20" s="13" t="str">
        <x:v>P015</x:v>
      </x:c>
      <x:c r="B20" s="13" t="str">
        <x:v>拉科鲁尼亚</x:v>
      </x:c>
      <x:c r="C20" s="13" t="str">
        <x:v>西欧与伊比利亚</x:v>
      </x:c>
      <x:c r="D20" s="13" t="str">
        <x:v>A Coruña</x:v>
      </x:c>
      <x:c r="E20" s="13" t="str">
        <x:v>西班牙·加利西亚</x:v>
      </x:c>
      <x:c r="F20" s="21" t="n">
        <x:v>43.363</x:v>
      </x:c>
      <x:c r="G20" s="21" t="n">
        <x:v>-8.411</x:v>
      </x:c>
      <x:c r="H20" s="13" t="str">
        <x:v>岬角港</x:v>
      </x:c>
      <x:c r="I20" s="27" t="n">
        <x:v>220</x:v>
      </x:c>
      <x:c r="J20" s="27" t="n">
        <x:v>250</x:v>
      </x:c>
      <x:c r="K20" s="13" t="str">
        <x:v>灰色海堤与灯塔立在碎浪前，玻璃窗格把低阳照成银色鳞片</x:v>
      </x:c>
      <x:c r="L20" s="13" t="str">
        <x:v>北西班牙补给、鱼业与远洋修船</x:v>
      </x:c>
      <x:c r="M20" s="13" t="str">
        <x:v>加利西亚抗浪帆船</x:v>
      </x:c>
      <x:c r="N20" s="13" t="str">
        <x:v>远航补给；木材进口；酒馆</x:v>
      </x:c>
      <x:c r="O20" s="13" t="str">
        <x:v>海堤贝母工坊</x:v>
      </x:c>
      <x:c r="P20" s="13" t="str">
        <x:v>SP015</x:v>
      </x:c>
      <x:c r="Q20" s="13" t="str">
        <x:v>灯塔贝母罗盘盒</x:v>
      </x:c>
      <x:c r="R20" s="13" t="str">
        <x:v>以真实海岸、河口或岛屿定位；本作综合1500—1780年前后航海文化，港区构图、工坊品牌、供货与数值均为原创设计。</x:v>
      </x:c>
      <x:c r="S20" s="13" t="str">
        <x:v>今址近似坐标，仅用于设计地图定位；不表达近世政治边界。</x:v>
      </x:c>
      <x:c r="T20" s="13" t="str"/>
    </x:row>
    <x:row r="21" ht="42" customHeight="1">
      <x:c r="A21" s="15" t="str">
        <x:v>P016</x:v>
      </x:c>
      <x:c r="B21" s="15" t="str">
        <x:v>毕尔巴鄂</x:v>
      </x:c>
      <x:c r="C21" s="15" t="str">
        <x:v>西欧与伊比利亚</x:v>
      </x:c>
      <x:c r="D21" s="15" t="str">
        <x:v>Bilbao</x:v>
      </x:c>
      <x:c r="E21" s="15" t="str">
        <x:v>西班牙·巴斯克海岸</x:v>
      </x:c>
      <x:c r="F21" s="29" t="n">
        <x:v>43.263</x:v>
      </x:c>
      <x:c r="G21" s="29" t="n">
        <x:v>-2.935</x:v>
      </x:c>
      <x:c r="H21" s="15" t="str">
        <x:v>河口港</x:v>
      </x:c>
      <x:c r="I21" s="30" t="n">
        <x:v>320</x:v>
      </x:c>
      <x:c r="J21" s="30" t="n">
        <x:v>380</x:v>
      </x:c>
      <x:c r="K21" s="15" t="str">
        <x:v>狭窄山谷里的铁匠火光映上河面，起重机与帆桁轮廓互相穿插</x:v>
      </x:c>
      <x:c r="L21" s="15" t="str">
        <x:v>巴斯克铁器、舰船材料与桶业</x:v>
      </x:c>
      <x:c r="M21" s="15" t="str">
        <x:v>巴斯克厚板海船</x:v>
      </x:c>
      <x:c r="N21" s="15" t="str">
        <x:v>船厂；军需工坊；城市口粮</x:v>
      </x:c>
      <x:c r="O21" s="15" t="str">
        <x:v>赤炉船匠总作坊</x:v>
      </x:c>
      <x:c r="P21" s="15" t="str">
        <x:v>SP016</x:v>
      </x:c>
      <x:c r="Q21" s="15" t="str">
        <x:v>赤炉折齿船匠锯</x:v>
      </x:c>
      <x:c r="R21" s="15" t="str">
        <x:v>以真实海岸、河口或岛屿定位；本作综合1500—1780年前后航海文化，港区构图、工坊品牌、供货与数值均为原创设计。</x:v>
      </x:c>
      <x:c r="S21" s="15" t="str">
        <x:v>今址近似坐标，仅用于设计地图定位；不表达近世政治边界。</x:v>
      </x:c>
      <x:c r="T21" s="15" t="str"/>
    </x:row>
    <x:row r="22" ht="42" customHeight="1">
      <x:c r="A22" s="13" t="str">
        <x:v>P017</x:v>
      </x:c>
      <x:c r="B22" s="13" t="str">
        <x:v>波尔多</x:v>
      </x:c>
      <x:c r="C22" s="13" t="str">
        <x:v>西欧与伊比利亚</x:v>
      </x:c>
      <x:c r="D22" s="13" t="str">
        <x:v>Bordeaux</x:v>
      </x:c>
      <x:c r="E22" s="13" t="str">
        <x:v>法国·加龙河</x:v>
      </x:c>
      <x:c r="F22" s="21" t="n">
        <x:v>44.838</x:v>
      </x:c>
      <x:c r="G22" s="21" t="n">
        <x:v>-0.579</x:v>
      </x:c>
      <x:c r="H22" s="13" t="str">
        <x:v>内河海港</x:v>
      </x:c>
      <x:c r="I22" s="27" t="n">
        <x:v>350</x:v>
      </x:c>
      <x:c r="J22" s="27" t="n">
        <x:v>240</x:v>
      </x:c>
      <x:c r="K22" s="13" t="str">
        <x:v>月牙河湾、石灰白仓库与深红酒帆；堤道阴影里堆满标记酒桶</x:v>
      </x:c>
      <x:c r="L22" s="13" t="str">
        <x:v>葡萄酒、桶材与大西洋转运</x:v>
      </x:c>
      <x:c r="M22" s="13" t="str">
        <x:v>法国河海商帆</x:v>
      </x:c>
      <x:c r="N22" s="13" t="str">
        <x:v>宴会；桶匠；甜食</x:v>
      </x:c>
      <x:c r="O22" s="13" t="str">
        <x:v>月湾酒商共用窖</x:v>
      </x:c>
      <x:c r="P22" s="13" t="str">
        <x:v>SP017</x:v>
      </x:c>
      <x:c r="Q22" s="13" t="str">
        <x:v>月湾黑葡萄珍藏</x:v>
      </x:c>
      <x:c r="R22" s="13" t="str">
        <x:v>以真实海岸、河口或岛屿定位；本作综合1500—1780年前后航海文化，港区构图、工坊品牌、供货与数值均为原创设计。</x:v>
      </x:c>
      <x:c r="S22" s="13" t="str">
        <x:v>今址近似坐标，仅用于设计地图定位；不表达近世政治边界。</x:v>
      </x:c>
      <x:c r="T22" s="13" t="str"/>
    </x:row>
    <x:row r="23" ht="42" customHeight="1">
      <x:c r="A23" s="15" t="str">
        <x:v>P018</x:v>
      </x:c>
      <x:c r="B23" s="15" t="str">
        <x:v>南特</x:v>
      </x:c>
      <x:c r="C23" s="15" t="str">
        <x:v>西欧与伊比利亚</x:v>
      </x:c>
      <x:c r="D23" s="15" t="str">
        <x:v>Nantes</x:v>
      </x:c>
      <x:c r="E23" s="15" t="str">
        <x:v>法国·卢瓦尔河</x:v>
      </x:c>
      <x:c r="F23" s="29" t="n">
        <x:v>47.218</x:v>
      </x:c>
      <x:c r="G23" s="29" t="n">
        <x:v>-1.554</x:v>
      </x:c>
      <x:c r="H23" s="15" t="str">
        <x:v>内河海港</x:v>
      </x:c>
      <x:c r="I23" s="30" t="n">
        <x:v>310</x:v>
      </x:c>
      <x:c r="J23" s="30" t="n">
        <x:v>270</x:v>
      </x:c>
      <x:c r="K23" s="15" t="str">
        <x:v>卢瓦尔沙洲旁是奶油色码头与靛蓝晾布，木桥连接糖库和染坊</x:v>
      </x:c>
      <x:c r="L23" s="15" t="str">
        <x:v>河谷农产、糖业精制与纺织加工</x:v>
      </x:c>
      <x:c r="M23" s="15" t="str">
        <x:v>法国大西洋商船</x:v>
      </x:c>
      <x:c r="N23" s="15" t="str">
        <x:v>染织工坊；甜食；船厂</x:v>
      </x:c>
      <x:c r="O23" s="15" t="str">
        <x:v>河汊挂毯工坊</x:v>
      </x:c>
      <x:c r="P23" s="15" t="str">
        <x:v>SP018</x:v>
      </x:c>
      <x:c r="Q23" s="15" t="str">
        <x:v>卢瓦尔织潮挂毯</x:v>
      </x:c>
      <x:c r="R23" s="15" t="str">
        <x:v>以真实海岸、河口或岛屿定位；本作综合1500—1780年前后航海文化，港区构图、工坊品牌、供货与数值均为原创设计。</x:v>
      </x:c>
      <x:c r="S23" s="15" t="str">
        <x:v>今址近似坐标，仅用于设计地图定位；不表达近世政治边界。</x:v>
      </x:c>
      <x:c r="T23" s="15" t="str"/>
    </x:row>
    <x:row r="24" ht="42" customHeight="1">
      <x:c r="A24" s="13" t="str">
        <x:v>P019</x:v>
      </x:c>
      <x:c r="B24" s="13" t="str">
        <x:v>圣马洛</x:v>
      </x:c>
      <x:c r="C24" s="13" t="str">
        <x:v>西欧与伊比利亚</x:v>
      </x:c>
      <x:c r="D24" s="13" t="str">
        <x:v>Saint-Malo</x:v>
      </x:c>
      <x:c r="E24" s="13" t="str">
        <x:v>法国·布列塔尼</x:v>
      </x:c>
      <x:c r="F24" s="21" t="n">
        <x:v>48.649</x:v>
      </x:c>
      <x:c r="G24" s="21" t="n">
        <x:v>-2.026</x:v>
      </x:c>
      <x:c r="H24" s="13" t="str">
        <x:v>潮汐城港</x:v>
      </x:c>
      <x:c r="I24" s="27" t="n">
        <x:v>270</x:v>
      </x:c>
      <x:c r="J24" s="27" t="n">
        <x:v>370</x:v>
      </x:c>
      <x:c r="K24" s="13" t="str">
        <x:v>巨潮托起灰石城墙，潮退后黑褐海床露出一条发光步道</x:v>
      </x:c>
      <x:c r="L24" s="13" t="str">
        <x:v>私掠补给、远洋鱼业与航海工坊</x:v>
      </x:c>
      <x:c r="M24" s="13" t="str">
        <x:v>布列塔尼高速私掠船</x:v>
      </x:c>
      <x:c r="N24" s="13" t="str">
        <x:v>军港补给；酒馆；远航补给</x:v>
      </x:c>
      <x:c r="O24" s="13" t="str">
        <x:v>潮门皮革金工作坊</x:v>
      </x:c>
      <x:c r="P24" s="13" t="str">
        <x:v>SP019</x:v>
      </x:c>
      <x:c r="Q24" s="13" t="str">
        <x:v>满潮银扣海图筒</x:v>
      </x:c>
      <x:c r="R24" s="13" t="str">
        <x:v>以真实海岸、河口或岛屿定位；本作综合1500—1780年前后航海文化，港区构图、工坊品牌、供货与数值均为原创设计。</x:v>
      </x:c>
      <x:c r="S24" s="13" t="str">
        <x:v>今址近似坐标，仅用于设计地图定位；不表达近世政治边界。</x:v>
      </x:c>
      <x:c r="T24" s="13" t="str"/>
    </x:row>
    <x:row r="25" ht="42" customHeight="1">
      <x:c r="A25" s="15" t="str">
        <x:v>P020</x:v>
      </x:c>
      <x:c r="B25" s="15" t="str">
        <x:v>布雷斯特</x:v>
      </x:c>
      <x:c r="C25" s="15" t="str">
        <x:v>西欧与伊比利亚</x:v>
      </x:c>
      <x:c r="D25" s="15" t="str">
        <x:v>Brest</x:v>
      </x:c>
      <x:c r="E25" s="15" t="str">
        <x:v>法国·布列塔尼西端</x:v>
      </x:c>
      <x:c r="F25" s="29" t="n">
        <x:v>48.39</x:v>
      </x:c>
      <x:c r="G25" s="29" t="n">
        <x:v>-4.486</x:v>
      </x:c>
      <x:c r="H25" s="15" t="str">
        <x:v>深水军港</x:v>
      </x:c>
      <x:c r="I25" s="30" t="n">
        <x:v>300</x:v>
      </x:c>
      <x:c r="J25" s="30" t="n">
        <x:v>470</x:v>
      </x:c>
      <x:c r="K25" s="15" t="str">
        <x:v>深湾船坞、粗壮吊车与一排未装帆的桅杆，灯塔扫过蓝黑岩壁</x:v>
      </x:c>
      <x:c r="L25" s="15" t="str">
        <x:v>大西洋军港与重型修船中心</x:v>
      </x:c>
      <x:c r="M25" s="15" t="str">
        <x:v>法国舰队帆舰</x:v>
      </x:c>
      <x:c r="N25" s="15" t="str">
        <x:v>军港补给；船厂；工具工坊</x:v>
      </x:c>
      <x:c r="O25" s="15" t="str">
        <x:v>深湾索具长廊</x:v>
      </x:c>
      <x:c r="P25" s="15" t="str">
        <x:v>SP020</x:v>
      </x:c>
      <x:c r="Q25" s="15" t="str">
        <x:v>海军蓝浸蜡帆缆</x:v>
      </x:c>
      <x:c r="R25" s="15" t="str">
        <x:v>以真实海岸、河口或岛屿定位；本作综合1500—1780年前后航海文化，港区构图、工坊品牌、供货与数值均为原创设计。</x:v>
      </x:c>
      <x:c r="S25" s="15" t="str">
        <x:v>今址近似坐标，仅用于设计地图定位；不表达近世政治边界。</x:v>
      </x:c>
      <x:c r="T25" s="15" t="str"/>
    </x:row>
    <x:row r="26" ht="42" customHeight="1">
      <x:c r="A26" s="13" t="str">
        <x:v>P021</x:v>
      </x:c>
      <x:c r="B26" s="13" t="str">
        <x:v>马赛</x:v>
      </x:c>
      <x:c r="C26" s="13" t="str">
        <x:v>地中海与黑海</x:v>
      </x:c>
      <x:c r="D26" s="13" t="str">
        <x:v>Marseille</x:v>
      </x:c>
      <x:c r="E26" s="13" t="str">
        <x:v>法国·普罗旺斯</x:v>
      </x:c>
      <x:c r="F26" s="21" t="n">
        <x:v>43.296</x:v>
      </x:c>
      <x:c r="G26" s="21" t="n">
        <x:v>5.37</x:v>
      </x:c>
      <x:c r="H26" s="13" t="str">
        <x:v>天然湾港</x:v>
      </x:c>
      <x:c r="I26" s="27" t="n">
        <x:v>350</x:v>
      </x:c>
      <x:c r="J26" s="27" t="n">
        <x:v>320</x:v>
      </x:c>
      <x:c r="K26" s="13" t="str">
        <x:v>奶白旧港台阶、蓝色遮阳布和金黄皂块；小船穿梭于两座岸堡之间</x:v>
      </x:c>
      <x:c r="L26" s="13" t="str">
        <x:v>橄榄油加工、地中海转口与船舶补给</x:v>
      </x:c>
      <x:c r="M26" s="13" t="str">
        <x:v>普罗旺斯商用三角帆船</x:v>
      </x:c>
      <x:c r="N26" s="13" t="str">
        <x:v>制皂；香料工坊；人口增长</x:v>
      </x:c>
      <x:c r="O26" s="13" t="str">
        <x:v>旧港油皂工坊</x:v>
      </x:c>
      <x:c r="P26" s="13" t="str">
        <x:v>SP021</x:v>
      </x:c>
      <x:c r="Q26" s="13" t="str">
        <x:v>海风月桂皂礼砖</x:v>
      </x:c>
      <x:c r="R26" s="13" t="str">
        <x:v>以真实海岸、河口或岛屿定位；本作综合1500—1780年前后航海文化，港区构图、工坊品牌、供货与数值均为原创设计。</x:v>
      </x:c>
      <x:c r="S26" s="13" t="str">
        <x:v>今址近似坐标，仅用于设计地图定位；不表达近世政治边界。</x:v>
      </x:c>
      <x:c r="T26" s="13" t="str"/>
    </x:row>
    <x:row r="27" ht="42" customHeight="1">
      <x:c r="A27" s="15" t="str">
        <x:v>P022</x:v>
      </x:c>
      <x:c r="B27" s="15" t="str">
        <x:v>热那亚</x:v>
      </x:c>
      <x:c r="C27" s="15" t="str">
        <x:v>地中海与黑海</x:v>
      </x:c>
      <x:c r="D27" s="15" t="str">
        <x:v>Genoa</x:v>
      </x:c>
      <x:c r="E27" s="15" t="str">
        <x:v>意大利·利古里亚</x:v>
      </x:c>
      <x:c r="F27" s="29" t="n">
        <x:v>44.405</x:v>
      </x:c>
      <x:c r="G27" s="29" t="n">
        <x:v>8.946</x:v>
      </x:c>
      <x:c r="H27" s="15" t="str">
        <x:v>山海港</x:v>
      </x:c>
      <x:c r="I27" s="30" t="n">
        <x:v>400</x:v>
      </x:c>
      <x:c r="J27" s="30" t="n">
        <x:v>350</x:v>
      </x:c>
      <x:c r="K27" s="15" t="str">
        <x:v>拱廊码头攀上陡山，条纹石教堂与海上晾开的深蓝布相互呼应</x:v>
      </x:c>
      <x:c r="L27" s="15" t="str">
        <x:v>金融转口、丝绒与航海工艺</x:v>
      </x:c>
      <x:c r="M27" s="15" t="str">
        <x:v>利古里亚桨帆与商帆</x:v>
      </x:c>
      <x:c r="N27" s="15" t="str">
        <x:v>奢华衣料；宫廷；铸币</x:v>
      </x:c>
      <x:c r="O27" s="15" t="str">
        <x:v>山坡丝绒工坊</x:v>
      </x:c>
      <x:c r="P27" s="15" t="str">
        <x:v>SP022</x:v>
      </x:c>
      <x:c r="Q27" s="15" t="str">
        <x:v>蓝帆金边丝绒</x:v>
      </x:c>
      <x:c r="R27" s="15" t="str">
        <x:v>以真实海岸、河口或岛屿定位；本作综合1500—1780年前后航海文化，港区构图、工坊品牌、供货与数值均为原创设计。</x:v>
      </x:c>
      <x:c r="S27" s="15" t="str">
        <x:v>今址近似坐标，仅用于设计地图定位；不表达近世政治边界。</x:v>
      </x:c>
      <x:c r="T27" s="15" t="str"/>
    </x:row>
    <x:row r="28" ht="42" customHeight="1">
      <x:c r="A28" s="13" t="str">
        <x:v>P023</x:v>
      </x:c>
      <x:c r="B28" s="13" t="str">
        <x:v>威尼斯</x:v>
      </x:c>
      <x:c r="C28" s="13" t="str">
        <x:v>地中海与黑海</x:v>
      </x:c>
      <x:c r="D28" s="13" t="str">
        <x:v>Venice</x:v>
      </x:c>
      <x:c r="E28" s="13" t="str">
        <x:v>意大利·亚得里亚海北岸</x:v>
      </x:c>
      <x:c r="F28" s="21" t="n">
        <x:v>45.44</x:v>
      </x:c>
      <x:c r="G28" s="21" t="n">
        <x:v>12.315</x:v>
      </x:c>
      <x:c r="H28" s="13" t="str">
        <x:v>潟湖港</x:v>
      </x:c>
      <x:c r="I28" s="27" t="n">
        <x:v>450</x:v>
      </x:c>
      <x:c r="J28" s="27" t="n">
        <x:v>410</x:v>
      </x:c>
      <x:c r="K28" s="13" t="str">
        <x:v>孔雀蓝潟湖、粉白大理石宫殿和亮如熔糖的玻璃工坊，运河是一条珠链</x:v>
      </x:c>
      <x:c r="L28" s="13" t="str">
        <x:v>奢侈工艺、东方转口与桨帆船厂</x:v>
      </x:c>
      <x:c r="M28" s="13" t="str">
        <x:v>威尼斯军械库桨帆船</x:v>
      </x:c>
      <x:c r="N28" s="13" t="str">
        <x:v>香辛料收藏；宫廷；珠宝工坊</x:v>
      </x:c>
      <x:c r="O28" s="13" t="str">
        <x:v>潟湖玻璃与机械作坊</x:v>
      </x:c>
      <x:c r="P28" s="13" t="str">
        <x:v>SP023</x:v>
      </x:c>
      <x:c r="Q28" s="13" t="str">
        <x:v>千潮琉璃天球灯</x:v>
      </x:c>
      <x:c r="R28" s="13" t="str">
        <x:v>潟湖城市与海上商站网络为真实文化底色；玻璃机械合坊及千潮天球灯为架空工艺。</x:v>
      </x:c>
      <x:c r="S28" s="13" t="str">
        <x:v>今址近似坐标，仅用于设计地图定位；不表达近世政治边界。</x:v>
      </x:c>
      <x:c r="T28" s="13" t="str">
        <x:v>WT-H03</x:v>
      </x:c>
    </x:row>
    <x:row r="29" ht="42" customHeight="1">
      <x:c r="A29" s="15" t="str">
        <x:v>P024</x:v>
      </x:c>
      <x:c r="B29" s="15" t="str">
        <x:v>那不勒斯</x:v>
      </x:c>
      <x:c r="C29" s="15" t="str">
        <x:v>地中海与黑海</x:v>
      </x:c>
      <x:c r="D29" s="15" t="str">
        <x:v>Naples</x:v>
      </x:c>
      <x:c r="E29" s="15" t="str">
        <x:v>意大利·坎帕尼亚</x:v>
      </x:c>
      <x:c r="F29" s="29" t="n">
        <x:v>40.851</x:v>
      </x:c>
      <x:c r="G29" s="29" t="n">
        <x:v>14.269</x:v>
      </x:c>
      <x:c r="H29" s="15" t="str">
        <x:v>火山湾港</x:v>
      </x:c>
      <x:c r="I29" s="30" t="n">
        <x:v>330</x:v>
      </x:c>
      <x:c r="J29" s="30" t="n">
        <x:v>300</x:v>
      </x:c>
      <x:c r="K29" s="15" t="str">
        <x:v>火山轮廓压在深蓝湾后，奶黄楼房前晾着柑橘和珊瑚红饰品</x:v>
      </x:c>
      <x:c r="L29" s="15" t="str">
        <x:v>食品、珊瑚工艺与火山矿物转运</x:v>
      </x:c>
      <x:c r="M29" s="15" t="str">
        <x:v>那不勒斯桨帆战舰</x:v>
      </x:c>
      <x:c r="N29" s="15" t="str">
        <x:v>宴会；珠宝工坊；军港补给</x:v>
      </x:c>
      <x:c r="O29" s="15" t="str">
        <x:v>湾岸珊瑚金工坊</x:v>
      </x:c>
      <x:c r="P29" s="15" t="str">
        <x:v>SP024</x:v>
      </x:c>
      <x:c r="Q29" s="15" t="str">
        <x:v>火山红珊瑚花结</x:v>
      </x:c>
      <x:c r="R29" s="15" t="str">
        <x:v>以真实海岸、河口或岛屿定位；本作综合1500—1780年前后航海文化，港区构图、工坊品牌、供货与数值均为原创设计。</x:v>
      </x:c>
      <x:c r="S29" s="15" t="str">
        <x:v>今址近似坐标，仅用于设计地图定位；不表达近世政治边界。</x:v>
      </x:c>
      <x:c r="T29" s="15" t="str"/>
    </x:row>
    <x:row r="30" ht="42" customHeight="1">
      <x:c r="A30" s="13" t="str">
        <x:v>P025</x:v>
      </x:c>
      <x:c r="B30" s="13" t="str">
        <x:v>巴勒莫</x:v>
      </x:c>
      <x:c r="C30" s="13" t="str">
        <x:v>地中海与黑海</x:v>
      </x:c>
      <x:c r="D30" s="13" t="str">
        <x:v>Palermo</x:v>
      </x:c>
      <x:c r="E30" s="13" t="str">
        <x:v>意大利·西西里</x:v>
      </x:c>
      <x:c r="F30" s="21" t="n">
        <x:v>38.116</x:v>
      </x:c>
      <x:c r="G30" s="21" t="n">
        <x:v>13.362</x:v>
      </x:c>
      <x:c r="H30" s="13" t="str">
        <x:v>岛屿海港</x:v>
      </x:c>
      <x:c r="I30" s="27" t="n">
        <x:v>290</x:v>
      </x:c>
      <x:c r="J30" s="27" t="n">
        <x:v>290</x:v>
      </x:c>
      <x:c r="K30" s="13" t="str">
        <x:v>蜜色石墙、棕榈影与青绿釉砖庭院，山口的香料车队直通渔市</x:v>
      </x:c>
      <x:c r="L30" s="13" t="str">
        <x:v>西西里粮食、甜食与地中海中转</x:v>
      </x:c>
      <x:c r="M30" s="13" t="str">
        <x:v>西西里混合帆装船</x:v>
      </x:c>
      <x:c r="N30" s="13" t="str">
        <x:v>甜食；远航补给；军港补给</x:v>
      </x:c>
      <x:c r="O30" s="13" t="str">
        <x:v>柑橘糖果小院</x:v>
      </x:c>
      <x:c r="P30" s="13" t="str">
        <x:v>SP025</x:v>
      </x:c>
      <x:c r="Q30" s="13" t="str">
        <x:v>西西里柑橘蜜晶</x:v>
      </x:c>
      <x:c r="R30" s="13" t="str">
        <x:v>以真实海岸、河口或岛屿定位；本作综合1500—1780年前后航海文化，港区构图、工坊品牌、供货与数值均为原创设计。</x:v>
      </x:c>
      <x:c r="S30" s="13" t="str">
        <x:v>今址近似坐标，仅用于设计地图定位；不表达近世政治边界。</x:v>
      </x:c>
      <x:c r="T30" s="13" t="str"/>
    </x:row>
    <x:row r="31" ht="42" customHeight="1">
      <x:c r="A31" s="15" t="str">
        <x:v>P026</x:v>
      </x:c>
      <x:c r="B31" s="15" t="str">
        <x:v>瓦莱塔</x:v>
      </x:c>
      <x:c r="C31" s="15" t="str">
        <x:v>地中海与黑海</x:v>
      </x:c>
      <x:c r="D31" s="15" t="str">
        <x:v>Valletta</x:v>
      </x:c>
      <x:c r="E31" s="15" t="str">
        <x:v>马耳他·大港</x:v>
      </x:c>
      <x:c r="F31" s="29" t="n">
        <x:v>35.899</x:v>
      </x:c>
      <x:c r="G31" s="29" t="n">
        <x:v>14.514</x:v>
      </x:c>
      <x:c r="H31" s="15" t="str">
        <x:v>堡垒深水港</x:v>
      </x:c>
      <x:c r="I31" s="30" t="n">
        <x:v>260</x:v>
      </x:c>
      <x:c r="J31" s="30" t="n">
        <x:v>480</x:v>
      </x:c>
      <x:c r="K31" s="15" t="str">
        <x:v>蜂蜜色城墙切开靛蓝海面，多层炮口与白帆骑士旗形成硬朗轮廓</x:v>
      </x:c>
      <x:c r="L31" s="15" t="str">
        <x:v>中地中海修船、护航与军需</x:v>
      </x:c>
      <x:c r="M31" s="15" t="str">
        <x:v>马耳他堡垒桨帆船</x:v>
      </x:c>
      <x:c r="N31" s="15" t="str">
        <x:v>军港补给；船厂；药房</x:v>
      </x:c>
      <x:c r="O31" s="15" t="str">
        <x:v>大港仪器院</x:v>
      </x:c>
      <x:c r="P31" s="15" t="str">
        <x:v>SP026</x:v>
      </x:c>
      <x:c r="Q31" s="15" t="str">
        <x:v>八角潮针护航仪</x:v>
      </x:c>
      <x:c r="R31" s="15" t="str">
        <x:v>以真实海岸、河口或岛屿定位；本作综合1500—1780年前后航海文化，港区构图、工坊品牌、供货与数值均为原创设计。</x:v>
      </x:c>
      <x:c r="S31" s="15" t="str">
        <x:v>今址近似坐标，仅用于设计地图定位；不表达近世政治边界。</x:v>
      </x:c>
      <x:c r="T31" s="15" t="str"/>
    </x:row>
    <x:row r="32" ht="42" customHeight="1">
      <x:c r="A32" s="13" t="str">
        <x:v>P027</x:v>
      </x:c>
      <x:c r="B32" s="13" t="str">
        <x:v>巴塞罗那</x:v>
      </x:c>
      <x:c r="C32" s="13" t="str">
        <x:v>地中海与黑海</x:v>
      </x:c>
      <x:c r="D32" s="13" t="str">
        <x:v>Barcelona</x:v>
      </x:c>
      <x:c r="E32" s="13" t="str">
        <x:v>西班牙·加泰罗尼亚</x:v>
      </x:c>
      <x:c r="F32" s="21" t="n">
        <x:v>41.385</x:v>
      </x:c>
      <x:c r="G32" s="21" t="n">
        <x:v>2.173</x:v>
      </x:c>
      <x:c r="H32" s="13" t="str">
        <x:v>滨海城港</x:v>
      </x:c>
      <x:c r="I32" s="27" t="n">
        <x:v>350</x:v>
      </x:c>
      <x:c r="J32" s="27" t="n">
        <x:v>340</x:v>
      </x:c>
      <x:c r="K32" s="13" t="str">
        <x:v>红砖船坞长拱朝海张开，赭红帆布和蓝白陶墙沿坡道层叠</x:v>
      </x:c>
      <x:c r="L32" s="13" t="str">
        <x:v>加泰罗尼亚纺织、酒与造船</x:v>
      </x:c>
      <x:c r="M32" s="13" t="str">
        <x:v>加泰罗尼亚商桨帆</x:v>
      </x:c>
      <x:c r="N32" s="13" t="str">
        <x:v>纺织工坊；军港补给；染织工坊</x:v>
      </x:c>
      <x:c r="O32" s="13" t="str">
        <x:v>长拱双面织坊</x:v>
      </x:c>
      <x:c r="P32" s="13" t="str">
        <x:v>SP027</x:v>
      </x:c>
      <x:c r="Q32" s="13" t="str">
        <x:v>赤拱双面海商呢</x:v>
      </x:c>
      <x:c r="R32" s="13" t="str">
        <x:v>以真实海岸、河口或岛屿定位；本作综合1500—1780年前后航海文化，港区构图、工坊品牌、供货与数值均为原创设计。</x:v>
      </x:c>
      <x:c r="S32" s="13" t="str">
        <x:v>今址近似坐标，仅用于设计地图定位；不表达近世政治边界。</x:v>
      </x:c>
      <x:c r="T32" s="13" t="str"/>
    </x:row>
    <x:row r="33" ht="42" customHeight="1">
      <x:c r="A33" s="15" t="str">
        <x:v>P028</x:v>
      </x:c>
      <x:c r="B33" s="15" t="str">
        <x:v>阿尔及尔</x:v>
      </x:c>
      <x:c r="C33" s="15" t="str">
        <x:v>地中海与黑海</x:v>
      </x:c>
      <x:c r="D33" s="15" t="str">
        <x:v>Algiers</x:v>
      </x:c>
      <x:c r="E33" s="15" t="str">
        <x:v>阿尔及利亚·地中海南岸</x:v>
      </x:c>
      <x:c r="F33" s="29" t="n">
        <x:v>36.754</x:v>
      </x:c>
      <x:c r="G33" s="29" t="n">
        <x:v>3.058</x:v>
      </x:c>
      <x:c r="H33" s="15" t="str">
        <x:v>台地海港</x:v>
      </x:c>
      <x:c r="I33" s="30" t="n">
        <x:v>320</x:v>
      </x:c>
      <x:c r="J33" s="30" t="n">
        <x:v>400</x:v>
      </x:c>
      <x:c r="K33" s="15" t="str">
        <x:v>纯白台地城顺山倾向港湾，蓝门、露台与三角帆密得像飞鸟</x:v>
      </x:c>
      <x:c r="L33" s="15" t="str">
        <x:v>马格里布转口、皮革与高速船修造</x:v>
      </x:c>
      <x:c r="M33" s="15" t="str">
        <x:v>北非三角帆与舍贝克</x:v>
      </x:c>
      <x:c r="N33" s="15" t="str">
        <x:v>城市衣料；船厂；香料工坊</x:v>
      </x:c>
      <x:c r="O33" s="15" t="str">
        <x:v>露台皮革工坊</x:v>
      </x:c>
      <x:c r="P33" s="15" t="str">
        <x:v>SP028</x:v>
      </x:c>
      <x:c r="Q33" s="15" t="str">
        <x:v>白城嵌银海靴</x:v>
      </x:c>
      <x:c r="R33" s="15" t="str">
        <x:v>以真实海岸、河口或岛屿定位；本作综合1500—1780年前后航海文化，港区构图、工坊品牌、供货与数值均为原创设计。</x:v>
      </x:c>
      <x:c r="S33" s="15" t="str">
        <x:v>今址近似坐标，仅用于设计地图定位；不表达近世政治边界。</x:v>
      </x:c>
      <x:c r="T33" s="15" t="str"/>
    </x:row>
    <x:row r="34" ht="42" customHeight="1">
      <x:c r="A34" s="13" t="str">
        <x:v>P029</x:v>
      </x:c>
      <x:c r="B34" s="13" t="str">
        <x:v>突尼斯</x:v>
      </x:c>
      <x:c r="C34" s="13" t="str">
        <x:v>地中海与黑海</x:v>
      </x:c>
      <x:c r="D34" s="13" t="str">
        <x:v>Tunis</x:v>
      </x:c>
      <x:c r="E34" s="13" t="str">
        <x:v>突尼斯·突尼斯湖</x:v>
      </x:c>
      <x:c r="F34" s="21" t="n">
        <x:v>36.807</x:v>
      </x:c>
      <x:c r="G34" s="21" t="n">
        <x:v>10.182</x:v>
      </x:c>
      <x:c r="H34" s="13" t="str">
        <x:v>潟湖转运港</x:v>
      </x:c>
      <x:c r="I34" s="27" t="n">
        <x:v>320</x:v>
      </x:c>
      <x:c r="J34" s="27" t="n">
        <x:v>280</x:v>
      </x:c>
      <x:c r="K34" s="13" t="str">
        <x:v>绿蓝瓷砖与浅砂石拱廊包围潟湖，染坊的红布从高墙垂下</x:v>
      </x:c>
      <x:c r="L34" s="13" t="str">
        <x:v>北非织造、橄榄油与商队货物</x:v>
      </x:c>
      <x:c r="M34" s="13" t="str">
        <x:v>突尼斯潟湖桨帆船</x:v>
      </x:c>
      <x:c r="N34" s="13" t="str">
        <x:v>染织工坊；甜食；细木工坊</x:v>
      </x:c>
      <x:c r="O34" s="13" t="str">
        <x:v>潟湖染毯行会</x:v>
      </x:c>
      <x:c r="P34" s="13" t="str">
        <x:v>SP029</x:v>
      </x:c>
      <x:c r="Q34" s="13" t="str">
        <x:v>潟湖石榴红织毯</x:v>
      </x:c>
      <x:c r="R34" s="13" t="str">
        <x:v>以真实海岸、河口或岛屿定位；本作综合1500—1780年前后航海文化，港区构图、工坊品牌、供货与数值均为原创设计。</x:v>
      </x:c>
      <x:c r="S34" s="13" t="str">
        <x:v>今址近似坐标，仅用于设计地图定位；不表达近世政治边界。</x:v>
      </x:c>
      <x:c r="T34" s="13" t="str"/>
    </x:row>
    <x:row r="35" ht="42" customHeight="1">
      <x:c r="A35" s="15" t="str">
        <x:v>P030</x:v>
      </x:c>
      <x:c r="B35" s="15" t="str">
        <x:v>亚历山大</x:v>
      </x:c>
      <x:c r="C35" s="15" t="str">
        <x:v>地中海与黑海</x:v>
      </x:c>
      <x:c r="D35" s="15" t="str">
        <x:v>Alexandria</x:v>
      </x:c>
      <x:c r="E35" s="15" t="str">
        <x:v>埃及·尼罗河三角洲西缘</x:v>
      </x:c>
      <x:c r="F35" s="29" t="n">
        <x:v>31.2</x:v>
      </x:c>
      <x:c r="G35" s="29" t="n">
        <x:v>29.919</x:v>
      </x:c>
      <x:c r="H35" s="15" t="str">
        <x:v>双湾海港</x:v>
      </x:c>
      <x:c r="I35" s="30" t="n">
        <x:v>390</x:v>
      </x:c>
      <x:c r="J35" s="30" t="n">
        <x:v>330</x:v>
      </x:c>
      <x:c r="K35" s="15" t="str">
        <x:v>浅金双湾、天蓝遮棚与纸商拱街；遗迹轮廓在远处热浪里轻轻浮动</x:v>
      </x:c>
      <x:c r="L35" s="15" t="str">
        <x:v>尼罗河谷农产、东方转口与学术交易</x:v>
      </x:c>
      <x:c r="M35" s="15" t="str">
        <x:v>埃及地中海商帆</x:v>
      </x:c>
      <x:c r="N35" s="15" t="str">
        <x:v>学会；香料工坊；远航补给</x:v>
      </x:c>
      <x:c r="O35" s="15" t="str">
        <x:v>港湾抄绘与装帧院</x:v>
      </x:c>
      <x:c r="P35" s="15" t="str">
        <x:v>SP030</x:v>
      </x:c>
      <x:c r="Q35" s="15" t="str">
        <x:v>星沙彩绘航路册</x:v>
      </x:c>
      <x:c r="R35" s="15" t="str">
        <x:v>以真实海岸、河口或岛屿定位；本作综合1500—1780年前后航海文化，港区构图、工坊品牌、供货与数值均为原创设计。</x:v>
      </x:c>
      <x:c r="S35" s="15" t="str">
        <x:v>今址近似坐标，仅用于设计地图定位；不表达近世政治边界。</x:v>
      </x:c>
      <x:c r="T35" s="15" t="str"/>
    </x:row>
    <x:row r="36" ht="42" customHeight="1">
      <x:c r="A36" s="13" t="str">
        <x:v>P031</x:v>
      </x:c>
      <x:c r="B36" s="13" t="str">
        <x:v>坎迪亚</x:v>
      </x:c>
      <x:c r="C36" s="13" t="str">
        <x:v>地中海与黑海</x:v>
      </x:c>
      <x:c r="D36" s="13" t="str">
        <x:v>Heraklion</x:v>
      </x:c>
      <x:c r="E36" s="13" t="str">
        <x:v>希腊·克里特岛</x:v>
      </x:c>
      <x:c r="F36" s="21" t="n">
        <x:v>35.339</x:v>
      </x:c>
      <x:c r="G36" s="21" t="n">
        <x:v>25.144</x:v>
      </x:c>
      <x:c r="H36" s="13" t="str">
        <x:v>岛屿堡港</x:v>
      </x:c>
      <x:c r="I36" s="27" t="n">
        <x:v>230</x:v>
      </x:c>
      <x:c r="J36" s="27" t="n">
        <x:v>330</x:v>
      </x:c>
      <x:c r="K36" s="13" t="str">
        <x:v>赭石海堡伸入青绿色水，岛上橄榄坡地与白色帆翼风车隔岸相望</x:v>
      </x:c>
      <x:c r="L36" s="13" t="str">
        <x:v>克里特葡萄酒、橄榄油与岛间补给</x:v>
      </x:c>
      <x:c r="M36" s="13" t="str">
        <x:v>克里特岛桨帆船</x:v>
      </x:c>
      <x:c r="N36" s="13" t="str">
        <x:v>军港补给；酒馆；细工工坊</x:v>
      </x:c>
      <x:c r="O36" s="13" t="str">
        <x:v>山坡低温榨油坊</x:v>
      </x:c>
      <x:c r="P36" s="13" t="str">
        <x:v>SP031</x:v>
      </x:c>
      <x:c r="Q36" s="13" t="str">
        <x:v>迷宫叶脉橄榄油</x:v>
      </x:c>
      <x:c r="R36" s="13" t="str">
        <x:v>以真实海岸、河口或岛屿定位；本作综合1500—1780年前后航海文化，港区构图、工坊品牌、供货与数值均为原创设计。</x:v>
      </x:c>
      <x:c r="S36" s="13" t="str">
        <x:v>今址近似坐标，仅用于设计地图定位；不表达近世政治边界。</x:v>
      </x:c>
      <x:c r="T36" s="13" t="str"/>
    </x:row>
    <x:row r="37" ht="42" customHeight="1">
      <x:c r="A37" s="15" t="str">
        <x:v>P032</x:v>
      </x:c>
      <x:c r="B37" s="15" t="str">
        <x:v>君士坦丁堡</x:v>
      </x:c>
      <x:c r="C37" s="15" t="str">
        <x:v>地中海与黑海</x:v>
      </x:c>
      <x:c r="D37" s="15" t="str">
        <x:v>Istanbul</x:v>
      </x:c>
      <x:c r="E37" s="15" t="str">
        <x:v>土耳其·博斯普鲁斯海峡</x:v>
      </x:c>
      <x:c r="F37" s="29" t="n">
        <x:v>41.008</x:v>
      </x:c>
      <x:c r="G37" s="29" t="n">
        <x:v>28.978</x:v>
      </x:c>
      <x:c r="H37" s="15" t="str">
        <x:v>海峡都会港</x:v>
      </x:c>
      <x:c r="I37" s="30" t="n">
        <x:v>450</x:v>
      </x:c>
      <x:c r="J37" s="30" t="n">
        <x:v>470</x:v>
      </x:c>
      <x:c r="K37" s="15" t="str">
        <x:v>金角湾如弯月包住层层穹顶，红木船身、郁金香砖与香料穹廊相接</x:v>
      </x:c>
      <x:c r="L37" s="15" t="str">
        <x:v>欧亚转口、宫廷工艺与海峡军港</x:v>
      </x:c>
      <x:c r="M37" s="15" t="str">
        <x:v>奥斯曼桨帆与远洋商船</x:v>
      </x:c>
      <x:c r="N37" s="15" t="str">
        <x:v>宫廷；咖啡馆；珠宝工坊</x:v>
      </x:c>
      <x:c r="O37" s="15" t="str">
        <x:v>金角湾嵌瓷总作坊</x:v>
      </x:c>
      <x:c r="P37" s="15" t="str">
        <x:v>SP032</x:v>
      </x:c>
      <x:c r="Q37" s="15" t="str">
        <x:v>月穹郁金香嵌瓷匣</x:v>
      </x:c>
      <x:c r="R37" s="15" t="str">
        <x:v>以真实海岸、河口或岛屿定位；本作综合1500—1780年前后航海文化，港区构图、工坊品牌、供货与数值均为原创设计。</x:v>
      </x:c>
      <x:c r="S37" s="15" t="str">
        <x:v>今址近似坐标，仅用于设计地图定位；不表达近世政治边界。</x:v>
      </x:c>
      <x:c r="T37" s="15" t="str"/>
    </x:row>
    <x:row r="38" ht="42" customHeight="1">
      <x:c r="A38" s="13" t="str">
        <x:v>P033</x:v>
      </x:c>
      <x:c r="B38" s="13" t="str">
        <x:v>拉古萨</x:v>
      </x:c>
      <x:c r="C38" s="13" t="str">
        <x:v>地中海与黑海</x:v>
      </x:c>
      <x:c r="D38" s="13" t="str">
        <x:v>Dubrovnik</x:v>
      </x:c>
      <x:c r="E38" s="13" t="str">
        <x:v>克罗地亚·达尔马提亚海岸</x:v>
      </x:c>
      <x:c r="F38" s="21" t="n">
        <x:v>42.651</x:v>
      </x:c>
      <x:c r="G38" s="21" t="n">
        <x:v>18.094</x:v>
      </x:c>
      <x:c r="H38" s="13" t="str">
        <x:v>城墙港</x:v>
      </x:c>
      <x:c r="I38" s="27" t="n">
        <x:v>300</x:v>
      </x:c>
      <x:c r="J38" s="27" t="n">
        <x:v>320</x:v>
      </x:c>
      <x:c r="K38" s="13" t="str">
        <x:v>白石城墙抱住小港，橙红屋顶与海面蓝影被窄街切成棋盘</x:v>
      </x:c>
      <x:c r="L38" s="13" t="str">
        <x:v>亚得里亚海转运、航海服务与精细金工</x:v>
      </x:c>
      <x:c r="M38" s="13" t="str">
        <x:v>拉古萨远洋商船</x:v>
      </x:c>
      <x:c r="N38" s="13" t="str">
        <x:v>学会；城市衣料；宴会</x:v>
      </x:c>
      <x:c r="O38" s="13" t="str">
        <x:v>银丝船徽工坊</x:v>
      </x:c>
      <x:c r="P38" s="13" t="str">
        <x:v>SP033</x:v>
      </x:c>
      <x:c r="Q38" s="13" t="str">
        <x:v>白石城银丝船徽</x:v>
      </x:c>
      <x:c r="R38" s="13" t="str">
        <x:v>以真实海岸、河口或岛屿定位；本作综合1500—1780年前后航海文化，港区构图、工坊品牌、供货与数值均为原创设计。</x:v>
      </x:c>
      <x:c r="S38" s="13" t="str">
        <x:v>今址近似坐标，仅用于设计地图定位；不表达近世政治边界。</x:v>
      </x:c>
      <x:c r="T38" s="13" t="str"/>
    </x:row>
    <x:row r="39" ht="42" customHeight="1">
      <x:c r="A39" s="15" t="str">
        <x:v>P034</x:v>
      </x:c>
      <x:c r="B39" s="15" t="str">
        <x:v>卡法</x:v>
      </x:c>
      <x:c r="C39" s="15" t="str">
        <x:v>地中海与黑海</x:v>
      </x:c>
      <x:c r="D39" s="15" t="str">
        <x:v>Feodosia</x:v>
      </x:c>
      <x:c r="E39" s="15" t="str">
        <x:v>黑海·克里米亚东南岸</x:v>
      </x:c>
      <x:c r="F39" s="29" t="n">
        <x:v>45.032</x:v>
      </x:c>
      <x:c r="G39" s="29" t="n">
        <x:v>35.377</x:v>
      </x:c>
      <x:c r="H39" s="15" t="str">
        <x:v>黑海湾港</x:v>
      </x:c>
      <x:c r="I39" s="30" t="n">
        <x:v>220</x:v>
      </x:c>
      <x:c r="J39" s="30" t="n">
        <x:v>310</x:v>
      </x:c>
      <x:c r="K39" s="15" t="str">
        <x:v>黑海青灰浪前是褐石堡垒，草原车队的绣帐一直延至海滩</x:v>
      </x:c>
      <x:c r="L39" s="15" t="str">
        <x:v>黑海粮食、皮革与草原转口</x:v>
      </x:c>
      <x:c r="M39" s="15" t="str">
        <x:v>黑海混合桨帆船</x:v>
      </x:c>
      <x:c r="N39" s="15" t="str">
        <x:v>远航补给；城市衣料；军需工坊</x:v>
      </x:c>
      <x:c r="O39" s="15" t="str">
        <x:v>商队与船团织作坊</x:v>
      </x:c>
      <x:c r="P39" s="15" t="str">
        <x:v>SP034</x:v>
      </x:c>
      <x:c r="Q39" s="15" t="str">
        <x:v>草海银扣旅行毯</x:v>
      </x:c>
      <x:c r="R39" s="15" t="str">
        <x:v>以真实海岸、河口或岛屿定位；本作综合1500—1780年前后航海文化，港区构图、工坊品牌、供货与数值均为原创设计。</x:v>
      </x:c>
      <x:c r="S39" s="15" t="str">
        <x:v>今址近似坐标，仅用于设计地图定位；不表达近世政治边界。</x:v>
      </x:c>
      <x:c r="T39" s="15" t="str"/>
    </x:row>
    <x:row r="40" ht="42" customHeight="1">
      <x:c r="A40" s="13" t="str">
        <x:v>P035</x:v>
      </x:c>
      <x:c r="B40" s="13" t="str">
        <x:v>丰沙尔</x:v>
      </x:c>
      <x:c r="C40" s="13" t="str">
        <x:v>西非与大西洋群岛</x:v>
      </x:c>
      <x:c r="D40" s="13" t="str">
        <x:v>Funchal</x:v>
      </x:c>
      <x:c r="E40" s="13" t="str">
        <x:v>马德拉群岛</x:v>
      </x:c>
      <x:c r="F40" s="21" t="n">
        <x:v>32.666</x:v>
      </x:c>
      <x:c r="G40" s="21" t="n">
        <x:v>-16.924</x:v>
      </x:c>
      <x:c r="H40" s="13" t="str">
        <x:v>火山岛港</x:v>
      </x:c>
      <x:c r="I40" s="27" t="n">
        <x:v>240</x:v>
      </x:c>
      <x:c r="J40" s="27" t="n">
        <x:v>170</x:v>
      </x:c>
      <x:c r="K40" s="13" t="str">
        <x:v>火山山坡长满葡萄架，白墙红瓦的城向深蓝港湾层层落下</x:v>
      </x:c>
      <x:c r="L40" s="13" t="str">
        <x:v>大西洋葡萄酒、糖与补给</x:v>
      </x:c>
      <x:c r="M40" s="13" t="str">
        <x:v>马德拉信风商船</x:v>
      </x:c>
      <x:c r="N40" s="13" t="str">
        <x:v>宴会；远航补给；桶匠</x:v>
      </x:c>
      <x:c r="O40" s="13" t="str">
        <x:v>火山温窖酒厂</x:v>
      </x:c>
      <x:c r="P40" s="13" t="str">
        <x:v>SP035</x:v>
      </x:c>
      <x:c r="Q40" s="13" t="str">
        <x:v>火山温窖马德拉酒</x:v>
      </x:c>
      <x:c r="R40" s="13" t="str">
        <x:v>以真实海岸、河口或岛屿定位；本作综合1500—1780年前后航海文化，港区构图、工坊品牌、供货与数值均为原创设计。</x:v>
      </x:c>
      <x:c r="S40" s="13" t="str">
        <x:v>今址近似坐标，仅用于设计地图定位；不表达近世政治边界。</x:v>
      </x:c>
      <x:c r="T40" s="13" t="str"/>
    </x:row>
    <x:row r="41" ht="42" customHeight="1">
      <x:c r="A41" s="15" t="str">
        <x:v>P036</x:v>
      </x:c>
      <x:c r="B41" s="15" t="str">
        <x:v>蓬塔德尔加达</x:v>
      </x:c>
      <x:c r="C41" s="15" t="str">
        <x:v>西非与大西洋群岛</x:v>
      </x:c>
      <x:c r="D41" s="15" t="str">
        <x:v>Ponta Delgada</x:v>
      </x:c>
      <x:c r="E41" s="15" t="str">
        <x:v>亚速尔群岛·圣米格尔岛</x:v>
      </x:c>
      <x:c r="F41" s="29" t="n">
        <x:v>37.742</x:v>
      </x:c>
      <x:c r="G41" s="29" t="n">
        <x:v>-25.675</x:v>
      </x:c>
      <x:c r="H41" s="15" t="str">
        <x:v>火山岛港</x:v>
      </x:c>
      <x:c r="I41" s="30" t="n">
        <x:v>150</x:v>
      </x:c>
      <x:c r="J41" s="30" t="n">
        <x:v>130</x:v>
      </x:c>
      <x:c r="K41" s="15" t="str">
        <x:v>黑玄武岩与白粉墙构成清晰棋格，港后蓝绣球与绿牧场交错</x:v>
      </x:c>
      <x:c r="L41" s="15" t="str">
        <x:v>中大西洋接力补给、乳品与农产</x:v>
      </x:c>
      <x:c r="M41" s="15" t="str">
        <x:v>亚速尔补给帆船</x:v>
      </x:c>
      <x:c r="N41" s="15" t="str">
        <x:v>远航补给；工具工坊；城市衣料</x:v>
      </x:c>
      <x:c r="O41" s="15" t="str">
        <x:v>雨岛乳酪熟成库</x:v>
      </x:c>
      <x:c r="P41" s="15" t="str">
        <x:v>SP036</x:v>
      </x:c>
      <x:c r="Q41" s="15" t="str">
        <x:v>雨岛海盐熟成乳酪</x:v>
      </x:c>
      <x:c r="R41" s="15" t="str">
        <x:v>以真实海岸、河口或岛屿定位；本作综合1500—1780年前后航海文化，港区构图、工坊品牌、供货与数值均为原创设计。</x:v>
      </x:c>
      <x:c r="S41" s="15" t="str">
        <x:v>今址近似坐标，仅用于设计地图定位；不表达近世政治边界。</x:v>
      </x:c>
      <x:c r="T41" s="15" t="str"/>
    </x:row>
    <x:row r="42" ht="42" customHeight="1">
      <x:c r="A42" s="13" t="str">
        <x:v>P037</x:v>
      </x:c>
      <x:c r="B42" s="13" t="str">
        <x:v>拉斯帕尔马斯</x:v>
      </x:c>
      <x:c r="C42" s="13" t="str">
        <x:v>西非与大西洋群岛</x:v>
      </x:c>
      <x:c r="D42" s="13" t="str">
        <x:v>Las Palmas</x:v>
      </x:c>
      <x:c r="E42" s="13" t="str">
        <x:v>加那利群岛·大加那利岛</x:v>
      </x:c>
      <x:c r="F42" s="21" t="n">
        <x:v>28.124</x:v>
      </x:c>
      <x:c r="G42" s="21" t="n">
        <x:v>-15.437</x:v>
      </x:c>
      <x:c r="H42" s="13" t="str">
        <x:v>信风补给港</x:v>
      </x:c>
      <x:c r="I42" s="27" t="n">
        <x:v>230</x:v>
      </x:c>
      <x:c r="J42" s="27" t="n">
        <x:v>240</x:v>
      </x:c>
      <x:c r="K42" s="13" t="str">
        <x:v>赭色石塔、香蕉状绿叶与粉白街廊面向信风，桅杆间挂着彩色遮棚</x:v>
      </x:c>
      <x:c r="L42" s="13" t="str">
        <x:v>加那利补给、葡萄酒与群岛糖贸</x:v>
      </x:c>
      <x:c r="M42" s="13" t="str">
        <x:v>加那利轻商帆</x:v>
      </x:c>
      <x:c r="N42" s="13" t="str">
        <x:v>远航补给；染织工坊；酒馆</x:v>
      </x:c>
      <x:c r="O42" s="13" t="str">
        <x:v>海崖紫苔染坊</x:v>
      </x:c>
      <x:c r="P42" s="13" t="str">
        <x:v>SP037</x:v>
      </x:c>
      <x:c r="Q42" s="13" t="str">
        <x:v>信风紫苔染粉</x:v>
      </x:c>
      <x:c r="R42" s="13" t="str">
        <x:v>以真实海岸、河口或岛屿定位；本作综合1500—1780年前后航海文化，港区构图、工坊品牌、供货与数值均为原创设计。</x:v>
      </x:c>
      <x:c r="S42" s="13" t="str">
        <x:v>今址近似坐标，仅用于设计地图定位；不表达近世政治边界。</x:v>
      </x:c>
      <x:c r="T42" s="13" t="str"/>
    </x:row>
    <x:row r="43" ht="42" customHeight="1">
      <x:c r="A43" s="15" t="str">
        <x:v>P038</x:v>
      </x:c>
      <x:c r="B43" s="15" t="str">
        <x:v>阿尔金</x:v>
      </x:c>
      <x:c r="C43" s="15" t="str">
        <x:v>西非与大西洋群岛</x:v>
      </x:c>
      <x:c r="D43" s="15" t="str">
        <x:v>Arguin</x:v>
      </x:c>
      <x:c r="E43" s="15" t="str">
        <x:v>毛里塔尼亚·阿尔金湾</x:v>
      </x:c>
      <x:c r="F43" s="29" t="n">
        <x:v>20.589</x:v>
      </x:c>
      <x:c r="G43" s="29" t="n">
        <x:v>-16.463</x:v>
      </x:c>
      <x:c r="H43" s="15" t="str">
        <x:v>沙洲岛港</x:v>
      </x:c>
      <x:c r="I43" s="30" t="n">
        <x:v>90</x:v>
      </x:c>
      <x:c r="J43" s="30" t="n">
        <x:v>160</x:v>
      </x:c>
      <x:c r="K43" s="15" t="str">
        <x:v>白沙洲、低矮土金商馆与翡翠色浅滩，盐袋边始终停着细长渔舟</x:v>
      </x:c>
      <x:c r="L43" s="15" t="str">
        <x:v>沙海—海路换装、盐、鱼与树胶</x:v>
      </x:c>
      <x:c r="M43" s="15" t="str">
        <x:v>西非浅滩帆舟</x:v>
      </x:c>
      <x:c r="N43" s="15" t="str">
        <x:v>城市口粮；纺织工坊；工具工坊</x:v>
      </x:c>
      <x:c r="O43" s="15" t="str">
        <x:v>浅滩贝珠工坊</x:v>
      </x:c>
      <x:c r="P43" s="15" t="str">
        <x:v>SP038</x:v>
      </x:c>
      <x:c r="Q43" s="15" t="str">
        <x:v>白沙航迹贝珠串</x:v>
      </x:c>
      <x:c r="R43" s="15" t="str">
        <x:v>以真实海岸、河口或岛屿定位；本作综合1500—1780年前后航海文化，港区构图、工坊品牌、供货与数值均为原创设计。</x:v>
      </x:c>
      <x:c r="S43" s="15" t="str">
        <x:v>今址近似坐标，仅用于设计地图定位；不表达近世政治边界。</x:v>
      </x:c>
      <x:c r="T43" s="15" t="str"/>
    </x:row>
    <x:row r="44" ht="42" customHeight="1">
      <x:c r="A44" s="13" t="str">
        <x:v>P039</x:v>
      </x:c>
      <x:c r="B44" s="13" t="str">
        <x:v>圣路易</x:v>
      </x:c>
      <x:c r="C44" s="13" t="str">
        <x:v>西非与大西洋群岛</x:v>
      </x:c>
      <x:c r="D44" s="13" t="str">
        <x:v>Saint-Louis</x:v>
      </x:c>
      <x:c r="E44" s="13" t="str">
        <x:v>塞内加尔河口</x:v>
      </x:c>
      <x:c r="F44" s="21" t="n">
        <x:v>16.033</x:v>
      </x:c>
      <x:c r="G44" s="21" t="n">
        <x:v>-16.5</x:v>
      </x:c>
      <x:c r="H44" s="13" t="str">
        <x:v>河口岛港</x:v>
      </x:c>
      <x:c r="I44" s="27" t="n">
        <x:v>160</x:v>
      </x:c>
      <x:c r="J44" s="27" t="n">
        <x:v>180</x:v>
      </x:c>
      <x:c r="K44" s="13" t="str">
        <x:v>玫瑰色河光映着双层阳台，河口沙洲间的长舟缀满彩绘尖艏</x:v>
      </x:c>
      <x:c r="L44" s="13" t="str">
        <x:v>塞内加尔河树胶、谷物与染织</x:v>
      </x:c>
      <x:c r="M44" s="13" t="str">
        <x:v>塞内加尔河海帆舟</x:v>
      </x:c>
      <x:c r="N44" s="13" t="str">
        <x:v>染织工坊；城市衣料；工具工坊</x:v>
      </x:c>
      <x:c r="O44" s="13" t="str">
        <x:v>金河胶彩精制作坊</x:v>
      </x:c>
      <x:c r="P44" s="13" t="str">
        <x:v>SP039</x:v>
      </x:c>
      <x:c r="Q44" s="13" t="str">
        <x:v>金河阿拉伯胶画彩</x:v>
      </x:c>
      <x:c r="R44" s="13" t="str">
        <x:v>以真实海岸、河口或岛屿定位；本作综合1500—1780年前后航海文化，港区构图、工坊品牌、供货与数值均为原创设计。</x:v>
      </x:c>
      <x:c r="S44" s="13" t="str">
        <x:v>今址近似坐标，仅用于设计地图定位；不表达近世政治边界。</x:v>
      </x:c>
      <x:c r="T44" s="13" t="str"/>
    </x:row>
    <x:row r="45" ht="42" customHeight="1">
      <x:c r="A45" s="15" t="str">
        <x:v>P040</x:v>
      </x:c>
      <x:c r="B45" s="15" t="str">
        <x:v>里贝拉格兰德</x:v>
      </x:c>
      <x:c r="C45" s="15" t="str">
        <x:v>西非与大西洋群岛</x:v>
      </x:c>
      <x:c r="D45" s="15" t="str">
        <x:v>Cidade Velha</x:v>
      </x:c>
      <x:c r="E45" s="15" t="str">
        <x:v>佛得角·圣地亚哥岛</x:v>
      </x:c>
      <x:c r="F45" s="29" t="n">
        <x:v>14.915</x:v>
      </x:c>
      <x:c r="G45" s="29" t="n">
        <x:v>-23.605</x:v>
      </x:c>
      <x:c r="H45" s="15" t="str">
        <x:v>火山岛河口港</x:v>
      </x:c>
      <x:c r="I45" s="30" t="n">
        <x:v>180</x:v>
      </x:c>
      <x:c r="J45" s="30" t="n">
        <x:v>240</x:v>
      </x:c>
      <x:c r="K45" s="15" t="str">
        <x:v>黑色火山谷向海敞开，白色小堂与甘蔗田夹着窄窄绿河</x:v>
      </x:c>
      <x:c r="L45" s="15" t="str">
        <x:v>大西洋补给、棉布、糖及岛链转运</x:v>
      </x:c>
      <x:c r="M45" s="15" t="str">
        <x:v>佛得角信风帆舟</x:v>
      </x:c>
      <x:c r="N45" s="15" t="str">
        <x:v>远航补给；工具工坊；木材进口</x:v>
      </x:c>
      <x:c r="O45" s="15" t="str">
        <x:v>峡谷手织合作坊</x:v>
      </x:c>
      <x:c r="P45" s="15" t="str">
        <x:v>SP040</x:v>
      </x:c>
      <x:c r="Q45" s="15" t="str">
        <x:v>火山谷双影棉披布</x:v>
      </x:c>
      <x:c r="R45" s="15" t="str">
        <x:v>里贝拉格兰德具有真实跨大西洋港口历史；棉布品牌与合作工坊为本作设计。</x:v>
      </x:c>
      <x:c r="S45" s="15" t="str">
        <x:v>今址近似坐标，仅用于设计地图定位；不表达近世政治边界。</x:v>
      </x:c>
      <x:c r="T45" s="15" t="str">
        <x:v>WT-H04</x:v>
      </x:c>
    </x:row>
    <x:row r="46" ht="42" customHeight="1">
      <x:c r="A46" s="13" t="str">
        <x:v>P041</x:v>
      </x:c>
      <x:c r="B46" s="13" t="str">
        <x:v>埃尔米纳</x:v>
      </x:c>
      <x:c r="C46" s="13" t="str">
        <x:v>西非与大西洋群岛</x:v>
      </x:c>
      <x:c r="D46" s="13" t="str">
        <x:v>Elmina</x:v>
      </x:c>
      <x:c r="E46" s="13" t="str">
        <x:v>加纳·黄金海岸</x:v>
      </x:c>
      <x:c r="F46" s="21" t="n">
        <x:v>5.084</x:v>
      </x:c>
      <x:c r="G46" s="21" t="n">
        <x:v>-1.35</x:v>
      </x:c>
      <x:c r="H46" s="13" t="str">
        <x:v>堡垒渔港</x:v>
      </x:c>
      <x:c r="I46" s="27" t="n">
        <x:v>230</x:v>
      </x:c>
      <x:c r="J46" s="27" t="n">
        <x:v>330</x:v>
      </x:c>
      <x:c r="K46" s="13" t="str">
        <x:v>白墙海堡压在金褐沙滩上，彩绘捕鱼舟与黄铜匠棚形成热烈前景</x:v>
      </x:c>
      <x:c r="L46" s="13" t="str">
        <x:v>黄金海岸交换、鱼业与细工</x:v>
      </x:c>
      <x:c r="M46" s="13" t="str">
        <x:v>黄金海岸浅水帆舟</x:v>
      </x:c>
      <x:c r="N46" s="13" t="str">
        <x:v>工具工坊；城市衣料；珠宝工坊</x:v>
      </x:c>
      <x:c r="O46" s="13" t="str">
        <x:v>海岸失蜡金工作坊</x:v>
      </x:c>
      <x:c r="P46" s="13" t="str">
        <x:v>SP041</x:v>
      </x:c>
      <x:c r="Q46" s="13" t="str">
        <x:v>黄金海岸失蜡秤饰</x:v>
      </x:c>
      <x:c r="R46" s="13" t="str">
        <x:v>海堡与黄金海岸贸易有史料依据；秤饰图样和港口发展不等于照搬现实殖民管理。</x:v>
      </x:c>
      <x:c r="S46" s="13" t="str">
        <x:v>今址近似坐标，仅用于设计地图定位；不表达近世政治边界。</x:v>
      </x:c>
      <x:c r="T46" s="13" t="str">
        <x:v>WT-H20</x:v>
      </x:c>
    </x:row>
    <x:row r="47" ht="42" customHeight="1">
      <x:c r="A47" s="15" t="str">
        <x:v>P042</x:v>
      </x:c>
      <x:c r="B47" s="15" t="str">
        <x:v>圣多美</x:v>
      </x:c>
      <x:c r="C47" s="15" t="str">
        <x:v>西非与大西洋群岛</x:v>
      </x:c>
      <x:c r="D47" s="15" t="str">
        <x:v>São Tomé</x:v>
      </x:c>
      <x:c r="E47" s="15" t="str">
        <x:v>几内亚湾·圣多美岛</x:v>
      </x:c>
      <x:c r="F47" s="29" t="n">
        <x:v>0.337</x:v>
      </x:c>
      <x:c r="G47" s="29" t="n">
        <x:v>6.728</x:v>
      </x:c>
      <x:c r="H47" s="15" t="str">
        <x:v>赤道岛港</x:v>
      </x:c>
      <x:c r="I47" s="30" t="n">
        <x:v>170</x:v>
      </x:c>
      <x:c r="J47" s="30" t="n">
        <x:v>190</x:v>
      </x:c>
      <x:c r="K47" s="15" t="str">
        <x:v>赤道雨林包住白墙红顶，甘蔗车从桥上穿过，海面像深绿翡翠</x:v>
      </x:c>
      <x:c r="L47" s="15" t="str">
        <x:v>岛屿糖业、油料与赤道补给</x:v>
      </x:c>
      <x:c r="M47" s="15" t="str">
        <x:v>几内亚湾岛屿货船</x:v>
      </x:c>
      <x:c r="N47" s="15" t="str">
        <x:v>甜食；工具工坊；城市衣料</x:v>
      </x:c>
      <x:c r="O47" s="15" t="str">
        <x:v>赤道糖砖磨坊</x:v>
      </x:c>
      <x:c r="P47" s="15" t="str">
        <x:v>SP042</x:v>
      </x:c>
      <x:c r="Q47" s="15" t="str">
        <x:v>雨林焦糖香砖</x:v>
      </x:c>
      <x:c r="R47" s="15" t="str">
        <x:v>以真实海岸、河口或岛屿定位；本作综合1500—1780年前后航海文化，港区构图、工坊品牌、供货与数值均为原创设计。</x:v>
      </x:c>
      <x:c r="S47" s="15" t="str">
        <x:v>今址近似坐标，仅用于设计地图定位；不表达近世政治边界。</x:v>
      </x:c>
      <x:c r="T47" s="15" t="str"/>
    </x:row>
    <x:row r="48" ht="42" customHeight="1">
      <x:c r="A48" s="13" t="str">
        <x:v>P043</x:v>
      </x:c>
      <x:c r="B48" s="13" t="str">
        <x:v>开普敦</x:v>
      </x:c>
      <x:c r="C48" s="13" t="str">
        <x:v>东非与西印度洋</x:v>
      </x:c>
      <x:c r="D48" s="13" t="str">
        <x:v>Cape Town</x:v>
      </x:c>
      <x:c r="E48" s="13" t="str">
        <x:v>南非·桌湾</x:v>
      </x:c>
      <x:c r="F48" s="21" t="n">
        <x:v>-33.925</x:v>
      </x:c>
      <x:c r="G48" s="21" t="n">
        <x:v>18.424</x:v>
      </x:c>
      <x:c r="H48" s="13" t="str">
        <x:v>岬角补给港</x:v>
      </x:c>
      <x:c r="I48" s="27" t="n">
        <x:v>260</x:v>
      </x:c>
      <x:c r="J48" s="27" t="n">
        <x:v>320</x:v>
      </x:c>
      <x:c r="K48" s="13" t="str">
        <x:v>平顶山像巨幅舞台背景，桌湾白浪前铺开红瓦码头与菜园绿带</x:v>
      </x:c>
      <x:c r="L48" s="13" t="str">
        <x:v>绕好望角补给、肉食与远航修造</x:v>
      </x:c>
      <x:c r="M48" s="13" t="str">
        <x:v>开普荷式远洋货船</x:v>
      </x:c>
      <x:c r="N48" s="13" t="str">
        <x:v>远航补给；船厂；城市衣料</x:v>
      </x:c>
      <x:c r="O48" s="13" t="str">
        <x:v>桌山麝香葡萄酒庄</x:v>
      </x:c>
      <x:c r="P48" s="13" t="str">
        <x:v>SP043</x:v>
      </x:c>
      <x:c r="Q48" s="13" t="str">
        <x:v>桌山云冠麝香酒</x:v>
      </x:c>
      <x:c r="R48" s="13" t="str">
        <x:v>补给港和酒业采用17—18世纪要素；同一世界还保留较早船型供文化技术成长。</x:v>
      </x:c>
      <x:c r="S48" s="13" t="str">
        <x:v>今址近似坐标，仅用于设计地图定位；不表达近世政治边界。</x:v>
      </x:c>
      <x:c r="T48" s="13" t="str"/>
    </x:row>
    <x:row r="49" ht="42" customHeight="1">
      <x:c r="A49" s="15" t="str">
        <x:v>P044</x:v>
      </x:c>
      <x:c r="B49" s="15" t="str">
        <x:v>莫桑比克岛</x:v>
      </x:c>
      <x:c r="C49" s="15" t="str">
        <x:v>东非与西印度洋</x:v>
      </x:c>
      <x:c r="D49" s="15" t="str">
        <x:v>Ilha de Moçambique</x:v>
      </x:c>
      <x:c r="E49" s="15" t="str">
        <x:v>莫桑比克海峡北段</x:v>
      </x:c>
      <x:c r="F49" s="29" t="n">
        <x:v>-15.035</x:v>
      </x:c>
      <x:c r="G49" s="29" t="n">
        <x:v>40.736</x:v>
      </x:c>
      <x:c r="H49" s="15" t="str">
        <x:v>珊瑚岛港</x:v>
      </x:c>
      <x:c r="I49" s="30" t="n">
        <x:v>220</x:v>
      </x:c>
      <x:c r="J49" s="30" t="n">
        <x:v>280</x:v>
      </x:c>
      <x:c r="K49" s="15" t="str">
        <x:v>狭长珊瑚岛上白色城墙与红瓦互叠，独桅三角帆擦着浅青海水</x:v>
      </x:c>
      <x:c r="L49" s="15" t="str">
        <x:v>莫桑比克海峡中继与大陆货源汇聚</x:v>
      </x:c>
      <x:c r="M49" s="15" t="str">
        <x:v>斯瓦希里三角帆商船</x:v>
      </x:c>
      <x:c r="N49" s="15" t="str">
        <x:v>城市衣料；船厂；香料工坊</x:v>
      </x:c>
      <x:c r="O49" s="15" t="str">
        <x:v>海峡镂花细木工坊</x:v>
      </x:c>
      <x:c r="P49" s="15" t="str">
        <x:v>SP044</x:v>
      </x:c>
      <x:c r="Q49" s="15" t="str">
        <x:v>珊瑚城镂花木匣</x:v>
      </x:c>
      <x:c r="R49" s="15" t="str">
        <x:v>珊瑚岛地理及通往印度航线上的商站历史为依据；细木工艺品牌原创。</x:v>
      </x:c>
      <x:c r="S49" s="15" t="str">
        <x:v>今址近似坐标，仅用于设计地图定位；不表达近世政治边界。</x:v>
      </x:c>
      <x:c r="T49" s="15" t="str">
        <x:v>WT-H21</x:v>
      </x:c>
    </x:row>
    <x:row r="50" ht="42" customHeight="1">
      <x:c r="A50" s="13" t="str">
        <x:v>P045</x:v>
      </x:c>
      <x:c r="B50" s="13" t="str">
        <x:v>索法拉</x:v>
      </x:c>
      <x:c r="C50" s="13" t="str">
        <x:v>东非与西印度洋</x:v>
      </x:c>
      <x:c r="D50" s="13" t="str">
        <x:v>Sofala</x:v>
      </x:c>
      <x:c r="E50" s="13" t="str">
        <x:v>莫桑比克·布济河口</x:v>
      </x:c>
      <x:c r="F50" s="21" t="n">
        <x:v>-20.183</x:v>
      </x:c>
      <x:c r="G50" s="21" t="n">
        <x:v>34.75</x:v>
      </x:c>
      <x:c r="H50" s="13" t="str">
        <x:v>浅滩河口港</x:v>
      </x:c>
      <x:c r="I50" s="27" t="n">
        <x:v>130</x:v>
      </x:c>
      <x:c r="J50" s="27" t="n">
        <x:v>170</x:v>
      </x:c>
      <x:c r="K50" s="13" t="str">
        <x:v>宽阔泥沙潮滩旁是芦苇屋与低石仓，远处商队带着红土色尘光</x:v>
      </x:c>
      <x:c r="L50" s="13" t="str">
        <x:v>内陆黄金、皮革与河海转运</x:v>
      </x:c>
      <x:c r="M50" s="13" t="str">
        <x:v>索法拉浅水三角帆船</x:v>
      </x:c>
      <x:c r="N50" s="13" t="str">
        <x:v>城市衣料；工具工坊；远航补给</x:v>
      </x:c>
      <x:c r="O50" s="13" t="str">
        <x:v>河口金叶匠棚</x:v>
      </x:c>
      <x:c r="P50" s="13" t="str">
        <x:v>SP045</x:v>
      </x:c>
      <x:c r="Q50" s="13" t="str">
        <x:v>红土金叶航路盒</x:v>
      </x:c>
      <x:c r="R50" s="13" t="str">
        <x:v>以真实海岸、河口或岛屿定位；本作综合1500—1780年前后航海文化，港区构图、工坊品牌、供货与数值均为原创设计。</x:v>
      </x:c>
      <x:c r="S50" s="13" t="str">
        <x:v>今址近似坐标，仅用于设计地图定位；不表达近世政治边界。</x:v>
      </x:c>
      <x:c r="T50" s="13" t="str">
        <x:v>WT-H05</x:v>
      </x:c>
    </x:row>
    <x:row r="51" ht="42" customHeight="1">
      <x:c r="A51" s="15" t="str">
        <x:v>P046</x:v>
      </x:c>
      <x:c r="B51" s="15" t="str">
        <x:v>基尔瓦</x:v>
      </x:c>
      <x:c r="C51" s="15" t="str">
        <x:v>东非与西印度洋</x:v>
      </x:c>
      <x:c r="D51" s="15" t="str">
        <x:v>Kilwa Kisiwani</x:v>
      </x:c>
      <x:c r="E51" s="15" t="str">
        <x:v>坦桑尼亚·斯瓦希里海岸</x:v>
      </x:c>
      <x:c r="F51" s="29" t="n">
        <x:v>-8.957</x:v>
      </x:c>
      <x:c r="G51" s="29" t="n">
        <x:v>39.522</x:v>
      </x:c>
      <x:c r="H51" s="15" t="str">
        <x:v>珊瑚岛城港</x:v>
      </x:c>
      <x:c r="I51" s="30" t="n">
        <x:v>190</x:v>
      </x:c>
      <x:c r="J51" s="30" t="n">
        <x:v>200</x:v>
      </x:c>
      <x:c r="K51" s="15" t="str">
        <x:v>珊瑚石廊与半圆穹顶在海风里泛白，蓝釉碎片镶成全新工坊招牌</x:v>
      </x:c>
      <x:c r="L51" s="15" t="str">
        <x:v>斯瓦希里海贸、金牙转口与文化交流</x:v>
      </x:c>
      <x:c r="M51" s="15" t="str">
        <x:v>基尔瓦珊瑚海三角帆船</x:v>
      </x:c>
      <x:c r="N51" s="15" t="str">
        <x:v>瓷器收藏；香料工坊；城市衣料</x:v>
      </x:c>
      <x:c r="O51" s="15" t="str">
        <x:v>潮纹瓷嵌工坊</x:v>
      </x:c>
      <x:c r="P51" s="15" t="str">
        <x:v>SP046</x:v>
      </x:c>
      <x:c r="Q51" s="15" t="str">
        <x:v>基尔瓦潮纹瓷嵌盘</x:v>
      </x:c>
      <x:c r="R51" s="15" t="str">
        <x:v>参考斯瓦希里跨印度洋贸易与珊瑚石城；港内瓷嵌工坊是本作对工艺交流的延展。</x:v>
      </x:c>
      <x:c r="S51" s="15" t="str">
        <x:v>今址近似坐标，仅用于设计地图定位；不表达近世政治边界。</x:v>
      </x:c>
      <x:c r="T51" s="15" t="str">
        <x:v>WT-H05</x:v>
      </x:c>
    </x:row>
    <x:row r="52" ht="42" customHeight="1">
      <x:c r="A52" s="13" t="str">
        <x:v>P047</x:v>
      </x:c>
      <x:c r="B52" s="13" t="str">
        <x:v>桑给巴尔</x:v>
      </x:c>
      <x:c r="C52" s="13" t="str">
        <x:v>东非与西印度洋</x:v>
      </x:c>
      <x:c r="D52" s="13" t="str">
        <x:v>Zanzibar City</x:v>
      </x:c>
      <x:c r="E52" s="13" t="str">
        <x:v>坦桑尼亚·温古贾岛</x:v>
      </x:c>
      <x:c r="F52" s="21" t="n">
        <x:v>-6.165</x:v>
      </x:c>
      <x:c r="G52" s="21" t="n">
        <x:v>39.202</x:v>
      </x:c>
      <x:c r="H52" s="13" t="str">
        <x:v>季风岛港</x:v>
      </x:c>
      <x:c r="I52" s="27" t="n">
        <x:v>210</x:v>
      </x:c>
      <x:c r="J52" s="27" t="n">
        <x:v>190</x:v>
      </x:c>
      <x:c r="K52" s="13" t="str">
        <x:v>浅杏色石屋、雕花门与深蓝细影巷道，香草摊和船帆延伸向夕照</x:v>
      </x:c>
      <x:c r="L52" s="13" t="str">
        <x:v>岛岸转口、椰油与精细木工</x:v>
      </x:c>
      <x:c r="M52" s="13" t="str">
        <x:v>桑给巴尔季风达乌船</x:v>
      </x:c>
      <x:c r="N52" s="13" t="str">
        <x:v>城市衣料；珠宝工坊；细木工坊</x:v>
      </x:c>
      <x:c r="O52" s="13" t="str">
        <x:v>月门雕木坊</x:v>
      </x:c>
      <x:c r="P52" s="13" t="str">
        <x:v>SP047</x:v>
      </x:c>
      <x:c r="Q52" s="13" t="str">
        <x:v>月门深雕香匣</x:v>
      </x:c>
      <x:c r="R52" s="13" t="str">
        <x:v>不把更晚成规模的桑给巴尔丁香种植当作本作初始产业；此港重点为转口、椰油与木作。</x:v>
      </x:c>
      <x:c r="S52" s="13" t="str">
        <x:v>今址近似坐标，仅用于设计地图定位；不表达近世政治边界。</x:v>
      </x:c>
      <x:c r="T52" s="13" t="str">
        <x:v>WT-H05</x:v>
      </x:c>
    </x:row>
    <x:row r="53" ht="42" customHeight="1">
      <x:c r="A53" s="15" t="str">
        <x:v>P048</x:v>
      </x:c>
      <x:c r="B53" s="15" t="str">
        <x:v>蒙巴萨</x:v>
      </x:c>
      <x:c r="C53" s="15" t="str">
        <x:v>东非与西印度洋</x:v>
      </x:c>
      <x:c r="D53" s="15" t="str">
        <x:v>Mombasa</x:v>
      </x:c>
      <x:c r="E53" s="15" t="str">
        <x:v>肯尼亚·蒙巴萨岛</x:v>
      </x:c>
      <x:c r="F53" s="29" t="n">
        <x:v>-4.043</x:v>
      </x:c>
      <x:c r="G53" s="29" t="n">
        <x:v>39.668</x:v>
      </x:c>
      <x:c r="H53" s="15" t="str">
        <x:v>双溪湾港</x:v>
      </x:c>
      <x:c r="I53" s="30" t="n">
        <x:v>240</x:v>
      </x:c>
      <x:c r="J53" s="30" t="n">
        <x:v>320</x:v>
      </x:c>
      <x:c r="K53" s="15" t="str">
        <x:v>堡垒红褐墙与棕榈港巷交错，两条潮汐溪像镜框围住城市</x:v>
      </x:c>
      <x:c r="L53" s="15" t="str">
        <x:v>北斯瓦希里转口、木材与海峡护航</x:v>
      </x:c>
      <x:c r="M53" s="15" t="str">
        <x:v>蒙巴萨快速达乌船</x:v>
      </x:c>
      <x:c r="N53" s="15" t="str">
        <x:v>城市衣料；工具工坊；远航补给</x:v>
      </x:c>
      <x:c r="O53" s="15" t="str">
        <x:v>双溪织绣作坊</x:v>
      </x:c>
      <x:c r="P53" s="15" t="str">
        <x:v>SP048</x:v>
      </x:c>
      <x:c r="Q53" s="15" t="str">
        <x:v>双溪银纱海披巾</x:v>
      </x:c>
      <x:c r="R53" s="15" t="str">
        <x:v>以真实海岸、河口或岛屿定位；本作综合1500—1780年前后航海文化，港区构图、工坊品牌、供货与数值均为原创设计。</x:v>
      </x:c>
      <x:c r="S53" s="15" t="str">
        <x:v>今址近似坐标，仅用于设计地图定位；不表达近世政治边界。</x:v>
      </x:c>
      <x:c r="T53" s="15" t="str">
        <x:v>WT-H05</x:v>
      </x:c>
    </x:row>
    <x:row r="54" ht="42" customHeight="1">
      <x:c r="A54" s="13" t="str">
        <x:v>P049</x:v>
      </x:c>
      <x:c r="B54" s="13" t="str">
        <x:v>陶拉纳鲁</x:v>
      </x:c>
      <x:c r="C54" s="13" t="str">
        <x:v>东非与西印度洋</x:v>
      </x:c>
      <x:c r="D54" s="13" t="str">
        <x:v>Tôlanaro</x:v>
      </x:c>
      <x:c r="E54" s="13" t="str">
        <x:v>马达加斯加·东南海岸</x:v>
      </x:c>
      <x:c r="F54" s="21" t="n">
        <x:v>-25.031</x:v>
      </x:c>
      <x:c r="G54" s="21" t="n">
        <x:v>46.998</x:v>
      </x:c>
      <x:c r="H54" s="13" t="str">
        <x:v>环礁湾港</x:v>
      </x:c>
      <x:c r="I54" s="27" t="n">
        <x:v>100</x:v>
      </x:c>
      <x:c r="J54" s="27" t="n">
        <x:v>120</x:v>
      </x:c>
      <x:c r="K54" s="13" t="str">
        <x:v>红土峭坡、青翠山林与白色浪带同时入景，木屋屋脊雕着航鸟</x:v>
      </x:c>
      <x:c r="L54" s="13" t="str">
        <x:v>马达加斯加木材、蜂蜡与特色手作</x:v>
      </x:c>
      <x:c r="M54" s="13" t="str">
        <x:v>马达加斯加外伸浮木帆舟</x:v>
      </x:c>
      <x:c r="N54" s="13" t="str">
        <x:v>工具工坊；城市衣料；药房</x:v>
      </x:c>
      <x:c r="O54" s="13" t="str">
        <x:v>赤土木雕工坊</x:v>
      </x:c>
      <x:c r="P54" s="13" t="str">
        <x:v>SP049</x:v>
      </x:c>
      <x:c r="Q54" s="13" t="str">
        <x:v>赤岛星眼木雕</x:v>
      </x:c>
      <x:c r="R54" s="13" t="str">
        <x:v>以真实海岸、河口或岛屿定位；本作综合1500—1780年前后航海文化，港区构图、工坊品牌、供货与数值均为原创设计。</x:v>
      </x:c>
      <x:c r="S54" s="13" t="str">
        <x:v>今址近似坐标，仅用于设计地图定位；不表达近世政治边界。</x:v>
      </x:c>
      <x:c r="T54" s="13" t="str"/>
    </x:row>
    <x:row r="55" ht="42" customHeight="1">
      <x:c r="A55" s="15" t="str">
        <x:v>P050</x:v>
      </x:c>
      <x:c r="B55" s="15" t="str">
        <x:v>路易港</x:v>
      </x:c>
      <x:c r="C55" s="15" t="str">
        <x:v>东非与西印度洋</x:v>
      </x:c>
      <x:c r="D55" s="15" t="str">
        <x:v>Port Louis</x:v>
      </x:c>
      <x:c r="E55" s="15" t="str">
        <x:v>毛里求斯·西北海岸</x:v>
      </x:c>
      <x:c r="F55" s="29" t="n">
        <x:v>-20.161</x:v>
      </x:c>
      <x:c r="G55" s="29" t="n">
        <x:v>57.501</x:v>
      </x:c>
      <x:c r="H55" s="15" t="str">
        <x:v>火山岛军港</x:v>
      </x:c>
      <x:c r="I55" s="30" t="n">
        <x:v>210</x:v>
      </x:c>
      <x:c r="J55" s="30" t="n">
        <x:v>330</x:v>
      </x:c>
      <x:c r="K55" s="15" t="str">
        <x:v>玄黑山峰围住浅蓝军港，白色仓库前排列着整齐的巨桅与香料盆栽</x:v>
      </x:c>
      <x:c r="L55" s="15" t="str">
        <x:v>印度洋修船、补给与作物试验转口</x:v>
      </x:c>
      <x:c r="M55" s="15" t="str">
        <x:v>毛里求斯法式远航舰</x:v>
      </x:c>
      <x:c r="N55" s="15" t="str">
        <x:v>船厂；远航补给；学会</x:v>
      </x:c>
      <x:c r="O55" s="15" t="str">
        <x:v>星湾蔗心蒸馏坊</x:v>
      </x:c>
      <x:c r="P55" s="15" t="str">
        <x:v>SP050</x:v>
      </x:c>
      <x:c r="Q55" s="15" t="str">
        <x:v>星湾蔗心陈酿</x:v>
      </x:c>
      <x:c r="R55" s="15" t="str">
        <x:v>路易港的形态采用18世纪港口发展要素；香料试验与蒸馏品牌为原创发展线。</x:v>
      </x:c>
      <x:c r="S55" s="15" t="str">
        <x:v>今址近似坐标，仅用于设计地图定位；不表达近世政治边界。</x:v>
      </x:c>
      <x:c r="T55" s="15" t="str"/>
    </x:row>
    <x:row r="56" ht="42" customHeight="1">
      <x:c r="A56" s="13" t="str">
        <x:v>P051</x:v>
      </x:c>
      <x:c r="B56" s="13" t="str">
        <x:v>亚丁</x:v>
      </x:c>
      <x:c r="C56" s="13" t="str">
        <x:v>红海与波斯湾</x:v>
      </x:c>
      <x:c r="D56" s="13" t="str">
        <x:v>Aden</x:v>
      </x:c>
      <x:c r="E56" s="13" t="str">
        <x:v>也门·亚丁湾</x:v>
      </x:c>
      <x:c r="F56" s="21" t="n">
        <x:v>12.786</x:v>
      </x:c>
      <x:c r="G56" s="21" t="n">
        <x:v>45.018</x:v>
      </x:c>
      <x:c r="H56" s="13" t="str">
        <x:v>火山湾港</x:v>
      </x:c>
      <x:c r="I56" s="27" t="n">
        <x:v>270</x:v>
      </x:c>
      <x:c r="J56" s="27" t="n">
        <x:v>330</x:v>
      </x:c>
      <x:c r="K56" s="13" t="str">
        <x:v>黑褐火山环壁像天然船坞，白石货栈下的水面呈锐利孔雀蓝</x:v>
      </x:c>
      <x:c r="L56" s="13" t="str">
        <x:v>红海与印度洋门口的补给及香料中转</x:v>
      </x:c>
      <x:c r="M56" s="13" t="str">
        <x:v>亚丁远海三角帆船</x:v>
      </x:c>
      <x:c r="N56" s="13" t="str">
        <x:v>远航补给；城市衣料；香料工坊</x:v>
      </x:c>
      <x:c r="O56" s="13" t="str">
        <x:v>火山蓝釉香具坊</x:v>
      </x:c>
      <x:c r="P56" s="13" t="str">
        <x:v>SP051</x:v>
      </x:c>
      <x:c r="Q56" s="13" t="str">
        <x:v>火山蓝香炉盏</x:v>
      </x:c>
      <x:c r="R56" s="13" t="str">
        <x:v>以真实海岸、河口或岛屿定位；本作综合1500—1780年前后航海文化，港区构图、工坊品牌、供货与数值均为原创设计。</x:v>
      </x:c>
      <x:c r="S56" s="13" t="str">
        <x:v>今址近似坐标，仅用于设计地图定位；不表达近世政治边界。</x:v>
      </x:c>
      <x:c r="T56" s="13" t="str"/>
    </x:row>
    <x:row r="57" ht="42" customHeight="1">
      <x:c r="A57" s="15" t="str">
        <x:v>P052</x:v>
      </x:c>
      <x:c r="B57" s="15" t="str">
        <x:v>摩卡</x:v>
      </x:c>
      <x:c r="C57" s="15" t="str">
        <x:v>红海与波斯湾</x:v>
      </x:c>
      <x:c r="D57" s="15" t="str">
        <x:v>Mocha</x:v>
      </x:c>
      <x:c r="E57" s="15" t="str">
        <x:v>也门·红海南端</x:v>
      </x:c>
      <x:c r="F57" s="29" t="n">
        <x:v>13.319</x:v>
      </x:c>
      <x:c r="G57" s="29" t="n">
        <x:v>43.248</x:v>
      </x:c>
      <x:c r="H57" s="15" t="str">
        <x:v>红海商港</x:v>
      </x:c>
      <x:c r="I57" s="30" t="n">
        <x:v>280</x:v>
      </x:c>
      <x:c r="J57" s="30" t="n">
        <x:v>210</x:v>
      </x:c>
      <x:c r="K57" s="15" t="str">
        <x:v>奶白塔楼与褐色咖啡筐面向薄雾红海，山地商队的铃声落在码头</x:v>
      </x:c>
      <x:c r="L57" s="15" t="str">
        <x:v>也门咖啡出口与高地商队接驳</x:v>
      </x:c>
      <x:c r="M57" s="15" t="str">
        <x:v>也门咖啡达乌船</x:v>
      </x:c>
      <x:c r="N57" s="15" t="str">
        <x:v>咖啡馆；甜食；商队补给</x:v>
      </x:c>
      <x:c r="O57" s="15" t="str">
        <x:v>夜玫瑰烘焙总作坊</x:v>
      </x:c>
      <x:c r="P57" s="15" t="str">
        <x:v>SP052</x:v>
      </x:c>
      <x:c r="Q57" s="15" t="str">
        <x:v>摩卡夜玫瑰熟豆</x:v>
      </x:c>
      <x:c r="R57" s="15" t="str">
        <x:v>咖啡来自也门高地并由摩卡输出；夜玫瑰品牌、分级和数值为本作创作。</x:v>
      </x:c>
      <x:c r="S57" s="15" t="str">
        <x:v>今址近似坐标，仅用于设计地图定位；不表达近世政治边界。</x:v>
      </x:c>
      <x:c r="T57" s="15" t="str">
        <x:v>WT-H22</x:v>
      </x:c>
    </x:row>
    <x:row r="58" ht="42" customHeight="1">
      <x:c r="A58" s="13" t="str">
        <x:v>P053</x:v>
      </x:c>
      <x:c r="B58" s="13" t="str">
        <x:v>吉达</x:v>
      </x:c>
      <x:c r="C58" s="13" t="str">
        <x:v>红海与波斯湾</x:v>
      </x:c>
      <x:c r="D58" s="13" t="str">
        <x:v>Jeddah</x:v>
      </x:c>
      <x:c r="E58" s="13" t="str">
        <x:v>沙特阿拉伯·红海东岸</x:v>
      </x:c>
      <x:c r="F58" s="21" t="n">
        <x:v>21.486</x:v>
      </x:c>
      <x:c r="G58" s="21" t="n">
        <x:v>39.192</x:v>
      </x:c>
      <x:c r="H58" s="13" t="str">
        <x:v>珊瑚礁港</x:v>
      </x:c>
      <x:c r="I58" s="27" t="n">
        <x:v>350</x:v>
      </x:c>
      <x:c r="J58" s="27" t="n">
        <x:v>290</x:v>
      </x:c>
      <x:c r="K58" s="13" t="str">
        <x:v>珊瑚石浅墙与巨大木格窗投下凉影，窄巷在海风中挂满白帆布</x:v>
      </x:c>
      <x:c r="L58" s="13" t="str">
        <x:v>朝觐门户、红海补给与商队服务</x:v>
      </x:c>
      <x:c r="M58" s="13" t="str">
        <x:v>红海珊瑚岸三角帆船</x:v>
      </x:c>
      <x:c r="N58" s="13" t="str">
        <x:v>远航补给；宗教生活；城市衣料</x:v>
      </x:c>
      <x:c r="O58" s="13" t="str">
        <x:v>海风香油工坊</x:v>
      </x:c>
      <x:c r="P58" s="13" t="str">
        <x:v>SP053</x:v>
      </x:c>
      <x:c r="Q58" s="13" t="str">
        <x:v>红海花窗香油</x:v>
      </x:c>
      <x:c r="R58" s="13" t="str">
        <x:v>贸易和朝觐门户为历史依据；木格窗参考红海传统，现存19世纪高屋仅是跨年代视觉启发。</x:v>
      </x:c>
      <x:c r="S58" s="13" t="str">
        <x:v>今址近似坐标，仅用于设计地图定位；不表达近世政治边界。</x:v>
      </x:c>
      <x:c r="T58" s="13" t="str">
        <x:v>WT-H08</x:v>
      </x:c>
    </x:row>
    <x:row r="59" ht="42" customHeight="1">
      <x:c r="A59" s="15" t="str">
        <x:v>P054</x:v>
      </x:c>
      <x:c r="B59" s="15" t="str">
        <x:v>萨瓦金</x:v>
      </x:c>
      <x:c r="C59" s="15" t="str">
        <x:v>红海与波斯湾</x:v>
      </x:c>
      <x:c r="D59" s="15" t="str">
        <x:v>Suakin</x:v>
      </x:c>
      <x:c r="E59" s="15" t="str">
        <x:v>苏丹·红海西岸</x:v>
      </x:c>
      <x:c r="F59" s="29" t="n">
        <x:v>19.104</x:v>
      </x:c>
      <x:c r="G59" s="29" t="n">
        <x:v>37.332</x:v>
      </x:c>
      <x:c r="H59" s="15" t="str">
        <x:v>珊瑚岛港</x:v>
      </x:c>
      <x:c r="I59" s="30" t="n">
        <x:v>170</x:v>
      </x:c>
      <x:c r="J59" s="30" t="n">
        <x:v>180</x:v>
      </x:c>
      <x:c r="K59" s="15" t="str">
        <x:v>几乎圆形的珊瑚岛上挤满粉白拱窗，栈桥在清澈浅海投下长影</x:v>
      </x:c>
      <x:c r="L59" s="15" t="str">
        <x:v>红海西岸商队、树胶与大陆货源</x:v>
      </x:c>
      <x:c r="M59" s="15" t="str">
        <x:v>萨瓦金浅礁达乌船</x:v>
      </x:c>
      <x:c r="N59" s="15" t="str">
        <x:v>城市衣料；远航补给；工具工坊</x:v>
      </x:c>
      <x:c r="O59" s="15" t="str">
        <x:v>圆岛贝嵌作坊</x:v>
      </x:c>
      <x:c r="P59" s="15" t="str">
        <x:v>SP054</x:v>
      </x:c>
      <x:c r="Q59" s="15" t="str">
        <x:v>珊瑚月白贝嵌匣</x:v>
      </x:c>
      <x:c r="R59" s="15" t="str">
        <x:v>以真实海岸、河口或岛屿定位；本作综合1500—1780年前后航海文化，港区构图、工坊品牌、供货与数值均为原创设计。</x:v>
      </x:c>
      <x:c r="S59" s="15" t="str">
        <x:v>今址近似坐标，仅用于设计地图定位；不表达近世政治边界。</x:v>
      </x:c>
      <x:c r="T59" s="15" t="str"/>
    </x:row>
    <x:row r="60" ht="42" customHeight="1">
      <x:c r="A60" s="13" t="str">
        <x:v>P055</x:v>
      </x:c>
      <x:c r="B60" s="13" t="str">
        <x:v>马斯喀特</x:v>
      </x:c>
      <x:c r="C60" s="13" t="str">
        <x:v>红海与波斯湾</x:v>
      </x:c>
      <x:c r="D60" s="13" t="str">
        <x:v>Muscat</x:v>
      </x:c>
      <x:c r="E60" s="13" t="str">
        <x:v>阿曼·阿曼湾</x:v>
      </x:c>
      <x:c r="F60" s="21" t="n">
        <x:v>23.588</x:v>
      </x:c>
      <x:c r="G60" s="21" t="n">
        <x:v>58.383</x:v>
      </x:c>
      <x:c r="H60" s="13" t="str">
        <x:v>山湾港</x:v>
      </x:c>
      <x:c r="I60" s="27" t="n">
        <x:v>320</x:v>
      </x:c>
      <x:c r="J60" s="27" t="n">
        <x:v>390</x:v>
      </x:c>
      <x:c r="K60" s="13" t="str">
        <x:v>赭红岩山直接落入深海，两座山堡守着白色低城，银色船尾轻摇</x:v>
      </x:c>
      <x:c r="L60" s="13" t="str">
        <x:v>阿曼海权、乳香转口与远海船厂</x:v>
      </x:c>
      <x:c r="M60" s="13" t="str">
        <x:v>阿曼远洋巴格拉</x:v>
      </x:c>
      <x:c r="N60" s="13" t="str">
        <x:v>船厂；香料工坊；珠宝工坊</x:v>
      </x:c>
      <x:c r="O60" s="13" t="str">
        <x:v>岩湾银香具工坊</x:v>
      </x:c>
      <x:c r="P60" s="13" t="str">
        <x:v>SP055</x:v>
      </x:c>
      <x:c r="Q60" s="13" t="str">
        <x:v>岩湾银穗香盒</x:v>
      </x:c>
      <x:c r="R60" s="13" t="str">
        <x:v>乳香来自阿曼区域货源，经本港转运；并不把乳香遗产港与马斯喀特混为一地。</x:v>
      </x:c>
      <x:c r="S60" s="13" t="str">
        <x:v>今址近似坐标，仅用于设计地图定位；不表达近世政治边界。</x:v>
      </x:c>
      <x:c r="T60" s="13" t="str">
        <x:v>WT-H06</x:v>
      </x:c>
    </x:row>
    <x:row r="61" ht="42" customHeight="1">
      <x:c r="A61" s="15" t="str">
        <x:v>P056</x:v>
      </x:c>
      <x:c r="B61" s="15" t="str">
        <x:v>霍尔木兹</x:v>
      </x:c>
      <x:c r="C61" s="15" t="str">
        <x:v>红海与波斯湾</x:v>
      </x:c>
      <x:c r="D61" s="15" t="str">
        <x:v>Hormuz Island</x:v>
      </x:c>
      <x:c r="E61" s="15" t="str">
        <x:v>伊朗·霍尔木兹海峡</x:v>
      </x:c>
      <x:c r="F61" s="29" t="n">
        <x:v>27.061</x:v>
      </x:c>
      <x:c r="G61" s="29" t="n">
        <x:v>56.46</x:v>
      </x:c>
      <x:c r="H61" s="15" t="str">
        <x:v>海峡岛港</x:v>
      </x:c>
      <x:c r="I61" s="30" t="n">
        <x:v>240</x:v>
      </x:c>
      <x:c r="J61" s="30" t="n">
        <x:v>380</x:v>
      </x:c>
      <x:c r="K61" s="15" t="str">
        <x:v>红赭、紫灰与金盐色山丘环抱岛城，堡墙前的海水像一块蓝宝石</x:v>
      </x:c>
      <x:c r="L61" s="15" t="str">
        <x:v>霍尔木兹海峡转口、盐与珍珠汇流</x:v>
      </x:c>
      <x:c r="M61" s="15" t="str">
        <x:v>霍尔木兹轻型达乌船</x:v>
      </x:c>
      <x:c r="N61" s="15" t="str">
        <x:v>远航补给；珠宝工坊；城市衣料</x:v>
      </x:c>
      <x:c r="O61" s="15" t="str">
        <x:v>海峡珐琅金工作坊</x:v>
      </x:c>
      <x:c r="P61" s="15" t="str">
        <x:v>SP056</x:v>
      </x:c>
      <x:c r="Q61" s="15" t="str">
        <x:v>虹盐山珍珠冠扣</x:v>
      </x:c>
      <x:c r="R61" s="15" t="str">
        <x:v>参考波斯湾采珠贸易；珍珠在本港为集散转口，虹盐山珐琅冠扣为原创。</x:v>
      </x:c>
      <x:c r="S61" s="15" t="str">
        <x:v>今址近似坐标，仅用于设计地图定位；不表达近世政治边界。</x:v>
      </x:c>
      <x:c r="T61" s="15" t="str">
        <x:v>WT-H07</x:v>
      </x:c>
    </x:row>
    <x:row r="62" ht="42" customHeight="1">
      <x:c r="A62" s="13" t="str">
        <x:v>P057</x:v>
      </x:c>
      <x:c r="B62" s="13" t="str">
        <x:v>阿巴斯港</x:v>
      </x:c>
      <x:c r="C62" s="13" t="str">
        <x:v>红海与波斯湾</x:v>
      </x:c>
      <x:c r="D62" s="13" t="str">
        <x:v>Bandar Abbas</x:v>
      </x:c>
      <x:c r="E62" s="13" t="str">
        <x:v>伊朗·霍尔木兹海峡北岸</x:v>
      </x:c>
      <x:c r="F62" s="21" t="n">
        <x:v>27.184</x:v>
      </x:c>
      <x:c r="G62" s="21" t="n">
        <x:v>56.267</x:v>
      </x:c>
      <x:c r="H62" s="13" t="str">
        <x:v>海峡陆岸港</x:v>
      </x:c>
      <x:c r="I62" s="27" t="n">
        <x:v>310</x:v>
      </x:c>
      <x:c r="J62" s="27" t="n">
        <x:v>340</x:v>
      </x:c>
      <x:c r="K62" s="13" t="str">
        <x:v>海边商馆、沙金穹顶和染丝小院相连，远方山口的驼队在晨光中抵港</x:v>
      </x:c>
      <x:c r="L62" s="13" t="str">
        <x:v>波斯丝绸出口、染料与商队海运转换</x:v>
      </x:c>
      <x:c r="M62" s="13" t="str">
        <x:v>波斯湾商用巴格拉</x:v>
      </x:c>
      <x:c r="N62" s="13" t="str">
        <x:v>奢华衣料；珠宝工坊；咖啡馆</x:v>
      </x:c>
      <x:c r="O62" s="13" t="str">
        <x:v>孔雀双面锦工坊</x:v>
      </x:c>
      <x:c r="P62" s="13" t="str">
        <x:v>SP057</x:v>
      </x:c>
      <x:c r="Q62" s="13" t="str">
        <x:v>孔雀火焰双面锦</x:v>
      </x:c>
      <x:c r="R62" s="13" t="str">
        <x:v>以真实海岸、河口或岛屿定位；本作综合1500—1780年前后航海文化，港区构图、工坊品牌、供货与数值均为原创设计。</x:v>
      </x:c>
      <x:c r="S62" s="13" t="str">
        <x:v>今址近似坐标，仅用于设计地图定位；不表达近世政治边界。</x:v>
      </x:c>
      <x:c r="T62" s="13" t="str"/>
    </x:row>
    <x:row r="63" ht="42" customHeight="1">
      <x:c r="A63" s="15" t="str">
        <x:v>P058</x:v>
      </x:c>
      <x:c r="B63" s="15" t="str">
        <x:v>巴士拉</x:v>
      </x:c>
      <x:c r="C63" s="15" t="str">
        <x:v>红海与波斯湾</x:v>
      </x:c>
      <x:c r="D63" s="15" t="str">
        <x:v>Basra</x:v>
      </x:c>
      <x:c r="E63" s="15" t="str">
        <x:v>伊拉克·阿拉伯河</x:v>
      </x:c>
      <x:c r="F63" s="29" t="n">
        <x:v>30.508</x:v>
      </x:c>
      <x:c r="G63" s="29" t="n">
        <x:v>47.781</x:v>
      </x:c>
      <x:c r="H63" s="15" t="str">
        <x:v>内河商港</x:v>
      </x:c>
      <x:c r="I63" s="30" t="n">
        <x:v>320</x:v>
      </x:c>
      <x:c r="J63" s="30" t="n">
        <x:v>270</x:v>
      </x:c>
      <x:c r="K63" s="15" t="str">
        <x:v>成片椰枣林遮住运河边低楼，长舟、驼铃和蓝釉门洞形成繁忙河景</x:v>
      </x:c>
      <x:c r="L63" s="15" t="str">
        <x:v>两河流域农产、珍珠转口与商队枢纽</x:v>
      </x:c>
      <x:c r="M63" s="15" t="str">
        <x:v>阿拉伯河浅水达乌船</x:v>
      </x:c>
      <x:c r="N63" s="15" t="str">
        <x:v>城市衣料；甜食；商队补给</x:v>
      </x:c>
      <x:c r="O63" s="15" t="str">
        <x:v>椰枣甜食与匣匠合作坊</x:v>
      </x:c>
      <x:c r="P63" s="15" t="str">
        <x:v>SP058</x:v>
      </x:c>
      <x:c r="Q63" s="15" t="str">
        <x:v>双河蜜枣银匣</x:v>
      </x:c>
      <x:c r="R63" s="15" t="str">
        <x:v>以真实海岸、河口或岛屿定位；本作综合1500—1780年前后航海文化，港区构图、工坊品牌、供货与数值均为原创设计。</x:v>
      </x:c>
      <x:c r="S63" s="15" t="str">
        <x:v>今址近似坐标，仅用于设计地图定位；不表达近世政治边界。</x:v>
      </x:c>
      <x:c r="T63" s="15" t="str">
        <x:v>WT-H07</x:v>
      </x:c>
    </x:row>
    <x:row r="64" ht="42" customHeight="1">
      <x:c r="A64" s="13" t="str">
        <x:v>P059</x:v>
      </x:c>
      <x:c r="B64" s="13" t="str">
        <x:v>第乌</x:v>
      </x:c>
      <x:c r="C64" s="13" t="str">
        <x:v>印度与孟加拉湾</x:v>
      </x:c>
      <x:c r="D64" s="13" t="str">
        <x:v>Diu</x:v>
      </x:c>
      <x:c r="E64" s="13" t="str">
        <x:v>印度·古吉拉特半岛</x:v>
      </x:c>
      <x:c r="F64" s="21" t="n">
        <x:v>20.715</x:v>
      </x:c>
      <x:c r="G64" s="21" t="n">
        <x:v>70.987</x:v>
      </x:c>
      <x:c r="H64" s="13" t="str">
        <x:v>岛屿堡港</x:v>
      </x:c>
      <x:c r="I64" s="27" t="n">
        <x:v>240</x:v>
      </x:c>
      <x:c r="J64" s="27" t="n">
        <x:v>330</x:v>
      </x:c>
      <x:c r="K64" s="13" t="str">
        <x:v>金砂石城堡伸入碧海，工坊蓝布和红色货帆将小岛切成明亮色块</x:v>
      </x:c>
      <x:c r="L64" s="13" t="str">
        <x:v>古吉拉特沿海转口、棉布与海防补给</x:v>
      </x:c>
      <x:c r="M64" s="13" t="str">
        <x:v>古吉拉特帆桨混合船</x:v>
      </x:c>
      <x:c r="N64" s="13" t="str">
        <x:v>城市衣料；船厂；香料工坊</x:v>
      </x:c>
      <x:c r="O64" s="13" t="str">
        <x:v>岛堡拼帆织坊</x:v>
      </x:c>
      <x:c r="P64" s="13" t="str">
        <x:v>SP059</x:v>
      </x:c>
      <x:c r="Q64" s="13" t="str">
        <x:v>第乌红蓝拼帆毯</x:v>
      </x:c>
      <x:c r="R64" s="13" t="str">
        <x:v>以真实海岸、河口或岛屿定位；本作综合1500—1780年前后航海文化，港区构图、工坊品牌、供货与数值均为原创设计。</x:v>
      </x:c>
      <x:c r="S64" s="13" t="str">
        <x:v>今址近似坐标，仅用于设计地图定位；不表达近世政治边界。</x:v>
      </x:c>
      <x:c r="T64" s="13" t="str">
        <x:v>WT-H09</x:v>
      </x:c>
    </x:row>
    <x:row r="65" ht="42" customHeight="1">
      <x:c r="A65" s="15" t="str">
        <x:v>P060</x:v>
      </x:c>
      <x:c r="B65" s="15" t="str">
        <x:v>苏拉特</x:v>
      </x:c>
      <x:c r="C65" s="15" t="str">
        <x:v>印度与孟加拉湾</x:v>
      </x:c>
      <x:c r="D65" s="15" t="str">
        <x:v>Surat</x:v>
      </x:c>
      <x:c r="E65" s="15" t="str">
        <x:v>印度·塔普蒂河口</x:v>
      </x:c>
      <x:c r="F65" s="29" t="n">
        <x:v>21.17</x:v>
      </x:c>
      <x:c r="G65" s="29" t="n">
        <x:v>72.831</x:v>
      </x:c>
      <x:c r="H65" s="15" t="str">
        <x:v>河口织业港</x:v>
      </x:c>
      <x:c r="I65" s="30" t="n">
        <x:v>430</x:v>
      </x:c>
      <x:c r="J65" s="30" t="n">
        <x:v>300</x:v>
      </x:c>
      <x:c r="K65" s="15" t="str">
        <x:v>宽河道旁成排白棉货包像云堆，木雕阳台和金线作坊延绵不绝</x:v>
      </x:c>
      <x:c r="L65" s="15" t="str">
        <x:v>古吉拉特棉纺、宝石与远海贸易</x:v>
      </x:c>
      <x:c r="M65" s="15" t="str">
        <x:v>古吉拉特大型商船</x:v>
      </x:c>
      <x:c r="N65" s="15" t="str">
        <x:v>珠宝工坊；奢华衣料；船厂</x:v>
      </x:c>
      <x:c r="O65" s="15" t="str">
        <x:v>千雨印花工坊</x:v>
      </x:c>
      <x:c r="P65" s="15" t="str">
        <x:v>SP060</x:v>
      </x:c>
      <x:c r="Q65" s="15" t="str">
        <x:v>千雨银星印花棉</x:v>
      </x:c>
      <x:c r="R65" s="15" t="str">
        <x:v>印度棉织和跨海贸易为历史依据；银星印花款式与发展等级为原创。</x:v>
      </x:c>
      <x:c r="S65" s="15" t="str">
        <x:v>今址近似坐标，仅用于设计地图定位；不表达近世政治边界。</x:v>
      </x:c>
      <x:c r="T65" s="15" t="str">
        <x:v>WT-H09</x:v>
      </x:c>
    </x:row>
    <x:row r="66" ht="42" customHeight="1">
      <x:c r="A66" s="13" t="str">
        <x:v>P061</x:v>
      </x:c>
      <x:c r="B66" s="13" t="str">
        <x:v>果阿</x:v>
      </x:c>
      <x:c r="C66" s="13" t="str">
        <x:v>印度与孟加拉湾</x:v>
      </x:c>
      <x:c r="D66" s="13" t="str">
        <x:v>Goa / Old Goa</x:v>
      </x:c>
      <x:c r="E66" s="13" t="str">
        <x:v>印度·曼多维河</x:v>
      </x:c>
      <x:c r="F66" s="21" t="n">
        <x:v>15.501</x:v>
      </x:c>
      <x:c r="G66" s="21" t="n">
        <x:v>73.911</x:v>
      </x:c>
      <x:c r="H66" s="13" t="str">
        <x:v>内河海港</x:v>
      </x:c>
      <x:c r="I66" s="27" t="n">
        <x:v>360</x:v>
      </x:c>
      <x:c r="J66" s="27" t="n">
        <x:v>390</x:v>
      </x:c>
      <x:c r="K66" s="13" t="str">
        <x:v>棕榈、白色礼拜堂与印度木雕廊混成温暖河岸，橙红帆船停在台阶下</x:v>
      </x:c>
      <x:c r="L66" s="13" t="str">
        <x:v>印度洋转口、造船与跨文化工坊</x:v>
      </x:c>
      <x:c r="M66" s="13" t="str">
        <x:v>果阿葡印混合帆船</x:v>
      </x:c>
      <x:c r="N66" s="13" t="str">
        <x:v>船厂；香料工坊；学会</x:v>
      </x:c>
      <x:c r="O66" s="13" t="str">
        <x:v>金藤合匠工坊</x:v>
      </x:c>
      <x:c r="P66" s="13" t="str">
        <x:v>SP061</x:v>
      </x:c>
      <x:c r="Q66" s="13" t="str">
        <x:v>金藤嵌木书箱</x:v>
      </x:c>
      <x:c r="R66" s="13" t="str">
        <x:v>以真实海岸、河口或岛屿定位；本作综合1500—1780年前后航海文化，港区构图、工坊品牌、供货与数值均为原创设计。</x:v>
      </x:c>
      <x:c r="S66" s="13" t="str">
        <x:v>今址近似坐标，仅用于设计地图定位；不表达近世政治边界。</x:v>
      </x:c>
      <x:c r="T66" s="13" t="str">
        <x:v>WT-H09</x:v>
      </x:c>
    </x:row>
    <x:row r="67" ht="42" customHeight="1">
      <x:c r="A67" s="15" t="str">
        <x:v>P062</x:v>
      </x:c>
      <x:c r="B67" s="15" t="str">
        <x:v>卡利卡特</x:v>
      </x:c>
      <x:c r="C67" s="15" t="str">
        <x:v>印度与孟加拉湾</x:v>
      </x:c>
      <x:c r="D67" s="15" t="str">
        <x:v>Kozhikode</x:v>
      </x:c>
      <x:c r="E67" s="15" t="str">
        <x:v>印度·马拉巴尔海岸</x:v>
      </x:c>
      <x:c r="F67" s="29" t="n">
        <x:v>11.259</x:v>
      </x:c>
      <x:c r="G67" s="29" t="n">
        <x:v>75.78</x:v>
      </x:c>
      <x:c r="H67" s="15" t="str">
        <x:v>季风海港</x:v>
      </x:c>
      <x:c r="I67" s="30" t="n">
        <x:v>370</x:v>
      </x:c>
      <x:c r="J67" s="30" t="n">
        <x:v>260</x:v>
      </x:c>
      <x:c r="K67" s="15" t="str">
        <x:v>长滩上香料筐堆出黑褐山丘，椰林后金色屋脊在雨雾中隐现</x:v>
      </x:c>
      <x:c r="L67" s="15" t="str">
        <x:v>马拉巴尔胡椒主产港与商团集散</x:v>
      </x:c>
      <x:c r="M67" s="15" t="str">
        <x:v>马拉巴尔远洋乌鲁船</x:v>
      </x:c>
      <x:c r="N67" s="15" t="str">
        <x:v>城市衣料；船厂；珠宝工坊</x:v>
      </x:c>
      <x:c r="O67" s="15" t="str">
        <x:v>黑日分晒香料场</x:v>
      </x:c>
      <x:c r="P67" s="15" t="str">
        <x:v>SP062</x:v>
      </x:c>
      <x:c r="Q67" s="15" t="str">
        <x:v>黑日重瓣胡椒</x:v>
      </x:c>
      <x:c r="R67" s="15" t="str">
        <x:v>以真实海岸、河口或岛屿定位；本作综合1500—1780年前后航海文化，港区构图、工坊品牌、供货与数值均为原创设计。</x:v>
      </x:c>
      <x:c r="S67" s="15" t="str">
        <x:v>今址近似坐标，仅用于设计地图定位；不表达近世政治边界。</x:v>
      </x:c>
      <x:c r="T67" s="15" t="str"/>
    </x:row>
    <x:row r="68" ht="42" customHeight="1">
      <x:c r="A68" s="13" t="str">
        <x:v>P063</x:v>
      </x:c>
      <x:c r="B68" s="13" t="str">
        <x:v>柯钦</x:v>
      </x:c>
      <x:c r="C68" s="13" t="str">
        <x:v>印度与孟加拉湾</x:v>
      </x:c>
      <x:c r="D68" s="13" t="str">
        <x:v>Kochi</x:v>
      </x:c>
      <x:c r="E68" s="13" t="str">
        <x:v>印度·喀拉拉潟湖</x:v>
      </x:c>
      <x:c r="F68" s="21" t="n">
        <x:v>9.931</x:v>
      </x:c>
      <x:c r="G68" s="21" t="n">
        <x:v>76.267</x:v>
      </x:c>
      <x:c r="H68" s="13" t="str">
        <x:v>潟湖港</x:v>
      </x:c>
      <x:c r="I68" s="27" t="n">
        <x:v>300</x:v>
      </x:c>
      <x:c r="J68" s="27" t="n">
        <x:v>280</x:v>
      </x:c>
      <x:c r="K68" s="13" t="str">
        <x:v>巨型悬臂渔网在金绿潟湖里张开，红顶仓库与白棉帆形成倒影</x:v>
      </x:c>
      <x:c r="L68" s="13" t="str">
        <x:v>胡椒、生姜、木材与潟湖渔业</x:v>
      </x:c>
      <x:c r="M68" s="13" t="str">
        <x:v>喀拉拉缝合板与乌鲁船</x:v>
      </x:c>
      <x:c r="N68" s="13" t="str">
        <x:v>城市衣料；船厂；甜食</x:v>
      </x:c>
      <x:c r="O68" s="13" t="str">
        <x:v>潟湖姜糖作坊</x:v>
      </x:c>
      <x:c r="P68" s="13" t="str">
        <x:v>SP063</x:v>
      </x:c>
      <x:c r="Q68" s="13" t="str">
        <x:v>潟湖姜糖帆结</x:v>
      </x:c>
      <x:c r="R68" s="13" t="str">
        <x:v>以真实海岸、河口或岛屿定位；本作综合1500—1780年前后航海文化，港区构图、工坊品牌、供货与数值均为原创设计。</x:v>
      </x:c>
      <x:c r="S68" s="13" t="str">
        <x:v>今址近似坐标，仅用于设计地图定位；不表达近世政治边界。</x:v>
      </x:c>
      <x:c r="T68" s="13" t="str"/>
    </x:row>
    <x:row r="69" ht="42" customHeight="1">
      <x:c r="A69" s="15" t="str">
        <x:v>P064</x:v>
      </x:c>
      <x:c r="B69" s="15" t="str">
        <x:v>科伦坡</x:v>
      </x:c>
      <x:c r="C69" s="15" t="str">
        <x:v>印度与孟加拉湾</x:v>
      </x:c>
      <x:c r="D69" s="15" t="str">
        <x:v>Colombo</x:v>
      </x:c>
      <x:c r="E69" s="15" t="str">
        <x:v>斯里兰卡·西海岸</x:v>
      </x:c>
      <x:c r="F69" s="29" t="n">
        <x:v>6.927</x:v>
      </x:c>
      <x:c r="G69" s="29" t="n">
        <x:v>79.862</x:v>
      </x:c>
      <x:c r="H69" s="15" t="str">
        <x:v>岛屿商港</x:v>
      </x:c>
      <x:c r="I69" s="30" t="n">
        <x:v>320</x:v>
      </x:c>
      <x:c r="J69" s="30" t="n">
        <x:v>330</x:v>
      </x:c>
      <x:c r="K69" s="15" t="str">
        <x:v>桂皮晾棚铺在金色海岸后，蓝绿宝石柜在白拱街深处闪光</x:v>
      </x:c>
      <x:c r="L69" s="15" t="str">
        <x:v>锡兰桂皮、宝石与印度洋中继</x:v>
      </x:c>
      <x:c r="M69" s="15" t="str">
        <x:v>锡兰外伸浮木与商帆</x:v>
      </x:c>
      <x:c r="N69" s="15" t="str">
        <x:v>珠宝工坊；香料工坊；城市衣料</x:v>
      </x:c>
      <x:c r="O69" s="15" t="str">
        <x:v>月卷桂皮工坊</x:v>
      </x:c>
      <x:c r="P69" s="15" t="str">
        <x:v>SP064</x:v>
      </x:c>
      <x:c r="Q69" s="15" t="str">
        <x:v>锡兰月卷细桂</x:v>
      </x:c>
      <x:c r="R69" s="15" t="str">
        <x:v>以真实海岸、河口或岛屿定位；本作综合1500—1780年前后航海文化，港区构图、工坊品牌、供货与数值均为原创设计。</x:v>
      </x:c>
      <x:c r="S69" s="15" t="str">
        <x:v>今址近似坐标，仅用于设计地图定位；不表达近世政治边界。</x:v>
      </x:c>
      <x:c r="T69" s="15" t="str"/>
    </x:row>
    <x:row r="70" ht="42" customHeight="1">
      <x:c r="A70" s="13" t="str">
        <x:v>P065</x:v>
      </x:c>
      <x:c r="B70" s="13" t="str">
        <x:v>马德拉斯</x:v>
      </x:c>
      <x:c r="C70" s="13" t="str">
        <x:v>印度与孟加拉湾</x:v>
      </x:c>
      <x:c r="D70" s="13" t="str">
        <x:v>Chennai</x:v>
      </x:c>
      <x:c r="E70" s="13" t="str">
        <x:v>印度·科罗曼德尔海岸</x:v>
      </x:c>
      <x:c r="F70" s="21" t="n">
        <x:v>13.083</x:v>
      </x:c>
      <x:c r="G70" s="21" t="n">
        <x:v>80.27</x:v>
      </x:c>
      <x:c r="H70" s="13" t="str">
        <x:v>敞岸转运港</x:v>
      </x:c>
      <x:c r="I70" s="27" t="n">
        <x:v>300</x:v>
      </x:c>
      <x:c r="J70" s="27" t="n">
        <x:v>340</x:v>
      </x:c>
      <x:c r="K70" s="13" t="str">
        <x:v>敞岸大浪外停着远洋船，小驳舟将白色棉布送向沙滩上的长廊</x:v>
      </x:c>
      <x:c r="L70" s="13" t="str">
        <x:v>科罗曼德尔棉布、靛蓝与敞岸转运</x:v>
      </x:c>
      <x:c r="M70" s="13" t="str">
        <x:v>科罗曼德尔驳运与商帆</x:v>
      </x:c>
      <x:c r="N70" s="13" t="str">
        <x:v>染织工坊；军港补给；学会</x:v>
      </x:c>
      <x:c r="O70" s="13" t="str">
        <x:v>海鸟手绘印花坊</x:v>
      </x:c>
      <x:c r="P70" s="13" t="str">
        <x:v>SP065</x:v>
      </x:c>
      <x:c r="Q70" s="13" t="str">
        <x:v>海鸟白地彩印布</x:v>
      </x:c>
      <x:c r="R70" s="13" t="str">
        <x:v>采用科罗曼德尔印染棉布传统；现存藏品仅提供工艺逻辑，海鸟纹样原创。</x:v>
      </x:c>
      <x:c r="S70" s="13" t="str">
        <x:v>今址近似坐标，仅用于设计地图定位；不表达近世政治边界。</x:v>
      </x:c>
      <x:c r="T70" s="13" t="str">
        <x:v>WT-H10</x:v>
      </x:c>
    </x:row>
    <x:row r="71" ht="42" customHeight="1">
      <x:c r="A71" s="15" t="str">
        <x:v>P066</x:v>
      </x:c>
      <x:c r="B71" s="15" t="str">
        <x:v>马苏利帕特南</x:v>
      </x:c>
      <x:c r="C71" s="15" t="str">
        <x:v>印度与孟加拉湾</x:v>
      </x:c>
      <x:c r="D71" s="15" t="str">
        <x:v>Machilipatnam</x:v>
      </x:c>
      <x:c r="E71" s="15" t="str">
        <x:v>印度·安得拉海岸</x:v>
      </x:c>
      <x:c r="F71" s="29" t="n">
        <x:v>16.188</x:v>
      </x:c>
      <x:c r="G71" s="29" t="n">
        <x:v>81.138</x:v>
      </x:c>
      <x:c r="H71" s="15" t="str">
        <x:v>三角洲商港</x:v>
      </x:c>
      <x:c r="I71" s="30" t="n">
        <x:v>310</x:v>
      </x:c>
      <x:c r="J71" s="30" t="n">
        <x:v>230</x:v>
      </x:c>
      <x:c r="K71" s="15" t="str">
        <x:v>潮泥河口上方是五彩印花布长廊，木印模与陶染缸像一座露天画室</x:v>
      </x:c>
      <x:c r="L71" s="15" t="str">
        <x:v>手绘印染棉布与香料交换</x:v>
      </x:c>
      <x:c r="M71" s="15" t="str">
        <x:v>安得拉河海商船</x:v>
      </x:c>
      <x:c r="N71" s="15" t="str">
        <x:v>染织工坊；宫廷；细木工坊</x:v>
      </x:c>
      <x:c r="O71" s="15" t="str">
        <x:v>孔雀手绘棉布总坊</x:v>
      </x:c>
      <x:c r="P71" s="15" t="str">
        <x:v>SP066</x:v>
      </x:c>
      <x:c r="Q71" s="15" t="str">
        <x:v>孔雀海图卡拉姆布</x:v>
      </x:c>
      <x:c r="R71" s="15" t="str">
        <x:v>手绘印染棉布为地域文化基础；孔雀海图是本作设计，不复制博物馆藏品。</x:v>
      </x:c>
      <x:c r="S71" s="15" t="str">
        <x:v>今址近似坐标，仅用于设计地图定位；不表达近世政治边界。</x:v>
      </x:c>
      <x:c r="T71" s="15" t="str">
        <x:v>WT-H10</x:v>
      </x:c>
    </x:row>
    <x:row r="72" ht="42" customHeight="1">
      <x:c r="A72" s="13" t="str">
        <x:v>P067</x:v>
      </x:c>
      <x:c r="B72" s="13" t="str">
        <x:v>胡格利</x:v>
      </x:c>
      <x:c r="C72" s="13" t="str">
        <x:v>印度与孟加拉湾</x:v>
      </x:c>
      <x:c r="D72" s="13" t="str">
        <x:v>Hooghly</x:v>
      </x:c>
      <x:c r="E72" s="13" t="str">
        <x:v>印度·孟加拉胡格利河</x:v>
      </x:c>
      <x:c r="F72" s="21" t="n">
        <x:v>22.908</x:v>
      </x:c>
      <x:c r="G72" s="21" t="n">
        <x:v>88.396</x:v>
      </x:c>
      <x:c r="H72" s="13" t="str">
        <x:v>内河海港</x:v>
      </x:c>
      <x:c r="I72" s="27" t="n">
        <x:v>400</x:v>
      </x:c>
      <x:c r="J72" s="27" t="n">
        <x:v>300</x:v>
      </x:c>
      <x:c r="K72" s="13" t="str">
        <x:v>宽河面被白帆和烟蓝织布楼填满，潮雾把细棉纱染成银色</x:v>
      </x:c>
      <x:c r="L72" s="13" t="str">
        <x:v>孟加拉细棉、丝绸、糖与硝石</x:v>
      </x:c>
      <x:c r="M72" s="13" t="str">
        <x:v>孟加拉河海大商船</x:v>
      </x:c>
      <x:c r="N72" s="13" t="str">
        <x:v>染织工坊；军需工坊；宫廷</x:v>
      </x:c>
      <x:c r="O72" s="13" t="str">
        <x:v>晨雾细纱行会</x:v>
      </x:c>
      <x:c r="P72" s="13" t="str">
        <x:v>SP067</x:v>
      </x:c>
      <x:c r="Q72" s="13" t="str">
        <x:v>晨雾七层细纱</x:v>
      </x:c>
      <x:c r="R72" s="13" t="str">
        <x:v>孟加拉棉丝与海外织物贸易为历史基础；晨雾七层纱为原创商品品牌。</x:v>
      </x:c>
      <x:c r="S72" s="13" t="str">
        <x:v>今址近似坐标，仅用于设计地图定位；不表达近世政治边界。</x:v>
      </x:c>
      <x:c r="T72" s="13" t="str">
        <x:v>WT-H09</x:v>
      </x:c>
    </x:row>
    <x:row r="73" ht="42" customHeight="1">
      <x:c r="A73" s="15" t="str">
        <x:v>P068</x:v>
      </x:c>
      <x:c r="B73" s="15" t="str">
        <x:v>吉大港</x:v>
      </x:c>
      <x:c r="C73" s="15" t="str">
        <x:v>印度与孟加拉湾</x:v>
      </x:c>
      <x:c r="D73" s="15" t="str">
        <x:v>Chattogram</x:v>
      </x:c>
      <x:c r="E73" s="15" t="str">
        <x:v>孟加拉·卡纳普里河口</x:v>
      </x:c>
      <x:c r="F73" s="29" t="n">
        <x:v>22.357</x:v>
      </x:c>
      <x:c r="G73" s="29" t="n">
        <x:v>91.783</x:v>
      </x:c>
      <x:c r="H73" s="15" t="str">
        <x:v>河口季风港</x:v>
      </x:c>
      <x:c r="I73" s="30" t="n">
        <x:v>250</x:v>
      </x:c>
      <x:c r="J73" s="30" t="n">
        <x:v>240</x:v>
      </x:c>
      <x:c r="K73" s="15" t="str">
        <x:v>绿山压近弯曲河湾，巨木顺水抵港，竹脚仓库上方悬着彩色帆样</x:v>
      </x:c>
      <x:c r="L73" s="15" t="str">
        <x:v>孟加拉湾东缘造船、木材与纺织转口</x:v>
      </x:c>
      <x:c r="M73" s="15" t="str">
        <x:v>孟加拉浅底远海货船</x:v>
      </x:c>
      <x:c r="N73" s="15" t="str">
        <x:v>船厂；工具工坊；城市衣料</x:v>
      </x:c>
      <x:c r="O73" s="15" t="str">
        <x:v>青湾箱匠工坊</x:v>
      </x:c>
      <x:c r="P73" s="15" t="str">
        <x:v>SP068</x:v>
      </x:c>
      <x:c r="Q73" s="15" t="str">
        <x:v>青湾柚木拼浪箱</x:v>
      </x:c>
      <x:c r="R73" s="15" t="str">
        <x:v>以真实海岸、河口或岛屿定位；本作综合1500—1780年前后航海文化，港区构图、工坊品牌、供货与数值均为原创设计。</x:v>
      </x:c>
      <x:c r="S73" s="15" t="str">
        <x:v>今址近似坐标，仅用于设计地图定位；不表达近世政治边界。</x:v>
      </x:c>
      <x:c r="T73" s="15" t="str"/>
    </x:row>
    <x:row r="74" ht="42" customHeight="1">
      <x:c r="A74" s="13" t="str">
        <x:v>P069</x:v>
      </x:c>
      <x:c r="B74" s="13" t="str">
        <x:v>马六甲</x:v>
      </x:c>
      <x:c r="C74" s="13" t="str">
        <x:v>东南亚与香料群岛</x:v>
      </x:c>
      <x:c r="D74" s="13" t="str">
        <x:v>Melaka</x:v>
      </x:c>
      <x:c r="E74" s="13" t="str">
        <x:v>马来半岛·马六甲海峡</x:v>
      </x:c>
      <x:c r="F74" s="21" t="n">
        <x:v>2.189</x:v>
      </x:c>
      <x:c r="G74" s="21" t="n">
        <x:v>102.25</x:v>
      </x:c>
      <x:c r="H74" s="13" t="str">
        <x:v>海峡转运港</x:v>
      </x:c>
      <x:c r="I74" s="27" t="n">
        <x:v>440</x:v>
      </x:c>
      <x:c r="J74" s="27" t="n">
        <x:v>370</x:v>
      </x:c>
      <x:c r="K74" s="13" t="str">
        <x:v>赤红石墙、马来高脚屋与中式檐口沿河交叠，雨夜灯火把河染成橙金</x:v>
      </x:c>
      <x:c r="L74" s="13" t="str">
        <x:v>印度洋与东亚转口核心</x:v>
      </x:c>
      <x:c r="M74" s="13" t="str">
        <x:v>马六甲混合帆装商船</x:v>
      </x:c>
      <x:c r="N74" s="13" t="str">
        <x:v>香辛料收藏；城市衣料；船厂</x:v>
      </x:c>
      <x:c r="O74" s="13" t="str">
        <x:v>三海合匠工坊</x:v>
      </x:c>
      <x:c r="P74" s="13" t="str">
        <x:v>SP069</x:v>
      </x:c>
      <x:c r="Q74" s="13" t="str">
        <x:v>三海嵌珠商匣</x:v>
      </x:c>
      <x:c r="R74" s="13" t="str">
        <x:v>参考马六甲跨文化商港；三海合匠工坊将交流转化为可投资的原创产业。</x:v>
      </x:c>
      <x:c r="S74" s="13" t="str">
        <x:v>今址近似坐标，仅用于设计地图定位；不表达近世政治边界。</x:v>
      </x:c>
      <x:c r="T74" s="13" t="str">
        <x:v>WT-H11</x:v>
      </x:c>
    </x:row>
    <x:row r="75" ht="42" customHeight="1">
      <x:c r="A75" s="15" t="str">
        <x:v>P070</x:v>
      </x:c>
      <x:c r="B75" s="15" t="str">
        <x:v>亚齐</x:v>
      </x:c>
      <x:c r="C75" s="15" t="str">
        <x:v>东南亚与香料群岛</x:v>
      </x:c>
      <x:c r="D75" s="15" t="str">
        <x:v>Banda Aceh</x:v>
      </x:c>
      <x:c r="E75" s="15" t="str">
        <x:v>印度尼西亚·苏门答腊北端</x:v>
      </x:c>
      <x:c r="F75" s="29" t="n">
        <x:v>5.548</x:v>
      </x:c>
      <x:c r="G75" s="29" t="n">
        <x:v>95.323</x:v>
      </x:c>
      <x:c r="H75" s="15" t="str">
        <x:v>海峡王城港</x:v>
      </x:c>
      <x:c r="I75" s="30" t="n">
        <x:v>300</x:v>
      </x:c>
      <x:c r="J75" s="30" t="n">
        <x:v>370</x:v>
      </x:c>
      <x:c r="K75" s="15" t="str">
        <x:v>高屋脊宫城与密绿山麓俯看海峡，黑胡椒筐堆在青铜色码头边</x:v>
      </x:c>
      <x:c r="L75" s="15" t="str">
        <x:v>北苏门答腊胡椒与海峡护航</x:v>
      </x:c>
      <x:c r="M75" s="15" t="str">
        <x:v>亚齐大型桨帆战船</x:v>
      </x:c>
      <x:c r="N75" s="15" t="str">
        <x:v>军港补给；城市衣料；珠宝工坊</x:v>
      </x:c>
      <x:c r="O75" s="15" t="str">
        <x:v>雨枪香料分晒场</x:v>
      </x:c>
      <x:c r="P75" s="15" t="str">
        <x:v>SP070</x:v>
      </x:c>
      <x:c r="Q75" s="15" t="str">
        <x:v>雨枪长穗胡椒</x:v>
      </x:c>
      <x:c r="R75" s="15" t="str">
        <x:v>以真实海岸、河口或岛屿定位；本作综合1500—1780年前后航海文化，港区构图、工坊品牌、供货与数值均为原创设计。</x:v>
      </x:c>
      <x:c r="S75" s="15" t="str">
        <x:v>今址近似坐标，仅用于设计地图定位；不表达近世政治边界。</x:v>
      </x:c>
      <x:c r="T75" s="15" t="str"/>
    </x:row>
    <x:row r="76" ht="42" customHeight="1">
      <x:c r="A76" s="13" t="str">
        <x:v>P071</x:v>
      </x:c>
      <x:c r="B76" s="13" t="str">
        <x:v>万丹</x:v>
      </x:c>
      <x:c r="C76" s="13" t="str">
        <x:v>东南亚与香料群岛</x:v>
      </x:c>
      <x:c r="D76" s="13" t="str">
        <x:v>Banten</x:v>
      </x:c>
      <x:c r="E76" s="13" t="str">
        <x:v>印度尼西亚·爪哇西北岸</x:v>
      </x:c>
      <x:c r="F76" s="21" t="n">
        <x:v>-6.039</x:v>
      </x:c>
      <x:c r="G76" s="21" t="n">
        <x:v>106.154</x:v>
      </x:c>
      <x:c r="H76" s="13" t="str">
        <x:v>香料河口港</x:v>
      </x:c>
      <x:c r="I76" s="27" t="n">
        <x:v>310</x:v>
      </x:c>
      <x:c r="J76" s="27" t="n">
        <x:v>270</x:v>
      </x:c>
      <x:c r="K76" s="13" t="str">
        <x:v>潮湿砖门、竹棚与密密黑胡椒袋围着河口，远处火山像暗蓝屏风</x:v>
      </x:c>
      <x:c r="L76" s="13" t="str">
        <x:v>西爪哇胡椒、稻米与群岛集散</x:v>
      </x:c>
      <x:c r="M76" s="13" t="str">
        <x:v>爪哇大型荣克商船</x:v>
      </x:c>
      <x:c r="N76" s="13" t="str">
        <x:v>城市衣料；工具工坊；香料工坊</x:v>
      </x:c>
      <x:c r="O76" s="13" t="str">
        <x:v>夜蓝蜡染工坊</x:v>
      </x:c>
      <x:c r="P76" s="13" t="str">
        <x:v>SP071</x:v>
      </x:c>
      <x:c r="Q76" s="13" t="str">
        <x:v>万丹夜蓝蜡染卷</x:v>
      </x:c>
      <x:c r="R76" s="13" t="str">
        <x:v>以真实海岸、河口或岛屿定位；本作综合1500—1780年前后航海文化，港区构图、工坊品牌、供货与数值均为原创设计。</x:v>
      </x:c>
      <x:c r="S76" s="13" t="str">
        <x:v>今址近似坐标，仅用于设计地图定位；不表达近世政治边界。</x:v>
      </x:c>
      <x:c r="T76" s="13" t="str"/>
    </x:row>
    <x:row r="77" ht="42" customHeight="1">
      <x:c r="A77" s="15" t="str">
        <x:v>P072</x:v>
      </x:c>
      <x:c r="B77" s="15" t="str">
        <x:v>巴达维亚</x:v>
      </x:c>
      <x:c r="C77" s="15" t="str">
        <x:v>东南亚与香料群岛</x:v>
      </x:c>
      <x:c r="D77" s="15" t="str">
        <x:v>Jakarta</x:v>
      </x:c>
      <x:c r="E77" s="15" t="str">
        <x:v>印度尼西亚·爪哇北岸</x:v>
      </x:c>
      <x:c r="F77" s="29" t="n">
        <x:v>-6.122</x:v>
      </x:c>
      <x:c r="G77" s="29" t="n">
        <x:v>106.809</x:v>
      </x:c>
      <x:c r="H77" s="15" t="str">
        <x:v>运河港</x:v>
      </x:c>
      <x:c r="I77" s="30" t="n">
        <x:v>430</x:v>
      </x:c>
      <x:c r="J77" s="30" t="n">
        <x:v>420</x:v>
      </x:c>
      <x:c r="K77" s="15" t="str">
        <x:v>白色运河街桥在热带树影里发亮，红瓦香料仓和绿铜吊货梁层层延伸</x:v>
      </x:c>
      <x:c r="L77" s="15" t="str">
        <x:v>群岛香料转口、糖与造船补给</x:v>
      </x:c>
      <x:c r="M77" s="15" t="str">
        <x:v>爪哇—荷式远洋货船</x:v>
      </x:c>
      <x:c r="N77" s="15" t="str">
        <x:v>船厂；甜食；学会</x:v>
      </x:c>
      <x:c r="O77" s="15" t="str">
        <x:v>群岛香橱合匠工坊</x:v>
      </x:c>
      <x:c r="P77" s="15" t="str">
        <x:v>SP072</x:v>
      </x:c>
      <x:c r="Q77" s="15" t="str">
        <x:v>群岛十三香橱</x:v>
      </x:c>
      <x:c r="R77" s="15" t="str">
        <x:v>以真实海岸、河口或岛屿定位；本作综合1500—1780年前后航海文化，港区构图、工坊品牌、供货与数值均为原创设计。</x:v>
      </x:c>
      <x:c r="S77" s="15" t="str">
        <x:v>今址近似坐标，仅用于设计地图定位；不表达近世政治边界。</x:v>
      </x:c>
      <x:c r="T77" s="15" t="str"/>
    </x:row>
    <x:row r="78" ht="42" customHeight="1">
      <x:c r="A78" s="13" t="str">
        <x:v>P073</x:v>
      </x:c>
      <x:c r="B78" s="13" t="str">
        <x:v>巨港</x:v>
      </x:c>
      <x:c r="C78" s="13" t="str">
        <x:v>东南亚与香料群岛</x:v>
      </x:c>
      <x:c r="D78" s="13" t="str">
        <x:v>Palembang</x:v>
      </x:c>
      <x:c r="E78" s="13" t="str">
        <x:v>印度尼西亚·穆西河</x:v>
      </x:c>
      <x:c r="F78" s="21" t="n">
        <x:v>-2.991</x:v>
      </x:c>
      <x:c r="G78" s="21" t="n">
        <x:v>104.757</x:v>
      </x:c>
      <x:c r="H78" s="13" t="str">
        <x:v>内河群岛港</x:v>
      </x:c>
      <x:c r="I78" s="27" t="n">
        <x:v>260</x:v>
      </x:c>
      <x:c r="J78" s="27" t="n">
        <x:v>200</x:v>
      </x:c>
      <x:c r="K78" s="13" t="str">
        <x:v>高脚屋与浮动集市铺满宽阔褐河，金线布在桥上像日光瀑布</x:v>
      </x:c>
      <x:c r="L78" s="13" t="str">
        <x:v>穆西河林产、锡与金线织物</x:v>
      </x:c>
      <x:c r="M78" s="13" t="str">
        <x:v>苏门答腊河海荣克</x:v>
      </x:c>
      <x:c r="N78" s="13" t="str">
        <x:v>城市衣料；染织工坊；工具工坊</x:v>
      </x:c>
      <x:c r="O78" s="13" t="str">
        <x:v>金河织锦公所</x:v>
      </x:c>
      <x:c r="P78" s="13" t="str">
        <x:v>SP073</x:v>
      </x:c>
      <x:c r="Q78" s="13" t="str">
        <x:v>穆西金河织锦</x:v>
      </x:c>
      <x:c r="R78" s="13" t="str">
        <x:v>以真实海岸、河口或岛屿定位；本作综合1500—1780年前后航海文化，港区构图、工坊品牌、供货与数值均为原创设计。</x:v>
      </x:c>
      <x:c r="S78" s="13" t="str">
        <x:v>今址近似坐标，仅用于设计地图定位；不表达近世政治边界。</x:v>
      </x:c>
      <x:c r="T78" s="13" t="str"/>
    </x:row>
    <x:row r="79" ht="42" customHeight="1">
      <x:c r="A79" s="15" t="str">
        <x:v>P074</x:v>
      </x:c>
      <x:c r="B79" s="15" t="str">
        <x:v>文莱</x:v>
      </x:c>
      <x:c r="C79" s="15" t="str">
        <x:v>东南亚与香料群岛</x:v>
      </x:c>
      <x:c r="D79" s="15" t="str">
        <x:v>Bandar Seri Begawan</x:v>
      </x:c>
      <x:c r="E79" s="15" t="str">
        <x:v>文莱·文莱河</x:v>
      </x:c>
      <x:c r="F79" s="29" t="n">
        <x:v>4.903</x:v>
      </x:c>
      <x:c r="G79" s="29" t="n">
        <x:v>114.94</x:v>
      </x:c>
      <x:c r="H79" s="15" t="str">
        <x:v>水上城港</x:v>
      </x:c>
      <x:c r="I79" s="30" t="n">
        <x:v>250</x:v>
      </x:c>
      <x:c r="J79" s="30" t="n">
        <x:v>230</x:v>
      </x:c>
      <x:c r="K79" s="15" t="str">
        <x:v>水上木城在青山下连成一片，屋顶铜色反光与细长渡船流成绸带</x:v>
      </x:c>
      <x:c r="L79" s="15" t="str">
        <x:v>婆罗洲林产、香木与湾内转运</x:v>
      </x:c>
      <x:c r="M79" s="15" t="str">
        <x:v>文莱水城商帆</x:v>
      </x:c>
      <x:c r="N79" s="15" t="str">
        <x:v>细木工坊；城市衣料；工具工坊</x:v>
      </x:c>
      <x:c r="O79" s="15" t="str">
        <x:v>水宫折屏木作坊</x:v>
      </x:c>
      <x:c r="P79" s="15" t="str">
        <x:v>SP074</x:v>
      </x:c>
      <x:c r="Q79" s="15" t="str">
        <x:v>水宫沉纹木屏</x:v>
      </x:c>
      <x:c r="R79" s="15" t="str">
        <x:v>以真实海岸、河口或岛屿定位；本作综合1500—1780年前后航海文化，港区构图、工坊品牌、供货与数值均为原创设计。</x:v>
      </x:c>
      <x:c r="S79" s="15" t="str">
        <x:v>今址近似坐标，仅用于设计地图定位；不表达近世政治边界。</x:v>
      </x:c>
      <x:c r="T79" s="15" t="str"/>
    </x:row>
    <x:row r="80" ht="42" customHeight="1">
      <x:c r="A80" s="13" t="str">
        <x:v>P075</x:v>
      </x:c>
      <x:c r="B80" s="13" t="str">
        <x:v>望加锡</x:v>
      </x:c>
      <x:c r="C80" s="13" t="str">
        <x:v>东南亚与香料群岛</x:v>
      </x:c>
      <x:c r="D80" s="13" t="str">
        <x:v>Makassar</x:v>
      </x:c>
      <x:c r="E80" s="13" t="str">
        <x:v>印度尼西亚·苏拉威西西南岸</x:v>
      </x:c>
      <x:c r="F80" s="21" t="n">
        <x:v>-5.148</x:v>
      </x:c>
      <x:c r="G80" s="21" t="n">
        <x:v>119.432</x:v>
      </x:c>
      <x:c r="H80" s="13" t="str">
        <x:v>群岛商港</x:v>
      </x:c>
      <x:c r="I80" s="27" t="n">
        <x:v>320</x:v>
      </x:c>
      <x:c r="J80" s="27" t="n">
        <x:v>320</x:v>
      </x:c>
      <x:c r="K80" s="13" t="str">
        <x:v>宽阔海湾上满是白色蝴蝶般的帆，黑色船身和金色沙地对比鲜明</x:v>
      </x:c>
      <x:c r="L80" s="13" t="str">
        <x:v>苏拉威西自由转口、木材与岛链航运</x:v>
      </x:c>
      <x:c r="M80" s="13" t="str">
        <x:v>苏拉威西双桅商帆</x:v>
      </x:c>
      <x:c r="N80" s="13" t="str">
        <x:v>船厂；工具工坊；城市衣料</x:v>
      </x:c>
      <x:c r="O80" s="13" t="str">
        <x:v>黑帆染织工坊</x:v>
      </x:c>
      <x:c r="P80" s="13" t="str">
        <x:v>SP075</x:v>
      </x:c>
      <x:c r="Q80" s="13" t="str">
        <x:v>南十字黑帆布</x:v>
      </x:c>
      <x:c r="R80" s="13" t="str">
        <x:v>船帆和自由转口采用苏拉威西航海文化启发；具体帆型组合和黑帆布为时代融合设计。</x:v>
      </x:c>
      <x:c r="S80" s="13" t="str">
        <x:v>今址近似坐标，仅用于设计地图定位；不表达近世政治边界。</x:v>
      </x:c>
      <x:c r="T80" s="13" t="str"/>
    </x:row>
    <x:row r="81" ht="42" customHeight="1">
      <x:c r="A81" s="15" t="str">
        <x:v>P076</x:v>
      </x:c>
      <x:c r="B81" s="15" t="str">
        <x:v>特尔纳特</x:v>
      </x:c>
      <x:c r="C81" s="15" t="str">
        <x:v>东南亚与香料群岛</x:v>
      </x:c>
      <x:c r="D81" s="15" t="str">
        <x:v>Ternate</x:v>
      </x:c>
      <x:c r="E81" s="15" t="str">
        <x:v>印度尼西亚·马鲁古群岛</x:v>
      </x:c>
      <x:c r="F81" s="29" t="n">
        <x:v>0.789</x:v>
      </x:c>
      <x:c r="G81" s="29" t="n">
        <x:v>127.375</x:v>
      </x:c>
      <x:c r="H81" s="15" t="str">
        <x:v>火山香料港</x:v>
      </x:c>
      <x:c r="I81" s="30" t="n">
        <x:v>250</x:v>
      </x:c>
      <x:c r="J81" s="30" t="n">
        <x:v>330</x:v>
      </x:c>
      <x:c r="K81" s="15" t="str">
        <x:v>完美火山锥直插青天，丁香晒席沿石阶一直铺向碧海</x:v>
      </x:c>
      <x:c r="L81" s="15" t="str">
        <x:v>丁香原产贸易与火山岛战略补给</x:v>
      </x:c>
      <x:c r="M81" s="15" t="str">
        <x:v>马鲁古科拉科拉与岛帆</x:v>
      </x:c>
      <x:c r="N81" s="15" t="str">
        <x:v>城市衣料；远航补给；铁器进口</x:v>
      </x:c>
      <x:c r="O81" s="15" t="str">
        <x:v>赤蕊丁香晾晒院</x:v>
      </x:c>
      <x:c r="P81" s="15" t="str">
        <x:v>SP076</x:v>
      </x:c>
      <x:c r="Q81" s="15" t="str">
        <x:v>火山赤蕊丁香</x:v>
      </x:c>
      <x:c r="R81" s="15" t="str">
        <x:v>以真实海岸、河口或岛屿定位；本作综合1500—1780年前后航海文化，港区构图、工坊品牌、供货与数值均为原创设计。</x:v>
      </x:c>
      <x:c r="S81" s="15" t="str">
        <x:v>今址近似坐标，仅用于设计地图定位；不表达近世政治边界。</x:v>
      </x:c>
      <x:c r="T81" s="15" t="str"/>
    </x:row>
    <x:row r="82" ht="42" customHeight="1">
      <x:c r="A82" s="13" t="str">
        <x:v>P077</x:v>
      </x:c>
      <x:c r="B82" s="13" t="str">
        <x:v>班达奈拉</x:v>
      </x:c>
      <x:c r="C82" s="13" t="str">
        <x:v>东南亚与香料群岛</x:v>
      </x:c>
      <x:c r="D82" s="13" t="str">
        <x:v>Banda Neira</x:v>
      </x:c>
      <x:c r="E82" s="13" t="str">
        <x:v>印度尼西亚·班达群岛</x:v>
      </x:c>
      <x:c r="F82" s="21" t="n">
        <x:v>-4.525</x:v>
      </x:c>
      <x:c r="G82" s="21" t="n">
        <x:v>129.898</x:v>
      </x:c>
      <x:c r="H82" s="13" t="str">
        <x:v>火山环湾港</x:v>
      </x:c>
      <x:c r="I82" s="27" t="n">
        <x:v>240</x:v>
      </x:c>
      <x:c r="J82" s="27" t="n">
        <x:v>320</x:v>
      </x:c>
      <x:c r="K82" s="13" t="str">
        <x:v>肉豆蔻林垂到小湾边，黑石堡、白船帆与翡翠火山湖构成宝石色小世界</x:v>
      </x:c>
      <x:c r="L82" s="13" t="str">
        <x:v>肉豆蔻与花衣原产地</x:v>
      </x:c>
      <x:c r="M82" s="13" t="str">
        <x:v>班达岛链轻帆与科拉科拉</x:v>
      </x:c>
      <x:c r="N82" s="13" t="str">
        <x:v>城市衣料；远航补给；铁器进口</x:v>
      </x:c>
      <x:c r="O82" s="13" t="str">
        <x:v>绯冠花衣分级工坊</x:v>
      </x:c>
      <x:c r="P82" s="13" t="str">
        <x:v>SP077</x:v>
      </x:c>
      <x:c r="Q82" s="13" t="str">
        <x:v>班达绯冠肉豆蔻花衣</x:v>
      </x:c>
      <x:c r="R82" s="13" t="str">
        <x:v>班达肉豆蔻与花衣为真实原产地关系；绯冠品牌和产量属于原创数值设计。</x:v>
      </x:c>
      <x:c r="S82" s="13" t="str">
        <x:v>今址近似坐标，仅用于设计地图定位；不表达近世政治边界。</x:v>
      </x:c>
      <x:c r="T82" s="13" t="str">
        <x:v>WT-H12；WT-H13</x:v>
      </x:c>
    </x:row>
    <x:row r="83" ht="42" customHeight="1">
      <x:c r="A83" s="15" t="str">
        <x:v>P078</x:v>
      </x:c>
      <x:c r="B83" s="15" t="str">
        <x:v>马尼拉</x:v>
      </x:c>
      <x:c r="C83" s="15" t="str">
        <x:v>东南亚与香料群岛</x:v>
      </x:c>
      <x:c r="D83" s="15" t="str">
        <x:v>Manila</x:v>
      </x:c>
      <x:c r="E83" s="15" t="str">
        <x:v>菲律宾·吕宋岛</x:v>
      </x:c>
      <x:c r="F83" s="29" t="n">
        <x:v>14.599</x:v>
      </x:c>
      <x:c r="G83" s="29" t="n">
        <x:v>120.984</x:v>
      </x:c>
      <x:c r="H83" s="15" t="str">
        <x:v>三角洲都会港</x:v>
      </x:c>
      <x:c r="I83" s="30" t="n">
        <x:v>420</x:v>
      </x:c>
      <x:c r="J83" s="30" t="n">
        <x:v>410</x:v>
      </x:c>
      <x:c r="K83" s="15" t="str">
        <x:v>石城墙内是暖黄窗灯，河口大帆船与竹制货筏共享粉金色夕照</x:v>
      </x:c>
      <x:c r="L83" s="15" t="str">
        <x:v>跨太平洋转口、丝瓷、银与蕉麻</x:v>
      </x:c>
      <x:c r="M83" s="15" t="str">
        <x:v>菲律宾—伊比利亚大帆船</x:v>
      </x:c>
      <x:c r="N83" s="15" t="str">
        <x:v>铸币；船厂；奢华衣料</x:v>
      </x:c>
      <x:c r="O83" s="15" t="str">
        <x:v>月贝折扇工坊</x:v>
      </x:c>
      <x:c r="P83" s="15" t="str">
        <x:v>SP078</x:v>
      </x:c>
      <x:c r="Q83" s="15" t="str">
        <x:v>月贝金光折扇</x:v>
      </x:c>
      <x:c r="R83" s="15" t="str">
        <x:v>以真实海岸、河口或岛屿定位；本作综合1500—1780年前后航海文化，港区构图、工坊品牌、供货与数值均为原创设计。</x:v>
      </x:c>
      <x:c r="S83" s="15" t="str">
        <x:v>今址近似坐标，仅用于设计地图定位；不表达近世政治边界。</x:v>
      </x:c>
      <x:c r="T83" s="15" t="str"/>
    </x:row>
    <x:row r="84" ht="42" customHeight="1">
      <x:c r="A84" s="13" t="str">
        <x:v>P079</x:v>
      </x:c>
      <x:c r="B84" s="13" t="str">
        <x:v>会安</x:v>
      </x:c>
      <x:c r="C84" s="13" t="str">
        <x:v>东南亚与香料群岛</x:v>
      </x:c>
      <x:c r="D84" s="13" t="str">
        <x:v>Hội An</x:v>
      </x:c>
      <x:c r="E84" s="13" t="str">
        <x:v>越南·秋盆河口</x:v>
      </x:c>
      <x:c r="F84" s="21" t="n">
        <x:v>15.88</x:v>
      </x:c>
      <x:c r="G84" s="21" t="n">
        <x:v>108.338</x:v>
      </x:c>
      <x:c r="H84" s="13" t="str">
        <x:v>河口商埠</x:v>
      </x:c>
      <x:c r="I84" s="27" t="n">
        <x:v>310</x:v>
      </x:c>
      <x:c r="J84" s="27" t="n">
        <x:v>190</x:v>
      </x:c>
      <x:c r="K84" s="13" t="str">
        <x:v>赭黄商屋、褐木河桥与成串灯笼倒映在静河，布店檐下全是柔亮丝卷</x:v>
      </x:c>
      <x:c r="L84" s="13" t="str">
        <x:v>越南丝织、陶器与东亚季风转口</x:v>
      </x:c>
      <x:c r="M84" s="13" t="str">
        <x:v>占城—越南河海商帆</x:v>
      </x:c>
      <x:c r="N84" s="13" t="str">
        <x:v>染织工坊；船厂；收藏</x:v>
      </x:c>
      <x:c r="O84" s="13" t="str">
        <x:v>灯河丝灯工坊</x:v>
      </x:c>
      <x:c r="P84" s="13" t="str">
        <x:v>SP079</x:v>
      </x:c>
      <x:c r="Q84" s="13" t="str">
        <x:v>灯河五色丝灯罩</x:v>
      </x:c>
      <x:c r="R84" s="13" t="str">
        <x:v>会安港口街巷与本地、外来文化融合有史料支持；丝灯品牌和产业解锁为原创。</x:v>
      </x:c>
      <x:c r="S84" s="13" t="str">
        <x:v>今址近似坐标，仅用于设计地图定位；不表达近世政治边界。</x:v>
      </x:c>
      <x:c r="T84" s="13" t="str">
        <x:v>WT-H23</x:v>
      </x:c>
    </x:row>
    <x:row r="85" ht="42" customHeight="1">
      <x:c r="A85" s="15" t="str">
        <x:v>P080</x:v>
      </x:c>
      <x:c r="B85" s="15" t="str">
        <x:v>阿瑜陀耶</x:v>
      </x:c>
      <x:c r="C85" s="15" t="str">
        <x:v>东南亚与香料群岛</x:v>
      </x:c>
      <x:c r="D85" s="15" t="str">
        <x:v>Ayutthaya</x:v>
      </x:c>
      <x:c r="E85" s="15" t="str">
        <x:v>泰国·湄南河</x:v>
      </x:c>
      <x:c r="F85" s="29" t="n">
        <x:v>14.356</x:v>
      </x:c>
      <x:c r="G85" s="29" t="n">
        <x:v>100.568</x:v>
      </x:c>
      <x:c r="H85" s="15" t="str">
        <x:v>三河王城港</x:v>
      </x:c>
      <x:c r="I85" s="30" t="n">
        <x:v>390</x:v>
      </x:c>
      <x:c r="J85" s="30" t="n">
        <x:v>340</x:v>
      </x:c>
      <x:c r="K85" s="15" t="str">
        <x:v>金色尖塔从三河岛城升起，水上市场的遮棚像一床斑斓拼布</x:v>
      </x:c>
      <x:c r="L85" s="15" t="str">
        <x:v>暹罗稻米、林产与内河国际商埠</x:v>
      </x:c>
      <x:c r="M85" s="15" t="str">
        <x:v>暹罗浅吃水商帆</x:v>
      </x:c>
      <x:c r="N85" s="15" t="str">
        <x:v>城市衣料；珠宝工坊；宫廷</x:v>
      </x:c>
      <x:c r="O85" s="15" t="str">
        <x:v>王城金叶漆作坊</x:v>
      </x:c>
      <x:c r="P85" s="15" t="str">
        <x:v>SP080</x:v>
      </x:c>
      <x:c r="Q85" s="15" t="str">
        <x:v>三河金叶黑漆盘</x:v>
      </x:c>
      <x:c r="R85" s="15" t="str">
        <x:v>以真实海岸、河口或岛屿定位；本作综合1500—1780年前后航海文化，港区构图、工坊品牌、供货与数值均为原创设计。</x:v>
      </x:c>
      <x:c r="S85" s="15" t="str">
        <x:v>今址近似坐标，仅用于设计地图定位；不表达近世政治边界。</x:v>
      </x:c>
      <x:c r="T85" s="15" t="str"/>
    </x:row>
    <x:row r="86" ht="42" customHeight="1">
      <x:c r="A86" s="13" t="str">
        <x:v>P081</x:v>
      </x:c>
      <x:c r="B86" s="13" t="str">
        <x:v>广州</x:v>
      </x:c>
      <x:c r="C86" s="13" t="str">
        <x:v>东亚</x:v>
      </x:c>
      <x:c r="D86" s="13" t="str">
        <x:v>Guangzhou</x:v>
      </x:c>
      <x:c r="E86" s="13" t="str">
        <x:v>中国·珠江</x:v>
      </x:c>
      <x:c r="F86" s="21" t="n">
        <x:v>23.129</x:v>
      </x:c>
      <x:c r="G86" s="21" t="n">
        <x:v>113.264</x:v>
      </x:c>
      <x:c r="H86" s="13" t="str">
        <x:v>内河海港</x:v>
      </x:c>
      <x:c r="I86" s="27" t="n">
        <x:v>450</x:v>
      </x:c>
      <x:c r="J86" s="27" t="n">
        <x:v>360</x:v>
      </x:c>
      <x:c r="K86" s="13" t="str">
        <x:v>灰瓦骑楼、红灯与货帆铺满珠江，瓷箱和丝卷把码头变成明亮色块</x:v>
      </x:c>
      <x:c r="L86" s="13" t="str">
        <x:v>丝绸、瓷器、茶与国际结算</x:v>
      </x:c>
      <x:c r="M86" s="13" t="str">
        <x:v>广式远洋福广船</x:v>
      </x:c>
      <x:c r="N86" s="13" t="str">
        <x:v>铸币；奢华衣料；钟表收藏</x:v>
      </x:c>
      <x:c r="O86" s="13" t="str">
        <x:v>百帆彩瓷工坊</x:v>
      </x:c>
      <x:c r="P86" s="13" t="str">
        <x:v>SP081</x:v>
      </x:c>
      <x:c r="Q86" s="13" t="str">
        <x:v>珠江百帆广彩匣</x:v>
      </x:c>
      <x:c r="R86" s="13" t="str">
        <x:v>以真实海岸、河口或岛屿定位；本作综合1500—1780年前后航海文化，港区构图、工坊品牌、供货与数值均为原创设计。</x:v>
      </x:c>
      <x:c r="S86" s="13" t="str">
        <x:v>今址近似坐标，仅用于设计地图定位；不表达近世政治边界。</x:v>
      </x:c>
      <x:c r="T86" s="13" t="str">
        <x:v>WT-H09</x:v>
      </x:c>
    </x:row>
    <x:row r="87" ht="42" customHeight="1">
      <x:c r="A87" s="15" t="str">
        <x:v>P082</x:v>
      </x:c>
      <x:c r="B87" s="15" t="str">
        <x:v>泉州</x:v>
      </x:c>
      <x:c r="C87" s="15" t="str">
        <x:v>东亚</x:v>
      </x:c>
      <x:c r="D87" s="15" t="str">
        <x:v>Quanzhou</x:v>
      </x:c>
      <x:c r="E87" s="15" t="str">
        <x:v>中国·福建晋江口</x:v>
      </x:c>
      <x:c r="F87" s="29" t="n">
        <x:v>24.875</x:v>
      </x:c>
      <x:c r="G87" s="29" t="n">
        <x:v>118.676</x:v>
      </x:c>
      <x:c r="H87" s="15" t="str">
        <x:v>河口海港</x:v>
      </x:c>
      <x:c r="I87" s="30" t="n">
        <x:v>350</x:v>
      </x:c>
      <x:c r="J87" s="30" t="n">
        <x:v>280</x:v>
      </x:c>
      <x:c r="K87" s="15" t="str">
        <x:v>刺桐红花映着灰石港道、燕尾屋脊与远处白塔，帆影层层遮住夕阳</x:v>
      </x:c>
      <x:c r="L87" s="15" t="str">
        <x:v>福建陶瓷、糖、丝与造船工艺</x:v>
      </x:c>
      <x:c r="M87" s="15" t="str">
        <x:v>泉州水密舱福船</x:v>
      </x:c>
      <x:c r="N87" s="15" t="str">
        <x:v>船厂；香料工坊；铸币</x:v>
      </x:c>
      <x:c r="O87" s="15" t="str">
        <x:v>潮生白瓷窑</x:v>
      </x:c>
      <x:c r="P87" s="15" t="str">
        <x:v>SP082</x:v>
      </x:c>
      <x:c r="Q87" s="15" t="str">
        <x:v>刺桐白瓷潮生盏</x:v>
      </x:c>
      <x:c r="R87" s="15" t="str">
        <x:v>泉州更早的宋元海贸、陶瓷和铁业是文化积累；本作港口发展发生在近世架空时间。</x:v>
      </x:c>
      <x:c r="S87" s="15" t="str">
        <x:v>今址近似坐标，仅用于设计地图定位；不表达近世政治边界。</x:v>
      </x:c>
      <x:c r="T87" s="15" t="str">
        <x:v>WT-H14</x:v>
      </x:c>
    </x:row>
    <x:row r="88" ht="42" customHeight="1">
      <x:c r="A88" s="13" t="str">
        <x:v>P083</x:v>
      </x:c>
      <x:c r="B88" s="13" t="str">
        <x:v>福州</x:v>
      </x:c>
      <x:c r="C88" s="13" t="str">
        <x:v>东亚</x:v>
      </x:c>
      <x:c r="D88" s="13" t="str">
        <x:v>Fuzhou</x:v>
      </x:c>
      <x:c r="E88" s="13" t="str">
        <x:v>中国·闽江</x:v>
      </x:c>
      <x:c r="F88" s="21" t="n">
        <x:v>26.074</x:v>
      </x:c>
      <x:c r="G88" s="21" t="n">
        <x:v>119.296</x:v>
      </x:c>
      <x:c r="H88" s="13" t="str">
        <x:v>内河海港</x:v>
      </x:c>
      <x:c r="I88" s="27" t="n">
        <x:v>320</x:v>
      </x:c>
      <x:c r="J88" s="27" t="n">
        <x:v>280</x:v>
      </x:c>
      <x:c r="K88" s="13" t="str">
        <x:v>青山与榕荫压在闽江两岸，红漆船身和长条晒纸架让水面更显清凉</x:v>
      </x:c>
      <x:c r="L88" s="13" t="str">
        <x:v>茶、木材、纸书与漆器工坊</x:v>
      </x:c>
      <x:c r="M88" s="13" t="str">
        <x:v>闽江福船与河海帆</x:v>
      </x:c>
      <x:c r="N88" s="13" t="str">
        <x:v>学会；船厂；香料工坊</x:v>
      </x:c>
      <x:c r="O88" s="13" t="str">
        <x:v>榕影轻胎漆坊</x:v>
      </x:c>
      <x:c r="P88" s="13" t="str">
        <x:v>SP083</x:v>
      </x:c>
      <x:c r="Q88" s="13" t="str">
        <x:v>榕影脱胎漆杯</x:v>
      </x:c>
      <x:c r="R88" s="13" t="str">
        <x:v>漆器等工艺用跨年代文化精华组合，具体轻胎漆杯款式为本作原创。</x:v>
      </x:c>
      <x:c r="S88" s="13" t="str">
        <x:v>今址近似坐标，仅用于设计地图定位；不表达近世政治边界。</x:v>
      </x:c>
      <x:c r="T88" s="13" t="str"/>
    </x:row>
    <x:row r="89" ht="42" customHeight="1">
      <x:c r="A89" s="15" t="str">
        <x:v>P084</x:v>
      </x:c>
      <x:c r="B89" s="15" t="str">
        <x:v>宁波</x:v>
      </x:c>
      <x:c r="C89" s="15" t="str">
        <x:v>东亚</x:v>
      </x:c>
      <x:c r="D89" s="15" t="str">
        <x:v>Ningbo</x:v>
      </x:c>
      <x:c r="E89" s="15" t="str">
        <x:v>中国·甬江口</x:v>
      </x:c>
      <x:c r="F89" s="29" t="n">
        <x:v>29.868</x:v>
      </x:c>
      <x:c r="G89" s="29" t="n">
        <x:v>121.544</x:v>
      </x:c>
      <x:c r="H89" s="15" t="str">
        <x:v>河口海港</x:v>
      </x:c>
      <x:c r="I89" s="30" t="n">
        <x:v>350</x:v>
      </x:c>
      <x:c r="J89" s="30" t="n">
        <x:v>280</x:v>
      </x:c>
      <x:c r="K89" s="15" t="str">
        <x:v>甬江桥梁与黑瓦白墙映成水墨长卷，港外高桅在晨雾中逐层显露</x:v>
      </x:c>
      <x:c r="L89" s="15" t="str">
        <x:v>浙东茶丝、瓷器与近海航运</x:v>
      </x:c>
      <x:c r="M89" s="15" t="str">
        <x:v>浙式沙船与海商帆</x:v>
      </x:c>
      <x:c r="N89" s="15" t="str">
        <x:v>铸币；染织工坊；船厂</x:v>
      </x:c>
      <x:c r="O89" s="15" t="str">
        <x:v>雨线青瓷工坊</x:v>
      </x:c>
      <x:c r="P89" s="15" t="str">
        <x:v>SP084</x:v>
      </x:c>
      <x:c r="Q89" s="15" t="str">
        <x:v>甬江青瓷雨线壶</x:v>
      </x:c>
      <x:c r="R89" s="15" t="str">
        <x:v>以真实海岸、河口或岛屿定位；本作综合1500—1780年前后航海文化，港区构图、工坊品牌、供货与数值均为原创设计。</x:v>
      </x:c>
      <x:c r="S89" s="15" t="str">
        <x:v>今址近似坐标，仅用于设计地图定位；不表达近世政治边界。</x:v>
      </x:c>
      <x:c r="T89" s="15" t="str"/>
    </x:row>
    <x:row r="90" ht="42" customHeight="1">
      <x:c r="A90" s="13" t="str">
        <x:v>P085</x:v>
      </x:c>
      <x:c r="B90" s="13" t="str">
        <x:v>南京</x:v>
      </x:c>
      <x:c r="C90" s="13" t="str">
        <x:v>东亚</x:v>
      </x:c>
      <x:c r="D90" s="13" t="str">
        <x:v>Nanjing</x:v>
      </x:c>
      <x:c r="E90" s="13" t="str">
        <x:v>中国·长江下游</x:v>
      </x:c>
      <x:c r="F90" s="21" t="n">
        <x:v>32.06</x:v>
      </x:c>
      <x:c r="G90" s="21" t="n">
        <x:v>118.797</x:v>
      </x:c>
      <x:c r="H90" s="13" t="str">
        <x:v>大江工坊港</x:v>
      </x:c>
      <x:c r="I90" s="27" t="n">
        <x:v>420</x:v>
      </x:c>
      <x:c r="J90" s="27" t="n">
        <x:v>350</x:v>
      </x:c>
      <x:c r="K90" s="13" t="str">
        <x:v>宽江上巨帆如林，城墙后锦作楼与金色银杏把秋风染得华丽</x:v>
      </x:c>
      <x:c r="L90" s="13" t="str">
        <x:v>江南织造、书籍与大型船工汇流</x:v>
      </x:c>
      <x:c r="M90" s="13" t="str">
        <x:v>长江宝船系与沙船</x:v>
      </x:c>
      <x:c r="N90" s="13" t="str">
        <x:v>宫廷；学会；军需工坊</x:v>
      </x:c>
      <x:c r="O90" s="13" t="str">
        <x:v>星河云锦总坊</x:v>
      </x:c>
      <x:c r="P90" s="13" t="str">
        <x:v>SP085</x:v>
      </x:c>
      <x:c r="Q90" s="13" t="str">
        <x:v>金陵星河云锦</x:v>
      </x:c>
      <x:c r="R90" s="13" t="str">
        <x:v>以真实海岸、河口或岛屿定位；本作综合1500—1780年前后航海文化，港区构图、工坊品牌、供货与数值均为原创设计。</x:v>
      </x:c>
      <x:c r="S90" s="13" t="str">
        <x:v>今址近似坐标，仅用于设计地图定位；不表达近世政治边界。</x:v>
      </x:c>
      <x:c r="T90" s="13" t="str"/>
    </x:row>
    <x:row r="91" ht="42" customHeight="1">
      <x:c r="A91" s="15" t="str">
        <x:v>P086</x:v>
      </x:c>
      <x:c r="B91" s="15" t="str">
        <x:v>安平</x:v>
      </x:c>
      <x:c r="C91" s="15" t="str">
        <x:v>东亚</x:v>
      </x:c>
      <x:c r="D91" s="15" t="str">
        <x:v>Anping / Tainan</x:v>
      </x:c>
      <x:c r="E91" s="15" t="str">
        <x:v>中国台湾·台江海岸</x:v>
      </x:c>
      <x:c r="F91" s="29" t="n">
        <x:v>22.999</x:v>
      </x:c>
      <x:c r="G91" s="29" t="n">
        <x:v>120.16</x:v>
      </x:c>
      <x:c r="H91" s="15" t="str">
        <x:v>沙洲潟湖港</x:v>
      </x:c>
      <x:c r="I91" s="30" t="n">
        <x:v>230</x:v>
      </x:c>
      <x:c r="J91" s="30" t="n">
        <x:v>280</x:v>
      </x:c>
      <x:c r="K91" s="15" t="str">
        <x:v>红砖堡与沙洲渔屋面向金红夕照，糖车在细长潟湖堤道上行进</x:v>
      </x:c>
      <x:c r="L91" s="15" t="str">
        <x:v>台江糖、稻米与东亚转口</x:v>
      </x:c>
      <x:c r="M91" s="15" t="str">
        <x:v>闽台近海商帆</x:v>
      </x:c>
      <x:c r="N91" s="15" t="str">
        <x:v>工具工坊；城市衣料；船厂</x:v>
      </x:c>
      <x:c r="O91" s="15" t="str">
        <x:v>日落糖晶工坊</x:v>
      </x:c>
      <x:c r="P91" s="15" t="str">
        <x:v>SP086</x:v>
      </x:c>
      <x:c r="Q91" s="15" t="str">
        <x:v>安平日落蔗晶</x:v>
      </x:c>
      <x:c r="R91" s="15" t="str">
        <x:v>安平的沙洲港、贸易城与糖作取近世地理文化要素；后期港区规模由玩家投资改变。</x:v>
      </x:c>
      <x:c r="S91" s="15" t="str">
        <x:v>今址近似坐标，仅用于设计地图定位；不表达近世政治边界。</x:v>
      </x:c>
      <x:c r="T91" s="15" t="str"/>
    </x:row>
    <x:row r="92" ht="42" customHeight="1">
      <x:c r="A92" s="13" t="str">
        <x:v>P087</x:v>
      </x:c>
      <x:c r="B92" s="13" t="str">
        <x:v>马公</x:v>
      </x:c>
      <x:c r="C92" s="13" t="str">
        <x:v>东亚</x:v>
      </x:c>
      <x:c r="D92" s="13" t="str">
        <x:v>Magong</x:v>
      </x:c>
      <x:c r="E92" s="13" t="str">
        <x:v>中国台湾·澎湖群岛</x:v>
      </x:c>
      <x:c r="F92" s="21" t="n">
        <x:v>23.566</x:v>
      </x:c>
      <x:c r="G92" s="21" t="n">
        <x:v>119.579</x:v>
      </x:c>
      <x:c r="H92" s="13" t="str">
        <x:v>岛链湾港</x:v>
      </x:c>
      <x:c r="I92" s="27" t="n">
        <x:v>130</x:v>
      </x:c>
      <x:c r="J92" s="27" t="n">
        <x:v>240</x:v>
      </x:c>
      <x:c r="K92" s="13" t="str">
        <x:v>玄武岩矮墙、珊瑚石屋与风中晒鱼架围住青蓝港湾</x:v>
      </x:c>
      <x:c r="L92" s="13" t="str">
        <x:v>台湾海峡渔业、盐与接力补给</x:v>
      </x:c>
      <x:c r="M92" s="13" t="str">
        <x:v>澎湖抗风浅水帆船</x:v>
      </x:c>
      <x:c r="N92" s="13" t="str">
        <x:v>远航补给；木材进口；城市衣料</x:v>
      </x:c>
      <x:c r="O92" s="13" t="str">
        <x:v>玄武贝雕工坊</x:v>
      </x:c>
      <x:c r="P92" s="13" t="str">
        <x:v>SP087</x:v>
      </x:c>
      <x:c r="Q92" s="13" t="str">
        <x:v>玄武海纹贝雕盘</x:v>
      </x:c>
      <x:c r="R92" s="13" t="str">
        <x:v>以真实海岸、河口或岛屿定位；本作综合1500—1780年前后航海文化，港区构图、工坊品牌、供货与数值均为原创设计。</x:v>
      </x:c>
      <x:c r="S92" s="13" t="str">
        <x:v>今址近似坐标，仅用于设计地图定位；不表达近世政治边界。</x:v>
      </x:c>
      <x:c r="T92" s="13" t="str"/>
    </x:row>
    <x:row r="93" ht="42" customHeight="1">
      <x:c r="A93" s="15" t="str">
        <x:v>P088</x:v>
      </x:c>
      <x:c r="B93" s="15" t="str">
        <x:v>那霸</x:v>
      </x:c>
      <x:c r="C93" s="15" t="str">
        <x:v>东亚</x:v>
      </x:c>
      <x:c r="D93" s="15" t="str">
        <x:v>Naha</x:v>
      </x:c>
      <x:c r="E93" s="15" t="str">
        <x:v>琉球群岛·冲绳岛</x:v>
      </x:c>
      <x:c r="F93" s="29" t="n">
        <x:v>26.212</x:v>
      </x:c>
      <x:c r="G93" s="29" t="n">
        <x:v>127.681</x:v>
      </x:c>
      <x:c r="H93" s="15" t="str">
        <x:v>珊瑚礁商港</x:v>
      </x:c>
      <x:c r="I93" s="30" t="n">
        <x:v>290</x:v>
      </x:c>
      <x:c r="J93" s="30" t="n">
        <x:v>210</x:v>
      </x:c>
      <x:c r="K93" s="15" t="str">
        <x:v>朱红屋顶与珊瑚白墙在海风中鲜亮，黄蓝货帆穿过浅礁与石栈桥</x:v>
      </x:c>
      <x:c r="L93" s="15" t="str">
        <x:v>琉球转口、工艺、糖与东亚岛链航运</x:v>
      </x:c>
      <x:c r="M93" s="15" t="str">
        <x:v>琉球进贡与商用帆船</x:v>
      </x:c>
      <x:c r="N93" s="15" t="str">
        <x:v>礼品；城市衣料；学会</x:v>
      </x:c>
      <x:c r="O93" s="15" t="str">
        <x:v>潮花染绘工坊</x:v>
      </x:c>
      <x:c r="P93" s="15" t="str">
        <x:v>SP088</x:v>
      </x:c>
      <x:c r="Q93" s="15" t="str">
        <x:v>琉璃潮花红型布</x:v>
      </x:c>
      <x:c r="R93" s="15" t="str">
        <x:v>以真实海岸、河口或岛屿定位；本作综合1500—1780年前后航海文化，港区构图、工坊品牌、供货与数值均为原创设计。</x:v>
      </x:c>
      <x:c r="S93" s="15" t="str">
        <x:v>今址近似坐标，仅用于设计地图定位；不表达近世政治边界。</x:v>
      </x:c>
      <x:c r="T93" s="15" t="str"/>
    </x:row>
    <x:row r="94" ht="42" customHeight="1">
      <x:c r="A94" s="13" t="str">
        <x:v>P089</x:v>
      </x:c>
      <x:c r="B94" s="13" t="str">
        <x:v>长崎</x:v>
      </x:c>
      <x:c r="C94" s="13" t="str">
        <x:v>东亚</x:v>
      </x:c>
      <x:c r="D94" s="13" t="str">
        <x:v>Nagasaki</x:v>
      </x:c>
      <x:c r="E94" s="13" t="str">
        <x:v>日本·九州西岸</x:v>
      </x:c>
      <x:c r="F94" s="21" t="n">
        <x:v>32.75</x:v>
      </x:c>
      <x:c r="G94" s="21" t="n">
        <x:v>129.878</x:v>
      </x:c>
      <x:c r="H94" s="13" t="str">
        <x:v>山湾商港</x:v>
      </x:c>
      <x:c r="I94" s="27" t="n">
        <x:v>370</x:v>
      </x:c>
      <x:c r="J94" s="27" t="n">
        <x:v>350</x:v>
      </x:c>
      <x:c r="K94" s="13" t="str">
        <x:v>深湾两侧是坡地木楼与寺院屋脊，白帆、唐风门与玻璃灯色彩相遇</x:v>
      </x:c>
      <x:c r="L94" s="13" t="str">
        <x:v>东亚转口、铜与跨文化精细工坊</x:v>
      </x:c>
      <x:c r="M94" s="13" t="str">
        <x:v>长崎朱印船与混合帆装</x:v>
      </x:c>
      <x:c r="N94" s="13" t="str">
        <x:v>钟表收藏；铸币；学会</x:v>
      </x:c>
      <x:c r="O94" s="13" t="str">
        <x:v>虹砂玻璃合匠坊</x:v>
      </x:c>
      <x:c r="P94" s="13" t="str">
        <x:v>SP089</x:v>
      </x:c>
      <x:c r="Q94" s="13" t="str">
        <x:v>长崎虹砂玻璃盏</x:v>
      </x:c>
      <x:c r="R94" s="13" t="str">
        <x:v>以真实海岸、河口或岛屿定位；本作综合1500—1780年前后航海文化，港区构图、工坊品牌、供货与数值均为原创设计。</x:v>
      </x:c>
      <x:c r="S94" s="13" t="str">
        <x:v>今址近似坐标，仅用于设计地图定位；不表达近世政治边界。</x:v>
      </x:c>
      <x:c r="T94" s="13" t="str"/>
    </x:row>
    <x:row r="95" ht="42" customHeight="1">
      <x:c r="A95" s="15" t="str">
        <x:v>P090</x:v>
      </x:c>
      <x:c r="B95" s="15" t="str">
        <x:v>堺</x:v>
      </x:c>
      <x:c r="C95" s="15" t="str">
        <x:v>东亚</x:v>
      </x:c>
      <x:c r="D95" s="15" t="str">
        <x:v>Sakai</x:v>
      </x:c>
      <x:c r="E95" s="15" t="str">
        <x:v>日本·大阪湾</x:v>
      </x:c>
      <x:c r="F95" s="29" t="n">
        <x:v>34.574</x:v>
      </x:c>
      <x:c r="G95" s="29" t="n">
        <x:v>135.483</x:v>
      </x:c>
      <x:c r="H95" s="15" t="str">
        <x:v>工坊自治港</x:v>
      </x:c>
      <x:c r="I95" s="30" t="n">
        <x:v>390</x:v>
      </x:c>
      <x:c r="J95" s="30" t="n">
        <x:v>310</x:v>
      </x:c>
      <x:c r="K95" s="15" t="str">
        <x:v>自治商街紧靠灰绿海面，炭炉、茶屋和刀匠磨石在窄巷里并排</x:v>
      </x:c>
      <x:c r="L95" s="15" t="str">
        <x:v>金属工艺、茶器与商会航运</x:v>
      </x:c>
      <x:c r="M95" s="15" t="str">
        <x:v>堺商人朱印帆船</x:v>
      </x:c>
      <x:c r="N95" s="15" t="str">
        <x:v>军需工坊；学会；宫廷</x:v>
      </x:c>
      <x:c r="O95" s="15" t="str">
        <x:v>一叶金工总作坊</x:v>
      </x:c>
      <x:c r="P95" s="15" t="str">
        <x:v>SP090</x:v>
      </x:c>
      <x:c r="Q95" s="15" t="str">
        <x:v>堺一叶折锋匠刀</x:v>
      </x:c>
      <x:c r="R95" s="15" t="str">
        <x:v>自治商人、茶与金工为设计底色；匠刀商品与战斗武器使用不同表项。</x:v>
      </x:c>
      <x:c r="S95" s="15" t="str">
        <x:v>今址近似坐标，仅用于设计地图定位；不表达近世政治边界。</x:v>
      </x:c>
      <x:c r="T95" s="15" t="str"/>
    </x:row>
    <x:row r="96" ht="42" customHeight="1">
      <x:c r="A96" s="13" t="str">
        <x:v>P091</x:v>
      </x:c>
      <x:c r="B96" s="13" t="str">
        <x:v>江户</x:v>
      </x:c>
      <x:c r="C96" s="13" t="str">
        <x:v>东亚</x:v>
      </x:c>
      <x:c r="D96" s="13" t="str">
        <x:v>Tokyo / Edo</x:v>
      </x:c>
      <x:c r="E96" s="13" t="str">
        <x:v>日本·江户湾</x:v>
      </x:c>
      <x:c r="F96" s="21" t="n">
        <x:v>35.677</x:v>
      </x:c>
      <x:c r="G96" s="21" t="n">
        <x:v>139.777</x:v>
      </x:c>
      <x:c r="H96" s="13" t="str">
        <x:v>河口都会港</x:v>
      </x:c>
      <x:c r="I96" s="27" t="n">
        <x:v>450</x:v>
      </x:c>
      <x:c r="J96" s="27" t="n">
        <x:v>410</x:v>
      </x:c>
      <x:c r="K96" s="13" t="str">
        <x:v>木桥跨过密集运河，青瓦长屋外是红白市集旗与巨型木版招牌</x:v>
      </x:c>
      <x:c r="L96" s="13" t="str">
        <x:v>巨大消费市场、印刷、漆器与湾内航运</x:v>
      </x:c>
      <x:c r="M96" s="13" t="str">
        <x:v>江户千石船与弁才船</x:v>
      </x:c>
      <x:c r="N96" s="13" t="str">
        <x:v>城市口粮；学会；宴会</x:v>
      </x:c>
      <x:c r="O96" s="13" t="str">
        <x:v>千帆木版印坊</x:v>
      </x:c>
      <x:c r="P96" s="13" t="str">
        <x:v>SP091</x:v>
      </x:c>
      <x:c r="Q96" s="13" t="str">
        <x:v>江户千帆浮世绘册</x:v>
      </x:c>
      <x:c r="R96" s="13" t="str">
        <x:v>江户都会景观与木版文化取17—18世纪语汇；千帆画册收录原创画面。</x:v>
      </x:c>
      <x:c r="S96" s="13" t="str">
        <x:v>今址近似坐标，仅用于设计地图定位；不表达近世政治边界。</x:v>
      </x:c>
      <x:c r="T96" s="13" t="str"/>
    </x:row>
    <x:row r="97" ht="42" customHeight="1">
      <x:c r="A97" s="15" t="str">
        <x:v>P092</x:v>
      </x:c>
      <x:c r="B97" s="15" t="str">
        <x:v>釜山</x:v>
      </x:c>
      <x:c r="C97" s="15" t="str">
        <x:v>东亚</x:v>
      </x:c>
      <x:c r="D97" s="15" t="str">
        <x:v>Busan</x:v>
      </x:c>
      <x:c r="E97" s="15" t="str">
        <x:v>朝鲜半岛·东南海岸</x:v>
      </x:c>
      <x:c r="F97" s="29" t="n">
        <x:v>35.18</x:v>
      </x:c>
      <x:c r="G97" s="29" t="n">
        <x:v>129.076</x:v>
      </x:c>
      <x:c r="H97" s="15" t="str">
        <x:v>海峡商港</x:v>
      </x:c>
      <x:c r="I97" s="30" t="n">
        <x:v>280</x:v>
      </x:c>
      <x:c r="J97" s="30" t="n">
        <x:v>330</x:v>
      </x:c>
      <x:c r="K97" s="15" t="str">
        <x:v>苍绿山岭落向窄湾，白墙坡城旁高架鱼棚与淡青陶罐相间</x:v>
      </x:c>
      <x:c r="L97" s="15" t="str">
        <x:v>朝鲜海峡转口、渔业与精细工艺</x:v>
      </x:c>
      <x:c r="M97" s="15" t="str">
        <x:v>朝鲜板屋船与海商帆</x:v>
      </x:c>
      <x:c r="N97" s="15" t="str">
        <x:v>船厂；城市衣料；学会</x:v>
      </x:c>
      <x:c r="O97" s="15" t="str">
        <x:v>青潮螺钿工坊</x:v>
      </x:c>
      <x:c r="P97" s="15" t="str">
        <x:v>SP092</x:v>
      </x:c>
      <x:c r="Q97" s="15" t="str">
        <x:v>青潮螺钿文箱</x:v>
      </x:c>
      <x:c r="R97" s="15" t="str">
        <x:v>以真实海岸、河口或岛屿定位；本作综合1500—1780年前后航海文化，港区构图、工坊品牌、供货与数值均为原创设计。</x:v>
      </x:c>
      <x:c r="S97" s="15" t="str">
        <x:v>今址近似坐标，仅用于设计地图定位；不表达近世政治边界。</x:v>
      </x:c>
      <x:c r="T97" s="15" t="str"/>
    </x:row>
    <x:row r="98" ht="42" customHeight="1">
      <x:c r="A98" s="13" t="str">
        <x:v>P093</x:v>
      </x:c>
      <x:c r="B98" s="13" t="str">
        <x:v>济州</x:v>
      </x:c>
      <x:c r="C98" s="13" t="str">
        <x:v>东亚</x:v>
      </x:c>
      <x:c r="D98" s="13" t="str">
        <x:v>Jeju City</x:v>
      </x:c>
      <x:c r="E98" s="13" t="str">
        <x:v>朝鲜半岛·济州岛</x:v>
      </x:c>
      <x:c r="F98" s="21" t="n">
        <x:v>33.5</x:v>
      </x:c>
      <x:c r="G98" s="21" t="n">
        <x:v>126.531</x:v>
      </x:c>
      <x:c r="H98" s="13" t="str">
        <x:v>火山岛港</x:v>
      </x:c>
      <x:c r="I98" s="27" t="n">
        <x:v>140</x:v>
      </x:c>
      <x:c r="J98" s="27" t="n">
        <x:v>180</x:v>
      </x:c>
      <x:c r="K98" s="13" t="str">
        <x:v>黑石低墙、黄草屋顶与蓝得透明的海构成大胆色块，风总在吹动晾网</x:v>
      </x:c>
      <x:c r="L98" s="13" t="str">
        <x:v>济州海产、柑橘与岛链补给</x:v>
      </x:c>
      <x:c r="M98" s="13" t="str">
        <x:v>济州抗浪小帆舟</x:v>
      </x:c>
      <x:c r="N98" s="13" t="str">
        <x:v>远航补给；木材进口；城市衣料</x:v>
      </x:c>
      <x:c r="O98" s="13" t="str">
        <x:v>贝光镶嵌工坊</x:v>
      </x:c>
      <x:c r="P98" s="13" t="str">
        <x:v>SP093</x:v>
      </x:c>
      <x:c r="Q98" s="13" t="str">
        <x:v>黑石海女贝光扣</x:v>
      </x:c>
      <x:c r="R98" s="13" t="str">
        <x:v>以真实海岸、河口或岛屿定位；本作综合1500—1780年前后航海文化，港区构图、工坊品牌、供货与数值均为原创设计。</x:v>
      </x:c>
      <x:c r="S98" s="13" t="str">
        <x:v>今址近似坐标，仅用于设计地图定位；不表达近世政治边界。</x:v>
      </x:c>
      <x:c r="T98" s="13" t="str"/>
    </x:row>
    <x:row r="99" ht="42" customHeight="1">
      <x:c r="A99" s="15" t="str">
        <x:v>P094</x:v>
      </x:c>
      <x:c r="B99" s="15" t="str">
        <x:v>箱馆</x:v>
      </x:c>
      <x:c r="C99" s="15" t="str">
        <x:v>东亚</x:v>
      </x:c>
      <x:c r="D99" s="15" t="str">
        <x:v>Hakodate</x:v>
      </x:c>
      <x:c r="E99" s="15" t="str">
        <x:v>日本·北海道南端</x:v>
      </x:c>
      <x:c r="F99" s="29" t="n">
        <x:v>41.768</x:v>
      </x:c>
      <x:c r="G99" s="29" t="n">
        <x:v>140.729</x:v>
      </x:c>
      <x:c r="H99" s="15" t="str">
        <x:v>寒海湾港</x:v>
      </x:c>
      <x:c r="I99" s="30" t="n">
        <x:v>170</x:v>
      </x:c>
      <x:c r="J99" s="30" t="n">
        <x:v>160</x:v>
      </x:c>
      <x:c r="K99" s="15" t="str">
        <x:v>绿山下伸出月牙形湾岸，冷蓝海面上渔棚、木栈桥与炊烟缓缓铺开</x:v>
      </x:c>
      <x:c r="L99" s="15" t="str">
        <x:v>北太平洋鱼产、昆布、木材与冷海补给</x:v>
      </x:c>
      <x:c r="M99" s="15" t="str">
        <x:v>北海道沿岸货帆</x:v>
      </x:c>
      <x:c r="N99" s="15" t="str">
        <x:v>城市口粮；寒地衣料；船厂</x:v>
      </x:c>
      <x:c r="O99" s="15" t="str">
        <x:v>北灯昆布风干仓</x:v>
      </x:c>
      <x:c r="P99" s="15" t="str">
        <x:v>SP094</x:v>
      </x:c>
      <x:c r="Q99" s="15" t="str">
        <x:v>北灯昆布结礼带</x:v>
      </x:c>
      <x:c r="R99" s="15" t="str">
        <x:v>使用箱馆湾的真实地理与近世渔村语汇；不预设19世纪开港后的国际港规模。</x:v>
      </x:c>
      <x:c r="S99" s="15" t="str">
        <x:v>今址近似坐标，仅用于设计地图定位；不表达近世政治边界。</x:v>
      </x:c>
      <x:c r="T99" s="15" t="str"/>
    </x:row>
    <x:row r="100" ht="42" customHeight="1">
      <x:c r="A100" s="13" t="str">
        <x:v>P095</x:v>
      </x:c>
      <x:c r="B100" s="13" t="str">
        <x:v>哈瓦那</x:v>
      </x:c>
      <x:c r="C100" s="13" t="str">
        <x:v>加勒比与北美东岸</x:v>
      </x:c>
      <x:c r="D100" s="13" t="str">
        <x:v>Havana</x:v>
      </x:c>
      <x:c r="E100" s="13" t="str">
        <x:v>古巴·西北海岸</x:v>
      </x:c>
      <x:c r="F100" s="21" t="n">
        <x:v>23.113</x:v>
      </x:c>
      <x:c r="G100" s="21" t="n">
        <x:v>-82.367</x:v>
      </x:c>
      <x:c r="H100" s="13" t="str">
        <x:v>钥孔湾港</x:v>
      </x:c>
      <x:c r="I100" s="27" t="n">
        <x:v>420</x:v>
      </x:c>
      <x:c r="J100" s="27" t="n">
        <x:v>470</x:v>
      </x:c>
      <x:c r="K100" s="13" t="str">
        <x:v>粉黄城墙、蓝绿湾口与成排高帆，夕阳把堡垒和棕榈都镀上铜金</x:v>
      </x:c>
      <x:c r="L100" s="13" t="str">
        <x:v>加勒比舰队集结、烟草、糖与造船</x:v>
      </x:c>
      <x:c r="M100" s="13" t="str">
        <x:v>加勒比伊比利亚盖伦</x:v>
      </x:c>
      <x:c r="N100" s="13" t="str">
        <x:v>军港补给；船厂；奢华衣料</x:v>
      </x:c>
      <x:c r="O100" s="13" t="str">
        <x:v>绛叶熟成烟坊</x:v>
      </x:c>
      <x:c r="P100" s="13" t="str">
        <x:v>SP095</x:v>
      </x:c>
      <x:c r="Q100" s="13" t="str">
        <x:v>哈瓦那绛叶雪茄匣</x:v>
      </x:c>
      <x:c r="R100" s="13" t="str">
        <x:v>哈瓦那湾港和堡垒城市为历史依据；烟叶品牌、糖酒配额和发展节点为原创。</x:v>
      </x:c>
      <x:c r="S100" s="13" t="str">
        <x:v>今址近似坐标，仅用于设计地图定位；不表达近世政治边界。</x:v>
      </x:c>
      <x:c r="T100" s="13" t="str">
        <x:v>WT-H15</x:v>
      </x:c>
    </x:row>
    <x:row r="101" ht="42" customHeight="1">
      <x:c r="A101" s="15" t="str">
        <x:v>P096</x:v>
      </x:c>
      <x:c r="B101" s="15" t="str">
        <x:v>圣地亚哥德古巴</x:v>
      </x:c>
      <x:c r="C101" s="15" t="str">
        <x:v>加勒比与北美东岸</x:v>
      </x:c>
      <x:c r="D101" s="15" t="str">
        <x:v>Santiago de Cuba</x:v>
      </x:c>
      <x:c r="E101" s="15" t="str">
        <x:v>古巴·东南海岸</x:v>
      </x:c>
      <x:c r="F101" s="29" t="n">
        <x:v>20.021</x:v>
      </x:c>
      <x:c r="G101" s="29" t="n">
        <x:v>-75.829</x:v>
      </x:c>
      <x:c r="H101" s="15" t="str">
        <x:v>山湾港</x:v>
      </x:c>
      <x:c r="I101" s="30" t="n">
        <x:v>260</x:v>
      </x:c>
      <x:c r="J101" s="30" t="n">
        <x:v>310</x:v>
      </x:c>
      <x:c r="K101" s="15" t="str">
        <x:v>青山包围深湾，赭红瓦屋与彩色木廊层叠，暮色里鼓声伴着帆索声</x:v>
      </x:c>
      <x:c r="L101" s="15" t="str">
        <x:v>古巴东部糖、皮革、铜与酒业</x:v>
      </x:c>
      <x:c r="M101" s="15" t="str">
        <x:v>古巴岛间商帆</x:v>
      </x:c>
      <x:c r="N101" s="15" t="str">
        <x:v>工具工坊；军港补给；宴会</x:v>
      </x:c>
      <x:c r="O101" s="15" t="str">
        <x:v>铜湾蜜桶蒸馏坊</x:v>
      </x:c>
      <x:c r="P101" s="15" t="str">
        <x:v>SP096</x:v>
      </x:c>
      <x:c r="Q101" s="15" t="str">
        <x:v>铜湾蜜桶朗姆</x:v>
      </x:c>
      <x:c r="R101" s="15" t="str">
        <x:v>以真实海岸、河口或岛屿定位；本作综合1500—1780年前后航海文化，港区构图、工坊品牌、供货与数值均为原创设计。</x:v>
      </x:c>
      <x:c r="S101" s="15" t="str">
        <x:v>今址近似坐标，仅用于设计地图定位；不表达近世政治边界。</x:v>
      </x:c>
      <x:c r="T101" s="15" t="str"/>
    </x:row>
    <x:row r="102" ht="42" customHeight="1">
      <x:c r="A102" s="13" t="str">
        <x:v>P097</x:v>
      </x:c>
      <x:c r="B102" s="13" t="str">
        <x:v>圣多明各</x:v>
      </x:c>
      <x:c r="C102" s="13" t="str">
        <x:v>加勒比与北美东岸</x:v>
      </x:c>
      <x:c r="D102" s="13" t="str">
        <x:v>Santo Domingo</x:v>
      </x:c>
      <x:c r="E102" s="13" t="str">
        <x:v>伊斯帕尼奥拉岛·奥萨马河</x:v>
      </x:c>
      <x:c r="F102" s="21" t="n">
        <x:v>18.486</x:v>
      </x:c>
      <x:c r="G102" s="21" t="n">
        <x:v>-69.931</x:v>
      </x:c>
      <x:c r="H102" s="13" t="str">
        <x:v>河口堡港</x:v>
      </x:c>
      <x:c r="I102" s="27" t="n">
        <x:v>290</x:v>
      </x:c>
      <x:c r="J102" s="27" t="n">
        <x:v>340</x:v>
      </x:c>
      <x:c r="K102" s="13" t="str">
        <x:v>白石教堂和粗厚河堡对望，椰影掠过红色瓦屋与满载糖包的驳船</x:v>
      </x:c>
      <x:c r="L102" s="13" t="str">
        <x:v>伊斯帕尼奥拉糖、可可与河口中转</x:v>
      </x:c>
      <x:c r="M102" s="13" t="str">
        <x:v>加勒比河海盖伦系</x:v>
      </x:c>
      <x:c r="N102" s="13" t="str">
        <x:v>甜食；城市衣料；船厂</x:v>
      </x:c>
      <x:c r="O102" s="13" t="str">
        <x:v>金河可可研磨坊</x:v>
      </x:c>
      <x:c r="P102" s="13" t="str">
        <x:v>SP097</x:v>
      </x:c>
      <x:c r="Q102" s="13" t="str">
        <x:v>金河可可花砖</x:v>
      </x:c>
      <x:c r="R102" s="13" t="str">
        <x:v>以真实海岸、河口或岛屿定位；本作综合1500—1780年前后航海文化，港区构图、工坊品牌、供货与数值均为原创设计。</x:v>
      </x:c>
      <x:c r="S102" s="13" t="str">
        <x:v>今址近似坐标，仅用于设计地图定位；不表达近世政治边界。</x:v>
      </x:c>
      <x:c r="T102" s="13" t="str"/>
    </x:row>
    <x:row r="103" ht="42" customHeight="1">
      <x:c r="A103" s="15" t="str">
        <x:v>P098</x:v>
      </x:c>
      <x:c r="B103" s="15" t="str">
        <x:v>圣胡安</x:v>
      </x:c>
      <x:c r="C103" s="15" t="str">
        <x:v>加勒比与北美东岸</x:v>
      </x:c>
      <x:c r="D103" s="15" t="str">
        <x:v>San Juan</x:v>
      </x:c>
      <x:c r="E103" s="15" t="str">
        <x:v>波多黎各·北岸</x:v>
      </x:c>
      <x:c r="F103" s="29" t="n">
        <x:v>18.465</x:v>
      </x:c>
      <x:c r="G103" s="29" t="n">
        <x:v>-66.106</x:v>
      </x:c>
      <x:c r="H103" s="15" t="str">
        <x:v>岛屿堡港</x:v>
      </x:c>
      <x:c r="I103" s="30" t="n">
        <x:v>280</x:v>
      </x:c>
      <x:c r="J103" s="30" t="n">
        <x:v>450</x:v>
      </x:c>
      <x:c r="K103" s="15" t="str">
        <x:v>靛蓝海面被两道浅金堡墙夹住，彩色屋墙与雨后鹅卵石发出亮光</x:v>
      </x:c>
      <x:c r="L103" s="15" t="str">
        <x:v>东加勒比门户、糖与护航补给</x:v>
      </x:c>
      <x:c r="M103" s="15" t="str">
        <x:v>波多黎各护航盖伦</x:v>
      </x:c>
      <x:c r="N103" s="15" t="str">
        <x:v>军港补给；远航补给；城市衣料</x:v>
      </x:c>
      <x:c r="O103" s="15" t="str">
        <x:v>双堡蜜饯工坊</x:v>
      </x:c>
      <x:c r="P103" s="15" t="str">
        <x:v>SP098</x:v>
      </x:c>
      <x:c r="Q103" s="15" t="str">
        <x:v>双堡青柑蜜饯</x:v>
      </x:c>
      <x:c r="R103" s="15" t="str">
        <x:v>以真实海岸、河口或岛屿定位；本作综合1500—1780年前后航海文化，港区构图、工坊品牌、供货与数值均为原创设计。</x:v>
      </x:c>
      <x:c r="S103" s="15" t="str">
        <x:v>今址近似坐标，仅用于设计地图定位；不表达近世政治边界。</x:v>
      </x:c>
      <x:c r="T103" s="15" t="str"/>
    </x:row>
    <x:row r="104" ht="42" customHeight="1">
      <x:c r="A104" s="13" t="str">
        <x:v>P099</x:v>
      </x:c>
      <x:c r="B104" s="13" t="str">
        <x:v>罗亚尔港</x:v>
      </x:c>
      <x:c r="C104" s="13" t="str">
        <x:v>加勒比与北美东岸</x:v>
      </x:c>
      <x:c r="D104" s="13" t="str">
        <x:v>Port Royal</x:v>
      </x:c>
      <x:c r="E104" s="13" t="str">
        <x:v>牙买加·金斯敦港湾</x:v>
      </x:c>
      <x:c r="F104" s="21" t="n">
        <x:v>17.937</x:v>
      </x:c>
      <x:c r="G104" s="21" t="n">
        <x:v>-76.841</x:v>
      </x:c>
      <x:c r="H104" s="13" t="str">
        <x:v>沙嘴军港</x:v>
      </x:c>
      <x:c r="I104" s="27" t="n">
        <x:v>260</x:v>
      </x:c>
      <x:c r="J104" s="27" t="n">
        <x:v>390</x:v>
      </x:c>
      <x:c r="K104" s="13" t="str">
        <x:v>细沙嘴上酒馆、货栈与炮台挤成一串，红灯与黑帆倒映在墨绿湾水里</x:v>
      </x:c>
      <x:c r="L104" s="13" t="str">
        <x:v>私掠分赃、军需补给与朗姆交易</x:v>
      </x:c>
      <x:c r="M104" s="13" t="str">
        <x:v>牙买加快速私掠帆船</x:v>
      </x:c>
      <x:c r="N104" s="13" t="str">
        <x:v>酒馆；军港补给；奢华衣料</x:v>
      </x:c>
      <x:c r="O104" s="13" t="str">
        <x:v>黑帆小桶酒坊</x:v>
      </x:c>
      <x:c r="P104" s="13" t="str">
        <x:v>SP099</x:v>
      </x:c>
      <x:c r="Q104" s="13" t="str">
        <x:v>罗亚尔黑帆桶酿</x:v>
      </x:c>
      <x:c r="R104" s="13" t="str">
        <x:v>采用繁盛时期罗亚尔港的浪漫海盗语汇；具体事件年表由本作架空叙事决定。</x:v>
      </x:c>
      <x:c r="S104" s="13" t="str">
        <x:v>今址近似坐标，仅用于设计地图定位；不表达近世政治边界。</x:v>
      </x:c>
      <x:c r="T104" s="13" t="str"/>
    </x:row>
    <x:row r="105" ht="42" customHeight="1">
      <x:c r="A105" s="15" t="str">
        <x:v>P100</x:v>
      </x:c>
      <x:c r="B105" s="15" t="str">
        <x:v>托尔图加</x:v>
      </x:c>
      <x:c r="C105" s="15" t="str">
        <x:v>加勒比与北美东岸</x:v>
      </x:c>
      <x:c r="D105" s="15" t="str">
        <x:v>Tortuga</x:v>
      </x:c>
      <x:c r="E105" s="15" t="str">
        <x:v>伊斯帕尼奥拉岛·北岸离岛</x:v>
      </x:c>
      <x:c r="F105" s="29" t="n">
        <x:v>20.052</x:v>
      </x:c>
      <x:c r="G105" s="29" t="n">
        <x:v>-72.792</x:v>
      </x:c>
      <x:c r="H105" s="15" t="str">
        <x:v>隐湾岛港</x:v>
      </x:c>
      <x:c r="I105" s="30" t="n">
        <x:v>150</x:v>
      </x:c>
      <x:c r="J105" s="30" t="n">
        <x:v>240</x:v>
      </x:c>
      <x:c r="K105" s="15" t="str">
        <x:v>石灰岩秘密湾、斜木梯与晒在缆索上的彩旗，酒馆灯火藏在树冠下</x:v>
      </x:c>
      <x:c r="L105" s="15" t="str">
        <x:v>加勒比自由港、补给与小批转售</x:v>
      </x:c>
      <x:c r="M105" s="15" t="str">
        <x:v>托尔图加轻快私掠船</x:v>
      </x:c>
      <x:c r="N105" s="15" t="str">
        <x:v>军港补给；酒馆；工具工坊</x:v>
      </x:c>
      <x:c r="O105" s="15" t="str">
        <x:v>龟岛旅行木作坊</x:v>
      </x:c>
      <x:c r="P105" s="15" t="str">
        <x:v>SP100</x:v>
      </x:c>
      <x:c r="Q105" s="15" t="str">
        <x:v>龟岛折潮藏酒盒</x:v>
      </x:c>
      <x:c r="R105" s="15" t="str">
        <x:v>以真实海岸、河口或岛屿定位；本作综合1500—1780年前后航海文化，港区构图、工坊品牌、供货与数值均为原创设计。</x:v>
      </x:c>
      <x:c r="S105" s="15" t="str">
        <x:v>今址近似坐标，仅用于设计地图定位；不表达近世政治边界。</x:v>
      </x:c>
      <x:c r="T105" s="15" t="str"/>
    </x:row>
    <x:row r="106" ht="42" customHeight="1">
      <x:c r="A106" s="13" t="str">
        <x:v>P101</x:v>
      </x:c>
      <x:c r="B106" s="13" t="str">
        <x:v>韦拉克鲁斯</x:v>
      </x:c>
      <x:c r="C106" s="13" t="str">
        <x:v>加勒比与北美东岸</x:v>
      </x:c>
      <x:c r="D106" s="13" t="str">
        <x:v>Veracruz</x:v>
      </x:c>
      <x:c r="E106" s="13" t="str">
        <x:v>墨西哥·墨西哥湾</x:v>
      </x:c>
      <x:c r="F106" s="21" t="n">
        <x:v>19.173</x:v>
      </x:c>
      <x:c r="G106" s="21" t="n">
        <x:v>-96.134</x:v>
      </x:c>
      <x:c r="H106" s="13" t="str">
        <x:v>礁堡海港</x:v>
      </x:c>
      <x:c r="I106" s="27" t="n">
        <x:v>370</x:v>
      </x:c>
      <x:c r="J106" s="27" t="n">
        <x:v>410</x:v>
      </x:c>
      <x:c r="K106" s="13" t="str">
        <x:v>白色礁堡守在强光下，驮队把银匣与染料包送过赭色长街</x:v>
      </x:c>
      <x:c r="L106" s="13" t="str">
        <x:v>墨西哥白银、虫红、香草与跨洋货源门户</x:v>
      </x:c>
      <x:c r="M106" s="13" t="str">
        <x:v>新西班牙宝船盖伦</x:v>
      </x:c>
      <x:c r="N106" s="13" t="str">
        <x:v>铸币；染织工坊；军港补给</x:v>
      </x:c>
      <x:c r="O106" s="13" t="str">
        <x:v>太阳虫红分级工坊</x:v>
      </x:c>
      <x:c r="P106" s="13" t="str">
        <x:v>SP101</x:v>
      </x:c>
      <x:c r="Q106" s="13" t="str">
        <x:v>胭红太阳染绢盒</x:v>
      </x:c>
      <x:c r="R106" s="13" t="str">
        <x:v>以真实海岸、河口或岛屿定位；本作综合1500—1780年前后航海文化，港区构图、工坊品牌、供货与数值均为原创设计。</x:v>
      </x:c>
      <x:c r="S106" s="13" t="str">
        <x:v>今址近似坐标，仅用于设计地图定位；不表达近世政治边界。</x:v>
      </x:c>
      <x:c r="T106" s="13" t="str"/>
    </x:row>
    <x:row r="107" ht="42" customHeight="1">
      <x:c r="A107" s="15" t="str">
        <x:v>P102</x:v>
      </x:c>
      <x:c r="B107" s="15" t="str">
        <x:v>新奥尔良</x:v>
      </x:c>
      <x:c r="C107" s="15" t="str">
        <x:v>加勒比与北美东岸</x:v>
      </x:c>
      <x:c r="D107" s="15" t="str">
        <x:v>New Orleans</x:v>
      </x:c>
      <x:c r="E107" s="15" t="str">
        <x:v>北美·密西西比河</x:v>
      </x:c>
      <x:c r="F107" s="29" t="n">
        <x:v>29.951</x:v>
      </x:c>
      <x:c r="G107" s="29" t="n">
        <x:v>-90.072</x:v>
      </x:c>
      <x:c r="H107" s="15" t="str">
        <x:v>大河转运港</x:v>
      </x:c>
      <x:c r="I107" s="30" t="n">
        <x:v>260</x:v>
      </x:c>
      <x:c r="J107" s="30" t="n">
        <x:v>260</x:v>
      </x:c>
      <x:c r="K107" s="15" t="str">
        <x:v>宽阔褐色大河边是彩色木廊与绿百叶，平底船和三桅船构成两种尺度</x:v>
      </x:c>
      <x:c r="L107" s="15" t="str">
        <x:v>密西西比腹地粮食、木材与皮毛转运</x:v>
      </x:c>
      <x:c r="M107" s="15" t="str">
        <x:v>法式河海浅底商船</x:v>
      </x:c>
      <x:c r="N107" s="15" t="str">
        <x:v>人口增长；船厂；城市衣料</x:v>
      </x:c>
      <x:c r="O107" s="15" t="str">
        <x:v>三角洲旅行皮具坊</x:v>
      </x:c>
      <x:c r="P107" s="15" t="str">
        <x:v>SP102</x:v>
      </x:c>
      <x:c r="Q107" s="15" t="str">
        <x:v>三角洲沼银皮具箱</x:v>
      </x:c>
      <x:c r="R107" s="15" t="str">
        <x:v>城市与河港语汇采用18世纪；皮具箱工艺与发展曲线为原创。</x:v>
      </x:c>
      <x:c r="S107" s="15" t="str">
        <x:v>今址近似坐标，仅用于设计地图定位；不表达近世政治边界。</x:v>
      </x:c>
      <x:c r="T107" s="15" t="str"/>
    </x:row>
    <x:row r="108" ht="42" customHeight="1">
      <x:c r="A108" s="13" t="str">
        <x:v>P103</x:v>
      </x:c>
      <x:c r="B108" s="13" t="str">
        <x:v>查尔斯顿</x:v>
      </x:c>
      <x:c r="C108" s="13" t="str">
        <x:v>加勒比与北美东岸</x:v>
      </x:c>
      <x:c r="D108" s="13" t="str">
        <x:v>Charleston</x:v>
      </x:c>
      <x:c r="E108" s="13" t="str">
        <x:v>北美·卡罗来纳海岸</x:v>
      </x:c>
      <x:c r="F108" s="21" t="n">
        <x:v>32.777</x:v>
      </x:c>
      <x:c r="G108" s="21" t="n">
        <x:v>-79.931</x:v>
      </x:c>
      <x:c r="H108" s="13" t="str">
        <x:v>潮汐河口港</x:v>
      </x:c>
      <x:c r="I108" s="27" t="n">
        <x:v>300</x:v>
      </x:c>
      <x:c r="J108" s="27" t="n">
        <x:v>290</x:v>
      </x:c>
      <x:c r="K108" s="13" t="str">
        <x:v>白色门廊、粉色屋墙与稻米仓围住潮汐港，靛蓝布在花园风中起伏</x:v>
      </x:c>
      <x:c r="L108" s="13" t="str">
        <x:v>卡罗来纳稻米、靛蓝与木材</x:v>
      </x:c>
      <x:c r="M108" s="13" t="str">
        <x:v>北美大西洋商船</x:v>
      </x:c>
      <x:c r="N108" s="13" t="str">
        <x:v>染织工坊；船厂；人口增长</x:v>
      </x:c>
      <x:c r="O108" s="13" t="str">
        <x:v>潮田靛染总坊</x:v>
      </x:c>
      <x:c r="P108" s="13" t="str">
        <x:v>SP103</x:v>
      </x:c>
      <x:c r="Q108" s="13" t="str">
        <x:v>潮田雾蓝靛布</x:v>
      </x:c>
      <x:c r="R108" s="13" t="str">
        <x:v>以真实海岸、河口或岛屿定位；本作综合1500—1780年前后航海文化，港区构图、工坊品牌、供货与数值均为原创设计。</x:v>
      </x:c>
      <x:c r="S108" s="13" t="str">
        <x:v>今址近似坐标，仅用于设计地图定位；不表达近世政治边界。</x:v>
      </x:c>
      <x:c r="T108" s="13" t="str"/>
    </x:row>
    <x:row r="109" ht="42" customHeight="1">
      <x:c r="A109" s="15" t="str">
        <x:v>P104</x:v>
      </x:c>
      <x:c r="B109" s="15" t="str">
        <x:v>波士顿</x:v>
      </x:c>
      <x:c r="C109" s="15" t="str">
        <x:v>加勒比与北美东岸</x:v>
      </x:c>
      <x:c r="D109" s="15" t="str">
        <x:v>Boston</x:v>
      </x:c>
      <x:c r="E109" s="15" t="str">
        <x:v>北美·新英格兰海岸</x:v>
      </x:c>
      <x:c r="F109" s="29" t="n">
        <x:v>42.36</x:v>
      </x:c>
      <x:c r="G109" s="29" t="n">
        <x:v>-71.059</x:v>
      </x:c>
      <x:c r="H109" s="15" t="str">
        <x:v>群岛湾港</x:v>
      </x:c>
      <x:c r="I109" s="30" t="n">
        <x:v>350</x:v>
      </x:c>
      <x:c r="J109" s="30" t="n">
        <x:v>310</x:v>
      </x:c>
      <x:c r="K109" s="15" t="str">
        <x:v>红砖山坡、白色尖塔与冷蓝群岛港，渔船和印刷店在街角相遇</x:v>
      </x:c>
      <x:c r="L109" s="15" t="str">
        <x:v>新英格兰渔业、船材、朗姆与印刷</x:v>
      </x:c>
      <x:c r="M109" s="15" t="str">
        <x:v>新英格兰纵帆商船</x:v>
      </x:c>
      <x:c r="N109" s="15" t="str">
        <x:v>船厂；学会；甜食</x:v>
      </x:c>
      <x:c r="O109" s="15" t="str">
        <x:v>星港铜版印刷坊</x:v>
      </x:c>
      <x:c r="P109" s="15" t="str">
        <x:v>SP104</x:v>
      </x:c>
      <x:c r="Q109" s="15" t="str">
        <x:v>波士顿星港铜版图</x:v>
      </x:c>
      <x:c r="R109" s="15" t="str">
        <x:v>以真实海岸、河口或岛屿定位；本作综合1500—1780年前后航海文化，港区构图、工坊品牌、供货与数值均为原创设计。</x:v>
      </x:c>
      <x:c r="S109" s="15" t="str">
        <x:v>今址近似坐标，仅用于设计地图定位；不表达近世政治边界。</x:v>
      </x:c>
      <x:c r="T109" s="15" t="str"/>
    </x:row>
    <x:row r="110" ht="42" customHeight="1">
      <x:c r="A110" s="13" t="str">
        <x:v>P105</x:v>
      </x:c>
      <x:c r="B110" s="13" t="str">
        <x:v>卡塔赫纳</x:v>
      </x:c>
      <x:c r="C110" s="13" t="str">
        <x:v>南美</x:v>
      </x:c>
      <x:c r="D110" s="13" t="str">
        <x:v>Cartagena</x:v>
      </x:c>
      <x:c r="E110" s="13" t="str">
        <x:v>哥伦比亚·加勒比岸</x:v>
      </x:c>
      <x:c r="F110" s="21" t="n">
        <x:v>10.392</x:v>
      </x:c>
      <x:c r="G110" s="21" t="n">
        <x:v>-75.479</x:v>
      </x:c>
      <x:c r="H110" s="13" t="str">
        <x:v>双湾堡港</x:v>
      </x:c>
      <x:c r="I110" s="27" t="n">
        <x:v>340</x:v>
      </x:c>
      <x:c r="J110" s="27" t="n">
        <x:v>460</x:v>
      </x:c>
      <x:c r="K110" s="13" t="str">
        <x:v>多层蜜金堡墙围住蓝绿双湾，深粉商屋和木阳台让军港也有花园感</x:v>
      </x:c>
      <x:c r="L110" s="13" t="str">
        <x:v>南美加勒比门户、黄金与转口军需</x:v>
      </x:c>
      <x:c r="M110" s="13" t="str">
        <x:v>加勒比护航盖伦</x:v>
      </x:c>
      <x:c r="N110" s="13" t="str">
        <x:v>军港补给；珠宝工坊；城市衣料</x:v>
      </x:c>
      <x:c r="O110" s="13" t="str">
        <x:v>海堡宝石金工作坊</x:v>
      </x:c>
      <x:c r="P110" s="13" t="str">
        <x:v>SP105</x:v>
      </x:c>
      <x:c r="Q110" s="13" t="str">
        <x:v>海堡翡翠潮簪</x:v>
      </x:c>
      <x:c r="R110" s="13" t="str">
        <x:v>以真实海岸、河口或岛屿定位；本作综合1500—1780年前后航海文化，港区构图、工坊品牌、供货与数值均为原创设计。</x:v>
      </x:c>
      <x:c r="S110" s="13" t="str">
        <x:v>今址近似坐标，仅用于设计地图定位；不表达近世政治边界。</x:v>
      </x:c>
      <x:c r="T110" s="13" t="str"/>
    </x:row>
    <x:row r="111" ht="42" customHeight="1">
      <x:c r="A111" s="15" t="str">
        <x:v>P106</x:v>
      </x:c>
      <x:c r="B111" s="15" t="str">
        <x:v>贝伦</x:v>
      </x:c>
      <x:c r="C111" s="15" t="str">
        <x:v>南美</x:v>
      </x:c>
      <x:c r="D111" s="15" t="str">
        <x:v>Belém</x:v>
      </x:c>
      <x:c r="E111" s="15" t="str">
        <x:v>巴西·亚马孙河口</x:v>
      </x:c>
      <x:c r="F111" s="29" t="n">
        <x:v>-1.456</x:v>
      </x:c>
      <x:c r="G111" s="29" t="n">
        <x:v>-48.49</x:v>
      </x:c>
      <x:c r="H111" s="15" t="str">
        <x:v>雨林河口港</x:v>
      </x:c>
      <x:c r="I111" s="30" t="n">
        <x:v>180</x:v>
      </x:c>
      <x:c r="J111" s="30" t="n">
        <x:v>180</x:v>
      </x:c>
      <x:c r="K111" s="15" t="str">
        <x:v>巨大雨林河口被绿褐水面填满，木栈桥上堆着可可、羽饰和树脂筐</x:v>
      </x:c>
      <x:c r="L111" s="15" t="str">
        <x:v>亚马孙雨林物产与大河转运</x:v>
      </x:c>
      <x:c r="M111" s="15" t="str">
        <x:v>亚马孙浅水河海货船</x:v>
      </x:c>
      <x:c r="N111" s="15" t="str">
        <x:v>工具工坊；城市衣料；药房</x:v>
      </x:c>
      <x:c r="O111" s="15" t="str">
        <x:v>青翼羽饰合作坊</x:v>
      </x:c>
      <x:c r="P111" s="15" t="str">
        <x:v>SP106</x:v>
      </x:c>
      <x:c r="Q111" s="15" t="str">
        <x:v>雨林青翼羽绢</x:v>
      </x:c>
      <x:c r="R111" s="15" t="str">
        <x:v>以真实海岸、河口或岛屿定位；本作综合1500—1780年前后航海文化，港区构图、工坊品牌、供货与数值均为原创设计。</x:v>
      </x:c>
      <x:c r="S111" s="15" t="str">
        <x:v>今址近似坐标，仅用于设计地图定位；不表达近世政治边界。</x:v>
      </x:c>
      <x:c r="T111" s="15" t="str"/>
    </x:row>
    <x:row r="112" ht="42" customHeight="1">
      <x:c r="A112" s="13" t="str">
        <x:v>P107</x:v>
      </x:c>
      <x:c r="B112" s="13" t="str">
        <x:v>萨尔瓦多</x:v>
      </x:c>
      <x:c r="C112" s="13" t="str">
        <x:v>南美</x:v>
      </x:c>
      <x:c r="D112" s="13" t="str">
        <x:v>Salvador</x:v>
      </x:c>
      <x:c r="E112" s="13" t="str">
        <x:v>巴西·诸圣湾</x:v>
      </x:c>
      <x:c r="F112" s="21" t="n">
        <x:v>-12.972</x:v>
      </x:c>
      <x:c r="G112" s="21" t="n">
        <x:v>-38.501</x:v>
      </x:c>
      <x:c r="H112" s="13" t="str">
        <x:v>双层台地港</x:v>
      </x:c>
      <x:c r="I112" s="27" t="n">
        <x:v>340</x:v>
      </x:c>
      <x:c r="J112" s="27" t="n">
        <x:v>320</x:v>
      </x:c>
      <x:c r="K112" s="13" t="str">
        <x:v>上城白金教堂与下城彩屋隔着陡坡，糖船在诸圣湾像细小琥珀船模</x:v>
      </x:c>
      <x:c r="L112" s="13" t="str">
        <x:v>巴西糖业、红木与大西洋转运</x:v>
      </x:c>
      <x:c r="M112" s="13" t="str">
        <x:v>巴西重载大帆船</x:v>
      </x:c>
      <x:c r="N112" s="13" t="str">
        <x:v>甜食；城市衣料；船厂</x:v>
      </x:c>
      <x:c r="O112" s="13" t="str">
        <x:v>红木乐匣工坊</x:v>
      </x:c>
      <x:c r="P112" s="13" t="str">
        <x:v>SP107</x:v>
      </x:c>
      <x:c r="Q112" s="13" t="str">
        <x:v>诸圣湾红木乐匣</x:v>
      </x:c>
      <x:c r="R112" s="13" t="str">
        <x:v>以真实海岸、河口或岛屿定位；本作综合1500—1780年前后航海文化，港区构图、工坊品牌、供货与数值均为原创设计。</x:v>
      </x:c>
      <x:c r="S112" s="13" t="str">
        <x:v>今址近似坐标，仅用于设计地图定位；不表达近世政治边界。</x:v>
      </x:c>
      <x:c r="T112" s="13" t="str"/>
    </x:row>
    <x:row r="113" ht="42" customHeight="1">
      <x:c r="A113" s="15" t="str">
        <x:v>P108</x:v>
      </x:c>
      <x:c r="B113" s="15" t="str">
        <x:v>里约热内卢</x:v>
      </x:c>
      <x:c r="C113" s="15" t="str">
        <x:v>南美</x:v>
      </x:c>
      <x:c r="D113" s="15" t="str">
        <x:v>Rio de Janeiro</x:v>
      </x:c>
      <x:c r="E113" s="15" t="str">
        <x:v>巴西·瓜纳巴拉湾</x:v>
      </x:c>
      <x:c r="F113" s="29" t="n">
        <x:v>-22.907</x:v>
      </x:c>
      <x:c r="G113" s="29" t="n">
        <x:v>-43.173</x:v>
      </x:c>
      <x:c r="H113" s="15" t="str">
        <x:v>山峰环湾港</x:v>
      </x:c>
      <x:c r="I113" s="30" t="n">
        <x:v>380</x:v>
      </x:c>
      <x:c r="J113" s="30" t="n">
        <x:v>390</x:v>
      </x:c>
      <x:c r="K113" s="15" t="str">
        <x:v>尖锥群山与翠绿岛屿围住极蓝海湾，白城、红瓦和金色货匣互相映衬</x:v>
      </x:c>
      <x:c r="L113" s="15" t="str">
        <x:v>巴西黄金腹地、糖与远洋船厂</x:v>
      </x:c>
      <x:c r="M113" s="15" t="str">
        <x:v>巴西—葡式远洋舰</x:v>
      </x:c>
      <x:c r="N113" s="15" t="str">
        <x:v>铸币；船厂；奢华衣料</x:v>
      </x:c>
      <x:c r="O113" s="15" t="str">
        <x:v>金羽珠宝工坊</x:v>
      </x:c>
      <x:c r="P113" s="15" t="str">
        <x:v>SP108</x:v>
      </x:c>
      <x:c r="Q113" s="15" t="str">
        <x:v>瓜纳巴拉金羽胸针</x:v>
      </x:c>
      <x:c r="R113" s="15" t="str">
        <x:v>以真实海岸、河口或岛屿定位；本作综合1500—1780年前后航海文化，港区构图、工坊品牌、供货与数值均为原创设计。</x:v>
      </x:c>
      <x:c r="S113" s="15" t="str">
        <x:v>今址近似坐标，仅用于设计地图定位；不表达近世政治边界。</x:v>
      </x:c>
      <x:c r="T113" s="15" t="str"/>
    </x:row>
    <x:row r="114" ht="42" customHeight="1">
      <x:c r="A114" s="13" t="str">
        <x:v>P109</x:v>
      </x:c>
      <x:c r="B114" s="13" t="str">
        <x:v>布宜诺斯艾利斯</x:v>
      </x:c>
      <x:c r="C114" s="13" t="str">
        <x:v>南美</x:v>
      </x:c>
      <x:c r="D114" s="13" t="str">
        <x:v>Buenos Aires</x:v>
      </x:c>
      <x:c r="E114" s="13" t="str">
        <x:v>阿根廷·拉普拉塔河口</x:v>
      </x:c>
      <x:c r="F114" s="21" t="n">
        <x:v>-34.604</x:v>
      </x:c>
      <x:c r="G114" s="21" t="n">
        <x:v>-58.382</x:v>
      </x:c>
      <x:c r="H114" s="13" t="str">
        <x:v>浅水河口港</x:v>
      </x:c>
      <x:c r="I114" s="27" t="n">
        <x:v>270</x:v>
      </x:c>
      <x:c r="J114" s="27" t="n">
        <x:v>270</x:v>
      </x:c>
      <x:c r="K114" s="13" t="str">
        <x:v>宽河口如银灰色内海，低矮白屋旁成排皮革晒架迎着草原长风</x:v>
      </x:c>
      <x:c r="L114" s="13" t="str">
        <x:v>拉普拉塔畜产、皮革与内陆商路</x:v>
      </x:c>
      <x:c r="M114" s="13" t="str">
        <x:v>拉普拉塔浅底商帆</x:v>
      </x:c>
      <x:c r="N114" s="13" t="str">
        <x:v>城市衣料；工具工坊；军港补给</x:v>
      </x:c>
      <x:c r="O114" s="13" t="str">
        <x:v>草原骑航皮具坊</x:v>
      </x:c>
      <x:c r="P114" s="13" t="str">
        <x:v>SP109</x:v>
      </x:c>
      <x:c r="Q114" s="13" t="str">
        <x:v>草原银扣长靴</x:v>
      </x:c>
      <x:c r="R114" s="13" t="str">
        <x:v>以真实海岸、河口或岛屿定位；本作综合1500—1780年前后航海文化，港区构图、工坊品牌、供货与数值均为原创设计。</x:v>
      </x:c>
      <x:c r="S114" s="13" t="str">
        <x:v>今址近似坐标，仅用于设计地图定位；不表达近世政治边界。</x:v>
      </x:c>
      <x:c r="T114" s="13" t="str"/>
    </x:row>
    <x:row r="115" ht="42" customHeight="1">
      <x:c r="A115" s="15" t="str">
        <x:v>P110</x:v>
      </x:c>
      <x:c r="B115" s="15" t="str">
        <x:v>蒙得维的亚</x:v>
      </x:c>
      <x:c r="C115" s="15" t="str">
        <x:v>南美</x:v>
      </x:c>
      <x:c r="D115" s="15" t="str">
        <x:v>Montevideo</x:v>
      </x:c>
      <x:c r="E115" s="15" t="str">
        <x:v>乌拉圭·拉普拉塔河北岸</x:v>
      </x:c>
      <x:c r="F115" s="29" t="n">
        <x:v>-34.901</x:v>
      </x:c>
      <x:c r="G115" s="29" t="n">
        <x:v>-56.165</x:v>
      </x:c>
      <x:c r="H115" s="15" t="str">
        <x:v>天然湾港</x:v>
      </x:c>
      <x:c r="I115" s="30" t="n">
        <x:v>190</x:v>
      </x:c>
      <x:c r="J115" s="30" t="n">
        <x:v>290</x:v>
      </x:c>
      <x:c r="K115" s="15" t="str">
        <x:v>平缓青丘守住天然海湾，白色堡线和红瓦仓库面对苍茫拉普拉塔水面</x:v>
      </x:c>
      <x:c r="L115" s="15" t="str">
        <x:v>南大西洋补给、皮肉出口与舰队停泊</x:v>
      </x:c>
      <x:c r="M115" s="15" t="str">
        <x:v>拉普拉塔补给纵帆船</x:v>
      </x:c>
      <x:c r="N115" s="15" t="str">
        <x:v>军港补给；船厂；城市衣料</x:v>
      </x:c>
      <x:c r="O115" s="15" t="str">
        <x:v>南十字烘香茶坊</x:v>
      </x:c>
      <x:c r="P115" s="15" t="str">
        <x:v>SP110</x:v>
      </x:c>
      <x:c r="Q115" s="15" t="str">
        <x:v>南十字烘香马黛</x:v>
      </x:c>
      <x:c r="R115" s="15" t="str">
        <x:v>采用18世纪建港后的港湾与补给职能；贸易规模由游戏投资驱动。</x:v>
      </x:c>
      <x:c r="S115" s="15" t="str">
        <x:v>今址近似坐标，仅用于设计地图定位；不表达近世政治边界。</x:v>
      </x:c>
      <x:c r="T115" s="15" t="str"/>
    </x:row>
    <x:row r="116" ht="42" customHeight="1">
      <x:c r="A116" s="13" t="str">
        <x:v>P111</x:v>
      </x:c>
      <x:c r="B116" s="13" t="str">
        <x:v>瓦尔帕莱索</x:v>
      </x:c>
      <x:c r="C116" s="13" t="str">
        <x:v>南美</x:v>
      </x:c>
      <x:c r="D116" s="13" t="str">
        <x:v>Valparaíso</x:v>
      </x:c>
      <x:c r="E116" s="13" t="str">
        <x:v>智利·太平洋中部海岸</x:v>
      </x:c>
      <x:c r="F116" s="21" t="n">
        <x:v>-33.047</x:v>
      </x:c>
      <x:c r="G116" s="21" t="n">
        <x:v>-71.613</x:v>
      </x:c>
      <x:c r="H116" s="13" t="str">
        <x:v>山坡湾港</x:v>
      </x:c>
      <x:c r="I116" s="27" t="n">
        <x:v>230</x:v>
      </x:c>
      <x:c r="J116" s="27" t="n">
        <x:v>220</x:v>
      </x:c>
      <x:c r="K116" s="13" t="str">
        <x:v>蓝海与赭色山坡之间挂着彩屋阶梯，码头木板在海雾里透着银光</x:v>
      </x:c>
      <x:c r="L116" s="13" t="str">
        <x:v>智利粮、铜、酒与南角补给</x:v>
      </x:c>
      <x:c r="M116" s="13" t="str">
        <x:v>智利太平洋货帆</x:v>
      </x:c>
      <x:c r="N116" s="13" t="str">
        <x:v>远航补给；船厂；城市衣料</x:v>
      </x:c>
      <x:c r="O116" s="13" t="str">
        <x:v>风弦铜作坊</x:v>
      </x:c>
      <x:c r="P116" s="13" t="str">
        <x:v>SP111</x:v>
      </x:c>
      <x:c r="Q116" s="13" t="str">
        <x:v>安第斯风弦铜铃</x:v>
      </x:c>
      <x:c r="R116" s="13" t="str">
        <x:v>以真实海岸、河口或岛屿定位；本作综合1500—1780年前后航海文化，港区构图、工坊品牌、供货与数值均为原创设计。</x:v>
      </x:c>
      <x:c r="S116" s="13" t="str">
        <x:v>今址近似坐标，仅用于设计地图定位；不表达近世政治边界。</x:v>
      </x:c>
      <x:c r="T116" s="13" t="str"/>
    </x:row>
    <x:row r="117" ht="42" customHeight="1">
      <x:c r="A117" s="15" t="str">
        <x:v>P112</x:v>
      </x:c>
      <x:c r="B117" s="15" t="str">
        <x:v>卡亚俄</x:v>
      </x:c>
      <x:c r="C117" s="15" t="str">
        <x:v>南美</x:v>
      </x:c>
      <x:c r="D117" s="15" t="str">
        <x:v>Callao</x:v>
      </x:c>
      <x:c r="E117" s="15" t="str">
        <x:v>秘鲁·利马外港</x:v>
      </x:c>
      <x:c r="F117" s="29" t="n">
        <x:v>-12.057</x:v>
      </x:c>
      <x:c r="G117" s="29" t="n">
        <x:v>-77.118</x:v>
      </x:c>
      <x:c r="H117" s="15" t="str">
        <x:v>安第斯转运港</x:v>
      </x:c>
      <x:c r="I117" s="30" t="n">
        <x:v>350</x:v>
      </x:c>
      <x:c r="J117" s="30" t="n">
        <x:v>400</x:v>
      </x:c>
      <x:c r="K117" s="15" t="str">
        <x:v>赭黄荒岸与灰蓝大洋相接，银货驮队从山道来到坚厚港堡</x:v>
      </x:c>
      <x:c r="L117" s="15" t="str">
        <x:v>安第斯银路出口、粮食与太平洋中转</x:v>
      </x:c>
      <x:c r="M117" s="15" t="str">
        <x:v>秘鲁宝船与太平洋盖伦</x:v>
      </x:c>
      <x:c r="N117" s="15" t="str">
        <x:v>铸币；奢华衣料；军港补给</x:v>
      </x:c>
      <x:c r="O117" s="15" t="str">
        <x:v>银山锤纹工坊</x:v>
      </x:c>
      <x:c r="P117" s="15" t="str">
        <x:v>SP112</x:v>
      </x:c>
      <x:c r="Q117" s="15" t="str">
        <x:v>银山潮纹茶盏</x:v>
      </x:c>
      <x:c r="R117" s="15" t="str">
        <x:v>安第斯白银腹地为历史来源，跨太平洋饮茶与银器工艺在本作中进行创意融合。</x:v>
      </x:c>
      <x:c r="S117" s="15" t="str">
        <x:v>今址近似坐标，仅用于设计地图定位；不表达近世政治边界。</x:v>
      </x:c>
      <x:c r="T117" s="15" t="str">
        <x:v>WT-H16</x:v>
      </x:c>
    </x:row>
    <x:row r="118" ht="42" customHeight="1">
      <x:c r="A118" s="13" t="str">
        <x:v>P113</x:v>
      </x:c>
      <x:c r="B118" s="13" t="str">
        <x:v>帝力</x:v>
      </x:c>
      <x:c r="C118" s="13" t="str">
        <x:v>大洋洲与太平洋</x:v>
      </x:c>
      <x:c r="D118" s="13" t="str">
        <x:v>Dili</x:v>
      </x:c>
      <x:c r="E118" s="13" t="str">
        <x:v>东帝汶·帝汶岛北岸</x:v>
      </x:c>
      <x:c r="F118" s="21" t="n">
        <x:v>-8.557</x:v>
      </x:c>
      <x:c r="G118" s="21" t="n">
        <x:v>125.561</x:v>
      </x:c>
      <x:c r="H118" s="13" t="str">
        <x:v>季风岛港</x:v>
      </x:c>
      <x:c r="I118" s="27" t="n">
        <x:v>150</x:v>
      </x:c>
      <x:c r="J118" s="27" t="n">
        <x:v>130</x:v>
      </x:c>
      <x:c r="K118" s="13" t="str">
        <x:v>紫蓝山脉压近白沙，细木商馆与彩色织布棚在椰影中排开</x:v>
      </x:c>
      <x:c r="L118" s="13" t="str">
        <x:v>帝汶檀香木与岛链交换</x:v>
      </x:c>
      <x:c r="M118" s="13" t="str">
        <x:v>帝汶外伸浮木与商帆</x:v>
      </x:c>
      <x:c r="N118" s="13" t="str">
        <x:v>城市衣料；工具工坊；珠宝工坊</x:v>
      </x:c>
      <x:c r="O118" s="13" t="str">
        <x:v>暮金香绳工坊</x:v>
      </x:c>
      <x:c r="P118" s="13" t="str">
        <x:v>SP113</x:v>
      </x:c>
      <x:c r="Q118" s="13" t="str">
        <x:v>帝汶暮金檀香绳</x:v>
      </x:c>
      <x:c r="R118" s="13" t="str">
        <x:v>以真实海岸、河口或岛屿定位；本作综合1500—1780年前后航海文化，港区构图、工坊品牌、供货与数值均为原创设计。</x:v>
      </x:c>
      <x:c r="S118" s="13" t="str">
        <x:v>今址近似坐标，仅用于设计地图定位；不表达近世政治边界。</x:v>
      </x:c>
      <x:c r="T118" s="13" t="str"/>
    </x:row>
    <x:row r="119" ht="42" customHeight="1">
      <x:c r="A119" s="15" t="str">
        <x:v>P114</x:v>
      </x:c>
      <x:c r="B119" s="15" t="str">
        <x:v>古邦</x:v>
      </x:c>
      <x:c r="C119" s="15" t="str">
        <x:v>大洋洲与太平洋</x:v>
      </x:c>
      <x:c r="D119" s="15" t="str">
        <x:v>Kupang</x:v>
      </x:c>
      <x:c r="E119" s="15" t="str">
        <x:v>印度尼西亚·帝汶岛西部</x:v>
      </x:c>
      <x:c r="F119" s="29" t="n">
        <x:v>-10.178</x:v>
      </x:c>
      <x:c r="G119" s="29" t="n">
        <x:v>123.607</x:v>
      </x:c>
      <x:c r="H119" s="15" t="str">
        <x:v>岛链补给港</x:v>
      </x:c>
      <x:c r="I119" s="30" t="n">
        <x:v>140</x:v>
      </x:c>
      <x:c r="J119" s="30" t="n">
        <x:v>170</x:v>
      </x:c>
      <x:c r="K119" s="15" t="str">
        <x:v>石灰白岸台、干燥山坡与碧海上的彩帆，编织棚内挂满棕金纹布</x:v>
      </x:c>
      <x:c r="L119" s="15" t="str">
        <x:v>小巽他岛链补给、木料与织物</x:v>
      </x:c>
      <x:c r="M119" s="15" t="str">
        <x:v>小巽他外伸浮木帆舟</x:v>
      </x:c>
      <x:c r="N119" s="15" t="str">
        <x:v>远航补给；城市衣料；工具工坊</x:v>
      </x:c>
      <x:c r="O119" s="15" t="str">
        <x:v>海阶扎经织坊</x:v>
      </x:c>
      <x:c r="P119" s="15" t="str">
        <x:v>SP114</x:v>
      </x:c>
      <x:c r="Q119" s="15" t="str">
        <x:v>古邦海阶伊卡特布</x:v>
      </x:c>
      <x:c r="R119" s="15" t="str">
        <x:v>以真实海岸、河口或岛屿定位；本作综合1500—1780年前后航海文化，港区构图、工坊品牌、供货与数值均为原创设计。</x:v>
      </x:c>
      <x:c r="S119" s="15" t="str">
        <x:v>今址近似坐标，仅用于设计地图定位；不表达近世政治边界。</x:v>
      </x:c>
      <x:c r="T119" s="15" t="str"/>
    </x:row>
    <x:row r="120" ht="42" customHeight="1">
      <x:c r="A120" s="13" t="str">
        <x:v>P115</x:v>
      </x:c>
      <x:c r="B120" s="13" t="str">
        <x:v>杰克逊湾</x:v>
      </x:c>
      <x:c r="C120" s="13" t="str">
        <x:v>大洋洲与太平洋</x:v>
      </x:c>
      <x:c r="D120" s="13" t="str">
        <x:v>Port Jackson / Sydney</x:v>
      </x:c>
      <x:c r="E120" s="13" t="str">
        <x:v>澳大利亚·东南海岸</x:v>
      </x:c>
      <x:c r="F120" s="21" t="n">
        <x:v>-33.852</x:v>
      </x:c>
      <x:c r="G120" s="21" t="n">
        <x:v>151.211</x:v>
      </x:c>
      <x:c r="H120" s="13" t="str">
        <x:v>树枝状深湾港</x:v>
      </x:c>
      <x:c r="I120" s="27" t="n">
        <x:v>70</x:v>
      </x:c>
      <x:c r="J120" s="27" t="n">
        <x:v>40</x:v>
      </x:c>
      <x:c r="K120" s="13" t="str">
        <x:v>桉树林与蜜色砂岩包住枝状深湾，树皮舟和架空建造的木栈桥如叶脉相连</x:v>
      </x:c>
      <x:c r="L120" s="13" t="str">
        <x:v>原创海湾互市、硬木、树脂与航海知识交换</x:v>
      </x:c>
      <x:c r="M120" s="13" t="str">
        <x:v>澳洲东岸树皮舟；发展后为原创合造沿海帆船</x:v>
      </x:c>
      <x:c r="N120" s="13" t="str">
        <x:v>铁器进口；城市衣料；远航补给</x:v>
      </x:c>
      <x:c r="O120" s="13" t="str">
        <x:v>桉影合匠漆坊</x:v>
      </x:c>
      <x:c r="P120" s="13" t="str">
        <x:v>SP115</x:v>
      </x:c>
      <x:c r="Q120" s="13" t="str">
        <x:v>桉影赤金树脂漆</x:v>
      </x:c>
      <x:c r="R120" s="13" t="str">
        <x:v>杰克逊湾对应今悉尼位置；本作原住民聚落互市与合造帆船为架空发展，非声称1780年前已有悉尼殖民城市。</x:v>
      </x:c>
      <x:c r="S120" s="13" t="str">
        <x:v>今址近似坐标，仅用于设计地图定位；不表达近世政治边界。</x:v>
      </x:c>
      <x:c r="T120" s="13" t="str"/>
    </x:row>
    <x:row r="121" ht="42" customHeight="1">
      <x:c r="A121" s="15" t="str">
        <x:v>P116</x:v>
      </x:c>
      <x:c r="B121" s="15" t="str">
        <x:v>怀特马塔湾</x:v>
      </x:c>
      <x:c r="C121" s="15" t="str">
        <x:v>大洋洲与太平洋</x:v>
      </x:c>
      <x:c r="D121" s="15" t="str">
        <x:v>Waitematā Harbour / Auckland</x:v>
      </x:c>
      <x:c r="E121" s="15" t="str">
        <x:v>新西兰·北岛</x:v>
      </x:c>
      <x:c r="F121" s="29" t="n">
        <x:v>-36.833</x:v>
      </x:c>
      <x:c r="G121" s="29" t="n">
        <x:v>174.762</x:v>
      </x:c>
      <x:c r="H121" s="15" t="str">
        <x:v>双海湾聚落港</x:v>
      </x:c>
      <x:c r="I121" s="30" t="n">
        <x:v>80</x:v>
      </x:c>
      <x:c r="J121" s="30" t="n">
        <x:v>70</x:v>
      </x:c>
      <x:c r="K121" s="15" t="str">
        <x:v>双海湾之间是翠绿丘陵与雕木聚落，修长大舟的船艏昂向金色海雾</x:v>
      </x:c>
      <x:c r="L121" s="15" t="str">
        <x:v>原创岛湾互市、木作、渔产与远海补给</x:v>
      </x:c>
      <x:c r="M121" s="15" t="str">
        <x:v>毛利独木大舟；发展后为原创可拆桅远海舟</x:v>
      </x:c>
      <x:c r="N121" s="15" t="str">
        <x:v>铁器进口；城市衣料；远航补给</x:v>
      </x:c>
      <x:c r="O121" s="15" t="str">
        <x:v>双湾新作玉石工坊</x:v>
      </x:c>
      <x:c r="P121" s="15" t="str">
        <x:v>SP116</x:v>
      </x:c>
      <x:c r="Q121" s="15" t="str">
        <x:v>双湾青石浪坠</x:v>
      </x:c>
      <x:c r="R121" s="15" t="str">
        <x:v>怀特马塔湾对应今奥克兰港湾；聚落互市、青石工坊及远海船改造为架空文化合作，不投射19世纪城市。</x:v>
      </x:c>
      <x:c r="S121" s="15" t="str">
        <x:v>今址近似坐标，仅用于设计地图定位；不表达近世政治边界。</x:v>
      </x:c>
      <x:c r="T121" s="15" t="str">
        <x:v>WT-H17</x:v>
      </x:c>
    </x:row>
    <x:row r="122" ht="42" customHeight="1">
      <x:c r="A122" s="13" t="str">
        <x:v>P117</x:v>
      </x:c>
      <x:c r="B122" s="13" t="str">
        <x:v>马塔瓦伊湾</x:v>
      </x:c>
      <x:c r="C122" s="13" t="str">
        <x:v>大洋洲与太平洋</x:v>
      </x:c>
      <x:c r="D122" s="13" t="str">
        <x:v>Matavai Bay / Tahiti</x:v>
      </x:c>
      <x:c r="E122" s="13" t="str">
        <x:v>法属波利尼西亚·塔希提岛</x:v>
      </x:c>
      <x:c r="F122" s="21" t="n">
        <x:v>-17.497</x:v>
      </x:c>
      <x:c r="G122" s="21" t="n">
        <x:v>-149.491</x:v>
      </x:c>
      <x:c r="H122" s="13" t="str">
        <x:v>珊瑚湾聚落港</x:v>
      </x:c>
      <x:c r="I122" s="27" t="n">
        <x:v>90</x:v>
      </x:c>
      <x:c r="J122" s="27" t="n">
        <x:v>60</x:v>
      </x:c>
      <x:c r="K122" s="13" t="str">
        <x:v>高耸翠峰、蓝得发亮的礁湖与海边树皮布长席，双体船帆像白色蝴蝶</x:v>
      </x:c>
      <x:c r="L122" s="13" t="str">
        <x:v>塔希提星航聚落、树皮布与群岛补给</x:v>
      </x:c>
      <x:c r="M122" s="13" t="str">
        <x:v>塔希提远海双体帆舟</x:v>
      </x:c>
      <x:c r="N122" s="13" t="str">
        <x:v>铁器进口；船厂；礼品</x:v>
      </x:c>
      <x:c r="O122" s="13" t="str">
        <x:v>晨星树皮布工坊</x:v>
      </x:c>
      <x:c r="P122" s="13" t="str">
        <x:v>SP117</x:v>
      </x:c>
      <x:c r="Q122" s="13" t="str">
        <x:v>白浪晨星树皮绢</x:v>
      </x:c>
      <x:c r="R122" s="13" t="str">
        <x:v>以塔希提马塔瓦伊湾真实地理和太平洋树皮布、星航传统为底色；成熟商业港与纹样为原创。</x:v>
      </x:c>
      <x:c r="S122" s="13" t="str">
        <x:v>今址近似坐标，仅用于设计地图定位；不表达近世政治边界。</x:v>
      </x:c>
      <x:c r="T122" s="13" t="str">
        <x:v>WT-H17；WT-H18</x:v>
      </x:c>
    </x:row>
    <x:row r="123" ht="42" customHeight="1">
      <x:c r="A123" s="15" t="str">
        <x:v>P118</x:v>
      </x:c>
      <x:c r="B123" s="15" t="str">
        <x:v>科乌港</x:v>
      </x:c>
      <x:c r="C123" s="15" t="str">
        <x:v>大洋洲与太平洋</x:v>
      </x:c>
      <x:c r="D123" s="15" t="str">
        <x:v>Kou / Honolulu</x:v>
      </x:c>
      <x:c r="E123" s="15" t="str">
        <x:v>夏威夷群岛·瓦胡岛</x:v>
      </x:c>
      <x:c r="F123" s="29" t="n">
        <x:v>21.307</x:v>
      </x:c>
      <x:c r="G123" s="29" t="n">
        <x:v>-157.859</x:v>
      </x:c>
      <x:c r="H123" s="15" t="str">
        <x:v>热带湾聚落港</x:v>
      </x:c>
      <x:c r="I123" s="30" t="n">
        <x:v>100</x:v>
      </x:c>
      <x:c r="J123" s="30" t="n">
        <x:v>80</x:v>
      </x:c>
      <x:c r="K123" s="15" t="str">
        <x:v>火山轮廓后是蓝紫暮天，棕榈湾里金黄色双体帆与海鸟一起归岸</x:v>
      </x:c>
      <x:c r="L123" s="15" t="str">
        <x:v>瓦胡岛星航互市、岛屿补给与新制工艺</x:v>
      </x:c>
      <x:c r="M123" s="15" t="str">
        <x:v>夏威夷远海双体帆舟</x:v>
      </x:c>
      <x:c r="N123" s="15" t="str">
        <x:v>铁器进口；船厂；礼品</x:v>
      </x:c>
      <x:c r="O123" s="15" t="str">
        <x:v>金羽新作工艺棚</x:v>
      </x:c>
      <x:c r="P123" s="15" t="str">
        <x:v>SP118</x:v>
      </x:c>
      <x:c r="Q123" s="15" t="str">
        <x:v>金羽航星肩饰</x:v>
      </x:c>
      <x:c r="R123" s="15" t="str">
        <x:v>科乌为檀香山近岸的地理文化参照；大规模互市港为架空发展，不把现代港城或现代星盘教学物当古物。</x:v>
      </x:c>
      <x:c r="S123" s="15" t="str">
        <x:v>今址近似坐标，仅用于设计地图定位；不表达近世政治边界。</x:v>
      </x:c>
      <x:c r="T123" s="15" t="str">
        <x:v>WT-H17；WT-H18</x:v>
      </x:c>
    </x:row>
    <x:row r="124" ht="42" customHeight="1">
      <x:c r="A124" s="13" t="str">
        <x:v>P119</x:v>
      </x:c>
      <x:c r="B124" s="13" t="str">
        <x:v>哈加特纳</x:v>
      </x:c>
      <x:c r="C124" s="13" t="str">
        <x:v>大洋洲与太平洋</x:v>
      </x:c>
      <x:c r="D124" s="13" t="str">
        <x:v>Hagåtña</x:v>
      </x:c>
      <x:c r="E124" s="13" t="str">
        <x:v>密克罗尼西亚·关岛</x:v>
      </x:c>
      <x:c r="F124" s="21" t="n">
        <x:v>13.476</x:v>
      </x:c>
      <x:c r="G124" s="21" t="n">
        <x:v>144.751</x:v>
      </x:c>
      <x:c r="H124" s="13" t="str">
        <x:v>礁湖岛港</x:v>
      </x:c>
      <x:c r="I124" s="27" t="n">
        <x:v>120</x:v>
      </x:c>
      <x:c r="J124" s="27" t="n">
        <x:v>150</x:v>
      </x:c>
      <x:c r="K124" s="13" t="str">
        <x:v>白浪外礁、翠绿椰林与浅色石基聚落并列，细长独木舟掠过清澈礁湖</x:v>
      </x:c>
      <x:c r="L124" s="13" t="str">
        <x:v>密克罗尼西亚航路接力、椰产与岛间工艺</x:v>
      </x:c>
      <x:c r="M124" s="13" t="str">
        <x:v>查莫罗飞行帆舟</x:v>
      </x:c>
      <x:c r="N124" s="13" t="str">
        <x:v>铁器进口；城市衣料；远航补给</x:v>
      </x:c>
      <x:c r="O124" s="13" t="str">
        <x:v>飞帆月贝工坊</x:v>
      </x:c>
      <x:c r="P124" s="13" t="str">
        <x:v>SP119</x:v>
      </x:c>
      <x:c r="Q124" s="13" t="str">
        <x:v>飞帆月贝耳坠</x:v>
      </x:c>
      <x:c r="R124" s="13" t="str">
        <x:v>以关岛真实岛链位置及飞行帆舟文化为底色；贝耳坠和货物规模为原创。</x:v>
      </x:c>
      <x:c r="S124" s="13" t="str">
        <x:v>今址近似坐标，仅用于设计地图定位；不表达近世政治边界。</x:v>
      </x:c>
      <x:c r="T124" s="13" t="str">
        <x:v>WT-H17</x:v>
      </x:c>
    </x:row>
    <x:row r="125" ht="42" customHeight="1">
      <x:c r="A125" s="16" t="str">
        <x:v>P120</x:v>
      </x:c>
      <x:c r="B125" s="16" t="str">
        <x:v>汉加罗阿</x:v>
      </x:c>
      <x:c r="C125" s="16" t="str">
        <x:v>大洋洲与太平洋</x:v>
      </x:c>
      <x:c r="D125" s="16" t="str">
        <x:v>Hanga Roa / Rapa Nui</x:v>
      </x:c>
      <x:c r="E125" s="16" t="str">
        <x:v>东南太平洋·拉帕努伊岛</x:v>
      </x:c>
      <x:c r="F125" s="31" t="n">
        <x:v>-27.15</x:v>
      </x:c>
      <x:c r="G125" s="31" t="n">
        <x:v>-109.433</x:v>
      </x:c>
      <x:c r="H125" s="16" t="str">
        <x:v>火山岛锚地</x:v>
      </x:c>
      <x:c r="I125" s="32" t="n">
        <x:v>50</x:v>
      </x:c>
      <x:c r="J125" s="32" t="n">
        <x:v>30</x:v>
      </x:c>
      <x:c r="K125" s="16" t="str">
        <x:v>黑色火山崖、低草地与深蓝巨浪构成稀疏而壮阔的舞台，石像远景守着锚地</x:v>
      </x:c>
      <x:c r="L125" s="16" t="str">
        <x:v>拉帕努伊远海访问点、岛屿手作与补给交换</x:v>
      </x:c>
      <x:c r="M125" s="16" t="str">
        <x:v>拉帕努伊近海舟；发展后为原创互助补给帆舟</x:v>
      </x:c>
      <x:c r="N125" s="16" t="str">
        <x:v>远航补给；木材进口；铁器进口</x:v>
      </x:c>
      <x:c r="O125" s="16" t="str">
        <x:v>黑海石印工坊</x:v>
      </x:c>
      <x:c r="P125" s="16" t="str">
        <x:v>SP120</x:v>
      </x:c>
      <x:c r="Q125" s="16" t="str">
        <x:v>黑海鸟纹石印</x:v>
      </x:c>
      <x:c r="R125" s="16" t="str">
        <x:v>以拉帕努伊真实位置、火山景观和聚落为参照；补给互市和新制石印是本作设计。</x:v>
      </x:c>
      <x:c r="S125" s="16" t="str">
        <x:v>今址近似坐标，仅用于设计地图定位；不表达近世政治边界。</x:v>
      </x:c>
      <x:c r="T125" s="16" t="str">
        <x:v>WT-H17</x:v>
      </x:c>
    </x:row>
    <x:row r="126">
      <x:c r="A126" s="2"/>
      <x:c r="B126" s="2"/>
      <x:c r="C126" s="2"/>
      <x:c r="D126" s="2"/>
      <x:c r="E126" s="2"/>
      <x:c r="F126" s="2"/>
      <x:c r="G126" s="2"/>
      <x:c r="H126" s="2"/>
      <x:c r="I126" s="2"/>
      <x:c r="J126" s="2"/>
      <x:c r="K126" s="2"/>
      <x:c r="L126" s="2"/>
      <x:c r="M126" s="2"/>
      <x:c r="N126" s="2"/>
      <x:c r="O126" s="2"/>
      <x:c r="P126" s="2"/>
      <x:c r="Q126" s="2"/>
      <x:c r="R126" s="2"/>
      <x:c r="S126" s="2"/>
      <x:c r="T126" s="2"/>
    </x:row>
  </x:sheetData>
  <x:pageMargins left="0.7" right="0.7" top="0.75" bottom="0.75" header="0.3" footer="0.3"/>
  <x:tableParts count="1">
    <x:tablePart xmlns:r="http://schemas.openxmlformats.org/officeDocument/2006/relationships" r:id="Rfed5a82550bb4ea9"/>
  </x:tableParts>
</x:worksheet>
</file>

<file path=xl/worksheets/sheet4.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3" hidden="0" customWidth="1"/>
    <x:col min="2" max="2" width="28" hidden="0" customWidth="1"/>
    <x:col min="3" max="3" width="18" hidden="0" customWidth="1"/>
    <x:col min="4" max="4" width="23" hidden="0" customWidth="1"/>
    <x:col min="5" max="5" width="18" hidden="0" customWidth="1"/>
    <x:col min="6" max="6" width="16" hidden="0" customWidth="1"/>
    <x:col min="7" max="7" width="33" hidden="0" customWidth="1"/>
    <x:col min="8" max="8" width="42" hidden="0" customWidth="1"/>
    <x:col min="9" max="9" width="58" hidden="0" customWidth="1"/>
    <x:col min="10" max="10" width="64" hidden="0" customWidth="1"/>
    <x:col min="11" max="11" width="18" hidden="0" customWidth="1"/>
    <x:col min="12" max="12" width="15" hidden="0" customWidth="1"/>
    <x:col min="13" max="13" width="60" hidden="0" customWidth="1"/>
    <x:col min="14" max="14" width="24" hidden="0" customWidth="1"/>
  </x:cols>
  <x:sheetData>
    <x:row r="1">
      <x:c r="A1" s="2"/>
      <x:c r="B1" s="2"/>
      <x:c r="C1" s="2"/>
      <x:c r="D1" s="2"/>
      <x:c r="E1" s="2"/>
      <x:c r="F1" s="2"/>
      <x:c r="G1" s="2"/>
      <x:c r="H1" s="2"/>
      <x:c r="I1" s="2"/>
      <x:c r="J1" s="2"/>
      <x:c r="K1" s="2"/>
      <x:c r="L1" s="2"/>
      <x:c r="M1" s="2"/>
      <x:c r="N1" s="2"/>
    </x:row>
    <x:row r="2" ht="28" customHeight="1">
      <x:c r="A2" s="3" t="str">
        <x:v>贸易品与基础价格</x:v>
      </x:c>
      <x:c r="B2" s="2"/>
      <x:c r="C2" s="2"/>
      <x:c r="D2" s="2"/>
      <x:c r="E2" s="2"/>
      <x:c r="F2" s="2"/>
      <x:c r="G2" s="2"/>
      <x:c r="H2" s="2"/>
      <x:c r="I2" s="2"/>
      <x:c r="J2" s="2"/>
      <x:c r="K2" s="2"/>
      <x:c r="L2" s="2"/>
      <x:c r="M2" s="2"/>
      <x:c r="N2" s="2"/>
    </x:row>
    <x:row r="3">
      <x:c r="A3" s="5" t="str">
        <x:v>银币/货载单位；保质日0表示耐储；基础价不含地方供需、品质与税。</x:v>
      </x:c>
      <x:c r="B3" s="2"/>
      <x:c r="C3" s="2"/>
      <x:c r="D3" s="2"/>
      <x:c r="E3" s="2"/>
      <x:c r="F3" s="2"/>
      <x:c r="G3" s="2"/>
      <x:c r="H3" s="2"/>
      <x:c r="I3" s="2"/>
      <x:c r="J3" s="2"/>
      <x:c r="K3" s="2"/>
      <x:c r="L3" s="2"/>
      <x:c r="M3" s="2"/>
      <x:c r="N3" s="2"/>
    </x:row>
    <x:row r="4">
      <x:c r="A4" s="2"/>
      <x:c r="B4" s="2"/>
      <x:c r="C4" s="2"/>
      <x:c r="D4" s="2"/>
      <x:c r="E4" s="2"/>
      <x:c r="F4" s="2"/>
      <x:c r="G4" s="2"/>
      <x:c r="H4" s="2"/>
      <x:c r="I4" s="2"/>
      <x:c r="J4" s="2"/>
      <x:c r="K4" s="2"/>
      <x:c r="L4" s="2"/>
      <x:c r="M4" s="2"/>
      <x:c r="N4" s="2"/>
    </x:row>
    <x:row r="5" ht="34" customHeight="1">
      <x:c r="A5" s="10" t="str">
        <x:v>商品ID</x:v>
      </x:c>
      <x:c r="B5" s="10" t="str">
        <x:v>商品名称</x:v>
      </x:c>
      <x:c r="C5" s="10" t="str">
        <x:v>分类</x:v>
      </x:c>
      <x:c r="D5" s="10" t="str">
        <x:v>基础价（银币/单位）</x:v>
      </x:c>
      <x:c r="E5" s="10" t="str">
        <x:v>占用货载单位</x:v>
      </x:c>
      <x:c r="F5" s="10" t="str">
        <x:v>保质游戏日</x:v>
      </x:c>
      <x:c r="G5" s="10" t="str">
        <x:v>供货海域</x:v>
      </x:c>
      <x:c r="H5" s="10" t="str">
        <x:v>消费与需求</x:v>
      </x:c>
      <x:c r="I5" s="10" t="str">
        <x:v>游戏用途</x:v>
      </x:c>
      <x:c r="J5" s="10" t="str">
        <x:v>商品辨识与风味</x:v>
      </x:c>
      <x:c r="K5" s="10" t="str">
        <x:v>是否独特特产</x:v>
      </x:c>
      <x:c r="L5" s="10" t="str">
        <x:v>独特产地ID</x:v>
      </x:c>
      <x:c r="M5" s="10" t="str">
        <x:v>设计与史实说明</x:v>
      </x:c>
      <x:c r="N5" s="10" t="str">
        <x:v>资料编号</x:v>
      </x:c>
    </x:row>
    <x:row r="6" ht="31" customHeight="1">
      <x:c r="A6" s="12" t="str">
        <x:v>G001</x:v>
      </x:c>
      <x:c r="B6" s="12" t="str">
        <x:v>小麦</x:v>
      </x:c>
      <x:c r="C6" s="12" t="str">
        <x:v>粮食</x:v>
      </x:c>
      <x:c r="D6" s="26" t="n">
        <x:v>45</x:v>
      </x:c>
      <x:c r="E6" s="41" t="n">
        <x:v>1</x:v>
      </x:c>
      <x:c r="F6" s="26" t="n">
        <x:v>180</x:v>
      </x:c>
      <x:c r="G6" s="12" t="str">
        <x:v>R01；R02；R03；R04；R05；R06；R11</x:v>
      </x:c>
      <x:c r="H6" s="12" t="str">
        <x:v>城市口粮；远航补给</x:v>
      </x:c>
      <x:c r="I6" s="12" t="str">
        <x:v>制作面包与舰队口粮</x:v>
      </x:c>
      <x:c r="J6" s="12" t="str">
        <x:v>沿大河装袋的日常货，丰歉会改变整条航线的利润。</x:v>
      </x:c>
      <x:c r="K6" s="35" t="b">
        <x:v>0</x:v>
      </x:c>
      <x:c r="L6" s="12" t="str"/>
      <x:c r="M6" s="12" t="str">
        <x:v>真实商品类别；供货分布、价格与抽象单位为原创设计</x:v>
      </x:c>
      <x:c r="N6" s="12" t="str"/>
    </x:row>
    <x:row r="7" ht="31" customHeight="1">
      <x:c r="A7" s="15" t="str">
        <x:v>G002</x:v>
      </x:c>
      <x:c r="B7" s="15" t="str">
        <x:v>大麦</x:v>
      </x:c>
      <x:c r="C7" s="15" t="str">
        <x:v>粮食</x:v>
      </x:c>
      <x:c r="D7" s="30" t="n">
        <x:v>35</x:v>
      </x:c>
      <x:c r="E7" s="44" t="n">
        <x:v>1</x:v>
      </x:c>
      <x:c r="F7" s="30" t="n">
        <x:v>180</x:v>
      </x:c>
      <x:c r="G7" s="15" t="str">
        <x:v>R01；R02；R03</x:v>
      </x:c>
      <x:c r="H7" s="15" t="str">
        <x:v>酿酒；军港补给</x:v>
      </x:c>
      <x:c r="I7" s="15" t="str">
        <x:v>啤酒原料与补给</x:v>
      </x:c>
      <x:c r="J7" s="15" t="str">
        <x:v>价格平易，酿酒城的节庆需求很稳定。</x:v>
      </x:c>
      <x:c r="K7" s="45" t="b">
        <x:v>0</x:v>
      </x:c>
      <x:c r="L7" s="15" t="str"/>
      <x:c r="M7" s="15" t="str">
        <x:v>真实商品类别；供货分布、价格与抽象单位为原创设计</x:v>
      </x:c>
      <x:c r="N7" s="15" t="str"/>
    </x:row>
    <x:row r="8" ht="31" customHeight="1">
      <x:c r="A8" s="13" t="str">
        <x:v>G003</x:v>
      </x:c>
      <x:c r="B8" s="13" t="str">
        <x:v>黑麦</x:v>
      </x:c>
      <x:c r="C8" s="13" t="str">
        <x:v>粮食</x:v>
      </x:c>
      <x:c r="D8" s="27" t="n">
        <x:v>38</x:v>
      </x:c>
      <x:c r="E8" s="42" t="n">
        <x:v>1</x:v>
      </x:c>
      <x:c r="F8" s="27" t="n">
        <x:v>180</x:v>
      </x:c>
      <x:c r="G8" s="13" t="str">
        <x:v>R01；R03</x:v>
      </x:c>
      <x:c r="H8" s="13" t="str">
        <x:v>寒地口粮；人口增长</x:v>
      </x:c>
      <x:c r="I8" s="13" t="str">
        <x:v>黑面包原料</x:v>
      </x:c>
      <x:c r="J8" s="13" t="str">
        <x:v>波罗的海平原的扎实粮食，适合寒海商路起家。</x:v>
      </x:c>
      <x:c r="K8" s="36" t="b">
        <x:v>0</x:v>
      </x:c>
      <x:c r="L8" s="13" t="str"/>
      <x:c r="M8" s="13" t="str">
        <x:v>真实商品类别；供货分布、价格与抽象单位为原创设计</x:v>
      </x:c>
      <x:c r="N8" s="13" t="str"/>
    </x:row>
    <x:row r="9" ht="31" customHeight="1">
      <x:c r="A9" s="15" t="str">
        <x:v>G004</x:v>
      </x:c>
      <x:c r="B9" s="15" t="str">
        <x:v>稻米</x:v>
      </x:c>
      <x:c r="C9" s="15" t="str">
        <x:v>粮食</x:v>
      </x:c>
      <x:c r="D9" s="30" t="n">
        <x:v>55</x:v>
      </x:c>
      <x:c r="E9" s="44" t="n">
        <x:v>1</x:v>
      </x:c>
      <x:c r="F9" s="30" t="n">
        <x:v>150</x:v>
      </x:c>
      <x:c r="G9" s="15" t="str">
        <x:v>R05；R07；R08；R09；R10</x:v>
      </x:c>
      <x:c r="H9" s="15" t="str">
        <x:v>城市口粮；季风船队</x:v>
      </x:c>
      <x:c r="I9" s="15" t="str">
        <x:v>航海口粮与城市供应</x:v>
      </x:c>
      <x:c r="J9" s="15" t="str">
        <x:v>从水田到河口的白色货袋，是亚洲内海的底层商路。</x:v>
      </x:c>
      <x:c r="K9" s="45" t="b">
        <x:v>0</x:v>
      </x:c>
      <x:c r="L9" s="15" t="str"/>
      <x:c r="M9" s="15" t="str">
        <x:v>真实商品类别；供货分布、价格与抽象单位为原创设计</x:v>
      </x:c>
      <x:c r="N9" s="15" t="str"/>
    </x:row>
    <x:row r="10" ht="31" customHeight="1">
      <x:c r="A10" s="13" t="str">
        <x:v>G005</x:v>
      </x:c>
      <x:c r="B10" s="13" t="str">
        <x:v>玉米</x:v>
      </x:c>
      <x:c r="C10" s="13" t="str">
        <x:v>粮食</x:v>
      </x:c>
      <x:c r="D10" s="27" t="n">
        <x:v>42</x:v>
      </x:c>
      <x:c r="E10" s="42" t="n">
        <x:v>1</x:v>
      </x:c>
      <x:c r="F10" s="27" t="n">
        <x:v>160</x:v>
      </x:c>
      <x:c r="G10" s="13" t="str">
        <x:v>R04；R10；R11</x:v>
      </x:c>
      <x:c r="H10" s="13" t="str">
        <x:v>城市口粮；酒馆</x:v>
      </x:c>
      <x:c r="I10" s="13" t="str">
        <x:v>干粮与粗酿原料</x:v>
      </x:c>
      <x:c r="J10" s="13" t="str">
        <x:v>新大陆作物，跨洋传播作为本作成熟贸易状态。</x:v>
      </x:c>
      <x:c r="K10" s="36" t="b">
        <x:v>0</x:v>
      </x:c>
      <x:c r="L10" s="13" t="str"/>
      <x:c r="M10" s="13" t="str">
        <x:v>真实商品类别；供货分布、价格与抽象单位为原创设计</x:v>
      </x:c>
      <x:c r="N10" s="13" t="str"/>
    </x:row>
    <x:row r="11" ht="31" customHeight="1">
      <x:c r="A11" s="15" t="str">
        <x:v>G006</x:v>
      </x:c>
      <x:c r="B11" s="15" t="str">
        <x:v>豆类</x:v>
      </x:c>
      <x:c r="C11" s="15" t="str">
        <x:v>粮食</x:v>
      </x:c>
      <x:c r="D11" s="30" t="n">
        <x:v>48</x:v>
      </x:c>
      <x:c r="E11" s="44" t="n">
        <x:v>1</x:v>
      </x:c>
      <x:c r="F11" s="30" t="n">
        <x:v>150</x:v>
      </x:c>
      <x:c r="G11" s="15" t="str">
        <x:v>R01；R02；R03；R07；R11</x:v>
      </x:c>
      <x:c r="H11" s="15" t="str">
        <x:v>远航补给；城市口粮</x:v>
      </x:c>
      <x:c r="I11" s="15" t="str">
        <x:v>远航炖食与市场供应</x:v>
      </x:c>
      <x:c r="J11" s="15" t="str">
        <x:v>便宜耐存，适合在回程中填满零散舱位。</x:v>
      </x:c>
      <x:c r="K11" s="45" t="b">
        <x:v>0</x:v>
      </x:c>
      <x:c r="L11" s="15" t="str"/>
      <x:c r="M11" s="15" t="str">
        <x:v>真实商品类别；供货分布、价格与抽象单位为原创设计</x:v>
      </x:c>
      <x:c r="N11" s="15" t="str"/>
    </x:row>
    <x:row r="12" ht="31" customHeight="1">
      <x:c r="A12" s="13" t="str">
        <x:v>G007</x:v>
      </x:c>
      <x:c r="B12" s="13" t="str">
        <x:v>马铃薯</x:v>
      </x:c>
      <x:c r="C12" s="13" t="str">
        <x:v>粮食</x:v>
      </x:c>
      <x:c r="D12" s="27" t="n">
        <x:v>32</x:v>
      </x:c>
      <x:c r="E12" s="42" t="n">
        <x:v>1</x:v>
      </x:c>
      <x:c r="F12" s="27" t="n">
        <x:v>90</x:v>
      </x:c>
      <x:c r="G12" s="13" t="str">
        <x:v>R01；R02；R11</x:v>
      </x:c>
      <x:c r="H12" s="13" t="str">
        <x:v>寒地口粮；人口增长</x:v>
      </x:c>
      <x:c r="I12" s="13" t="str">
        <x:v>补给与种苗订单</x:v>
      </x:c>
      <x:c r="J12" s="13" t="str">
        <x:v>安第斯原生作物，欧陆销售采用时代融合后的传播状态。</x:v>
      </x:c>
      <x:c r="K12" s="36" t="b">
        <x:v>0</x:v>
      </x:c>
      <x:c r="L12" s="13" t="str"/>
      <x:c r="M12" s="13" t="str">
        <x:v>真实商品类别；供货分布、价格与抽象单位为原创设计</x:v>
      </x:c>
      <x:c r="N12" s="13" t="str"/>
    </x:row>
    <x:row r="13" ht="31" customHeight="1">
      <x:c r="A13" s="15" t="str">
        <x:v>G008</x:v>
      </x:c>
      <x:c r="B13" s="15" t="str">
        <x:v>燕麦</x:v>
      </x:c>
      <x:c r="C13" s="15" t="str">
        <x:v>粮食</x:v>
      </x:c>
      <x:c r="D13" s="30" t="n">
        <x:v>32</x:v>
      </x:c>
      <x:c r="E13" s="44" t="n">
        <x:v>1</x:v>
      </x:c>
      <x:c r="F13" s="30" t="n">
        <x:v>150</x:v>
      </x:c>
      <x:c r="G13" s="15" t="str">
        <x:v>R01；R02</x:v>
      </x:c>
      <x:c r="H13" s="15" t="str">
        <x:v>军港补给；畜牧</x:v>
      </x:c>
      <x:c r="I13" s="15" t="str">
        <x:v>粥食与牲畜饲料</x:v>
      </x:c>
      <x:c r="J13" s="15" t="str">
        <x:v>轻利厚量的北方商品。</x:v>
      </x:c>
      <x:c r="K13" s="45" t="b">
        <x:v>0</x:v>
      </x:c>
      <x:c r="L13" s="15" t="str"/>
      <x:c r="M13" s="15" t="str">
        <x:v>真实商品类别；供货分布、价格与抽象单位为原创设计</x:v>
      </x:c>
      <x:c r="N13" s="15" t="str"/>
    </x:row>
    <x:row r="14" ht="42" customHeight="1">
      <x:c r="A14" s="13" t="str">
        <x:v>G009</x:v>
      </x:c>
      <x:c r="B14" s="13" t="str">
        <x:v>盐</x:v>
      </x:c>
      <x:c r="C14" s="13" t="str">
        <x:v>食品</x:v>
      </x:c>
      <x:c r="D14" s="27" t="n">
        <x:v>28</x:v>
      </x:c>
      <x:c r="E14" s="42" t="n">
        <x:v>1</x:v>
      </x:c>
      <x:c r="F14" s="27" t="n">
        <x:v>0</x:v>
      </x:c>
      <x:c r="G14" s="13" t="str">
        <x:v>R01；R02；R03；R04；R05；R06；R07；R09</x:v>
      </x:c>
      <x:c r="H14" s="13" t="str">
        <x:v>腌制工坊；远航补给</x:v>
      </x:c>
      <x:c r="I14" s="13" t="str">
        <x:v>腌鱼、腌肉与食品加工</x:v>
      </x:c>
      <x:c r="J14" s="13" t="str">
        <x:v>港口会把廉价盐变成更昂贵、更耐航程的食品。</x:v>
      </x:c>
      <x:c r="K14" s="36" t="b">
        <x:v>0</x:v>
      </x:c>
      <x:c r="L14" s="13" t="str"/>
      <x:c r="M14" s="13" t="str">
        <x:v>真实商品类别；供货分布、价格与抽象单位为原创设计</x:v>
      </x:c>
      <x:c r="N14" s="13" t="str"/>
    </x:row>
    <x:row r="15" ht="31" customHeight="1">
      <x:c r="A15" s="15" t="str">
        <x:v>G010</x:v>
      </x:c>
      <x:c r="B15" s="15" t="str">
        <x:v>蜂蜜</x:v>
      </x:c>
      <x:c r="C15" s="15" t="str">
        <x:v>食品</x:v>
      </x:c>
      <x:c r="D15" s="30" t="n">
        <x:v>95</x:v>
      </x:c>
      <x:c r="E15" s="44" t="n">
        <x:v>1</x:v>
      </x:c>
      <x:c r="F15" s="30" t="n">
        <x:v>360</x:v>
      </x:c>
      <x:c r="G15" s="15" t="str">
        <x:v>R01；R03；R05；R07；R11</x:v>
      </x:c>
      <x:c r="H15" s="15" t="str">
        <x:v>甜食；药房；酒馆</x:v>
      </x:c>
      <x:c r="I15" s="15" t="str">
        <x:v>甜食、蜜酒与礼品</x:v>
      </x:c>
      <x:c r="J15" s="15" t="str">
        <x:v>季节花蜜决定风味，本表以封蜡陶罐计货。</x:v>
      </x:c>
      <x:c r="K15" s="45" t="b">
        <x:v>0</x:v>
      </x:c>
      <x:c r="L15" s="15" t="str"/>
      <x:c r="M15" s="15" t="str">
        <x:v>真实商品类别；供货分布、价格与抽象单位为原创设计</x:v>
      </x:c>
      <x:c r="N15" s="15" t="str"/>
    </x:row>
    <x:row r="16" ht="31" customHeight="1">
      <x:c r="A16" s="13" t="str">
        <x:v>G011</x:v>
      </x:c>
      <x:c r="B16" s="13" t="str">
        <x:v>砂糖</x:v>
      </x:c>
      <x:c r="C16" s="13" t="str">
        <x:v>食品</x:v>
      </x:c>
      <x:c r="D16" s="27" t="n">
        <x:v>140</x:v>
      </x:c>
      <x:c r="E16" s="42" t="n">
        <x:v>1</x:v>
      </x:c>
      <x:c r="F16" s="27" t="n">
        <x:v>360</x:v>
      </x:c>
      <x:c r="G16" s="13" t="str">
        <x:v>R04；R05；R07；R08；R09；R10；R11</x:v>
      </x:c>
      <x:c r="H16" s="13" t="str">
        <x:v>甜食；宴会；酿酒</x:v>
      </x:c>
      <x:c r="I16" s="13" t="str">
        <x:v>糕点与蒸馏原料</x:v>
      </x:c>
      <x:c r="J16" s="13" t="str">
        <x:v>蔗园、磨坊和糖库构成整条产业链。</x:v>
      </x:c>
      <x:c r="K16" s="36" t="b">
        <x:v>0</x:v>
      </x:c>
      <x:c r="L16" s="13" t="str"/>
      <x:c r="M16" s="13" t="str">
        <x:v>真实商品类别；供货分布、价格与抽象单位为原创设计</x:v>
      </x:c>
      <x:c r="N16" s="13" t="str"/>
    </x:row>
    <x:row r="17" ht="31" customHeight="1">
      <x:c r="A17" s="15" t="str">
        <x:v>G012</x:v>
      </x:c>
      <x:c r="B17" s="15" t="str">
        <x:v>糖蜜</x:v>
      </x:c>
      <x:c r="C17" s="15" t="str">
        <x:v>食品</x:v>
      </x:c>
      <x:c r="D17" s="30" t="n">
        <x:v>70</x:v>
      </x:c>
      <x:c r="E17" s="44" t="n">
        <x:v>1</x:v>
      </x:c>
      <x:c r="F17" s="30" t="n">
        <x:v>240</x:v>
      </x:c>
      <x:c r="G17" s="15" t="str">
        <x:v>R04；R05；R08；R09；R10；R11</x:v>
      </x:c>
      <x:c r="H17" s="15" t="str">
        <x:v>酿酒；远航补给</x:v>
      </x:c>
      <x:c r="I17" s="15" t="str">
        <x:v>朗姆酒原料与糖浆口粮</x:v>
      </x:c>
      <x:c r="J17" s="15" t="str">
        <x:v>廉价回程货，也能喂活一座新开的酒厂。</x:v>
      </x:c>
      <x:c r="K17" s="45" t="b">
        <x:v>0</x:v>
      </x:c>
      <x:c r="L17" s="15" t="str"/>
      <x:c r="M17" s="15" t="str">
        <x:v>真实商品类别；供货分布、价格与抽象单位为原创设计</x:v>
      </x:c>
      <x:c r="N17" s="15" t="str"/>
    </x:row>
    <x:row r="18" ht="31" customHeight="1">
      <x:c r="A18" s="13" t="str">
        <x:v>G013</x:v>
      </x:c>
      <x:c r="B18" s="13" t="str">
        <x:v>橄榄油</x:v>
      </x:c>
      <x:c r="C18" s="13" t="str">
        <x:v>食品</x:v>
      </x:c>
      <x:c r="D18" s="27" t="n">
        <x:v>120</x:v>
      </x:c>
      <x:c r="E18" s="42" t="n">
        <x:v>1</x:v>
      </x:c>
      <x:c r="F18" s="27" t="n">
        <x:v>240</x:v>
      </x:c>
      <x:c r="G18" s="13" t="str">
        <x:v>R02；R03</x:v>
      </x:c>
      <x:c r="H18" s="13" t="str">
        <x:v>烹饪；制皂；照明</x:v>
      </x:c>
      <x:c r="I18" s="13" t="str">
        <x:v>食用与制皂</x:v>
      </x:c>
      <x:c r="J18" s="13" t="str">
        <x:v>地中海的液体日常，以陶罐和木箱装船。</x:v>
      </x:c>
      <x:c r="K18" s="36" t="b">
        <x:v>0</x:v>
      </x:c>
      <x:c r="L18" s="13" t="str"/>
      <x:c r="M18" s="13" t="str">
        <x:v>真实商品类别；供货分布、价格与抽象单位为原创设计</x:v>
      </x:c>
      <x:c r="N18" s="13" t="str"/>
    </x:row>
    <x:row r="19" ht="31" customHeight="1">
      <x:c r="A19" s="15" t="str">
        <x:v>G014</x:v>
      </x:c>
      <x:c r="B19" s="15" t="str">
        <x:v>椰子油</x:v>
      </x:c>
      <x:c r="C19" s="15" t="str">
        <x:v>食品</x:v>
      </x:c>
      <x:c r="D19" s="30" t="n">
        <x:v>88</x:v>
      </x:c>
      <x:c r="E19" s="44" t="n">
        <x:v>1</x:v>
      </x:c>
      <x:c r="F19" s="30" t="n">
        <x:v>240</x:v>
      </x:c>
      <x:c r="G19" s="15" t="str">
        <x:v>R04；R05；R07；R08；R12</x:v>
      </x:c>
      <x:c r="H19" s="15" t="str">
        <x:v>烹饪；制皂；群岛补给</x:v>
      </x:c>
      <x:c r="I19" s="15" t="str">
        <x:v>食品与工坊原料</x:v>
      </x:c>
      <x:c r="J19" s="15" t="str">
        <x:v>沿季风海岸销售，在冷海城镇可作为新奇油料。</x:v>
      </x:c>
      <x:c r="K19" s="45" t="b">
        <x:v>0</x:v>
      </x:c>
      <x:c r="L19" s="15" t="str"/>
      <x:c r="M19" s="15" t="str">
        <x:v>真实商品类别；供货分布、价格与抽象单位为原创设计</x:v>
      </x:c>
      <x:c r="N19" s="15" t="str"/>
    </x:row>
    <x:row r="20" ht="42" customHeight="1">
      <x:c r="A20" s="13" t="str">
        <x:v>G015</x:v>
      </x:c>
      <x:c r="B20" s="13" t="str">
        <x:v>咸鱼</x:v>
      </x:c>
      <x:c r="C20" s="13" t="str">
        <x:v>食品</x:v>
      </x:c>
      <x:c r="D20" s="27" t="n">
        <x:v>65</x:v>
      </x:c>
      <x:c r="E20" s="42" t="n">
        <x:v>1</x:v>
      </x:c>
      <x:c r="F20" s="27" t="n">
        <x:v>120</x:v>
      </x:c>
      <x:c r="G20" s="13" t="str">
        <x:v>R01；R02；R03；R04；R05；R06；R07；R08；R09；R10；R11；R12</x:v>
      </x:c>
      <x:c r="H20" s="13" t="str">
        <x:v>远航补给；军港补给</x:v>
      </x:c>
      <x:c r="I20" s="13" t="str">
        <x:v>可直接编入口粮</x:v>
      </x:c>
      <x:c r="J20" s="13" t="str">
        <x:v>来自当地渔场的通用腌渍鱼货。</x:v>
      </x:c>
      <x:c r="K20" s="36" t="b">
        <x:v>0</x:v>
      </x:c>
      <x:c r="L20" s="13" t="str"/>
      <x:c r="M20" s="13" t="str">
        <x:v>真实商品类别；供货分布、价格与抽象单位为原创设计</x:v>
      </x:c>
      <x:c r="N20" s="13" t="str"/>
    </x:row>
    <x:row r="21" ht="31" customHeight="1">
      <x:c r="A21" s="15" t="str">
        <x:v>G016</x:v>
      </x:c>
      <x:c r="B21" s="15" t="str">
        <x:v>干鳕鱼</x:v>
      </x:c>
      <x:c r="C21" s="15" t="str">
        <x:v>食品</x:v>
      </x:c>
      <x:c r="D21" s="30" t="n">
        <x:v>98</x:v>
      </x:c>
      <x:c r="E21" s="44" t="n">
        <x:v>1</x:v>
      </x:c>
      <x:c r="F21" s="30" t="n">
        <x:v>180</x:v>
      </x:c>
      <x:c r="G21" s="15" t="str">
        <x:v>R01；R02；R10</x:v>
      </x:c>
      <x:c r="H21" s="15" t="str">
        <x:v>远航补给；城市口粮</x:v>
      </x:c>
      <x:c r="I21" s="15" t="str">
        <x:v>耐航干粮与鱼商订单</x:v>
      </x:c>
      <x:c r="J21" s="15" t="str">
        <x:v>寒海渔场与南方城市之间的经典货流。</x:v>
      </x:c>
      <x:c r="K21" s="45" t="b">
        <x:v>0</x:v>
      </x:c>
      <x:c r="L21" s="15" t="str"/>
      <x:c r="M21" s="15" t="str">
        <x:v>真实商品类别；供货分布、价格与抽象单位为原创设计</x:v>
      </x:c>
      <x:c r="N21" s="15" t="str">
        <x:v>WT-H01</x:v>
      </x:c>
    </x:row>
    <x:row r="22" ht="31" customHeight="1">
      <x:c r="A22" s="13" t="str">
        <x:v>G017</x:v>
      </x:c>
      <x:c r="B22" s="13" t="str">
        <x:v>烟熏鲱鱼</x:v>
      </x:c>
      <x:c r="C22" s="13" t="str">
        <x:v>食品</x:v>
      </x:c>
      <x:c r="D22" s="27" t="n">
        <x:v>72</x:v>
      </x:c>
      <x:c r="E22" s="42" t="n">
        <x:v>1</x:v>
      </x:c>
      <x:c r="F22" s="27" t="n">
        <x:v>100</x:v>
      </x:c>
      <x:c r="G22" s="13" t="str">
        <x:v>R01</x:v>
      </x:c>
      <x:c r="H22" s="13" t="str">
        <x:v>酒馆；远航补给</x:v>
      </x:c>
      <x:c r="I22" s="13" t="str">
        <x:v>酒馆小食与舰队口粮</x:v>
      </x:c>
      <x:c r="J22" s="13" t="str">
        <x:v>木桶打开时带着烟、盐和北海的气味。</x:v>
      </x:c>
      <x:c r="K22" s="36" t="b">
        <x:v>0</x:v>
      </x:c>
      <x:c r="L22" s="13" t="str"/>
      <x:c r="M22" s="13" t="str">
        <x:v>真实商品类别；供货分布、价格与抽象单位为原创设计</x:v>
      </x:c>
      <x:c r="N22" s="13" t="str"/>
    </x:row>
    <x:row r="23" ht="31" customHeight="1">
      <x:c r="A23" s="15" t="str">
        <x:v>G018</x:v>
      </x:c>
      <x:c r="B23" s="15" t="str">
        <x:v>咸牛肉</x:v>
      </x:c>
      <x:c r="C23" s="15" t="str">
        <x:v>食品</x:v>
      </x:c>
      <x:c r="D23" s="30" t="n">
        <x:v>82</x:v>
      </x:c>
      <x:c r="E23" s="44" t="n">
        <x:v>1</x:v>
      </x:c>
      <x:c r="F23" s="30" t="n">
        <x:v>130</x:v>
      </x:c>
      <x:c r="G23" s="15" t="str">
        <x:v>R01；R02；R04；R05；R10；R11</x:v>
      </x:c>
      <x:c r="H23" s="15" t="str">
        <x:v>军港补给；远航补给</x:v>
      </x:c>
      <x:c r="I23" s="15" t="str">
        <x:v>舰队口粮</x:v>
      </x:c>
      <x:c r="J23" s="15" t="str">
        <x:v>畜牧腹地通过港口供应远航舰队。</x:v>
      </x:c>
      <x:c r="K23" s="45" t="b">
        <x:v>0</x:v>
      </x:c>
      <x:c r="L23" s="15" t="str"/>
      <x:c r="M23" s="15" t="str">
        <x:v>真实商品类别；供货分布、价格与抽象单位为原创设计</x:v>
      </x:c>
      <x:c r="N23" s="15" t="str"/>
    </x:row>
    <x:row r="24" ht="31" customHeight="1">
      <x:c r="A24" s="13" t="str">
        <x:v>G019</x:v>
      </x:c>
      <x:c r="B24" s="13" t="str">
        <x:v>奶酪</x:v>
      </x:c>
      <x:c r="C24" s="13" t="str">
        <x:v>食品</x:v>
      </x:c>
      <x:c r="D24" s="27" t="n">
        <x:v>95</x:v>
      </x:c>
      <x:c r="E24" s="42" t="n">
        <x:v>1</x:v>
      </x:c>
      <x:c r="F24" s="27" t="n">
        <x:v>90</x:v>
      </x:c>
      <x:c r="G24" s="13" t="str">
        <x:v>R01；R02；R03；R04</x:v>
      </x:c>
      <x:c r="H24" s="13" t="str">
        <x:v>宴会；远航补给</x:v>
      </x:c>
      <x:c r="I24" s="13" t="str">
        <x:v>酒馆与干粮</x:v>
      </x:c>
      <x:c r="J24" s="13" t="str">
        <x:v>本货采用适于运输的硬质奶酪。</x:v>
      </x:c>
      <x:c r="K24" s="36" t="b">
        <x:v>0</x:v>
      </x:c>
      <x:c r="L24" s="13" t="str"/>
      <x:c r="M24" s="13" t="str">
        <x:v>真实商品类别；供货分布、价格与抽象单位为原创设计</x:v>
      </x:c>
      <x:c r="N24" s="13" t="str"/>
    </x:row>
    <x:row r="25" ht="31" customHeight="1">
      <x:c r="A25" s="15" t="str">
        <x:v>G020</x:v>
      </x:c>
      <x:c r="B25" s="15" t="str">
        <x:v>茶叶</x:v>
      </x:c>
      <x:c r="C25" s="15" t="str">
        <x:v>嗜好品</x:v>
      </x:c>
      <x:c r="D25" s="30" t="n">
        <x:v>210</x:v>
      </x:c>
      <x:c r="E25" s="44" t="n">
        <x:v>1</x:v>
      </x:c>
      <x:c r="F25" s="30" t="n">
        <x:v>360</x:v>
      </x:c>
      <x:c r="G25" s="15" t="str">
        <x:v>R09</x:v>
      </x:c>
      <x:c r="H25" s="15" t="str">
        <x:v>茶馆；学会；宴会</x:v>
      </x:c>
      <x:c r="I25" s="15" t="str">
        <x:v>日常嗜好与远洋礼品</x:v>
      </x:c>
      <x:c r="J25" s="15" t="str">
        <x:v>本作以中国茶为主要产源，印度港主要转口。</x:v>
      </x:c>
      <x:c r="K25" s="45" t="b">
        <x:v>0</x:v>
      </x:c>
      <x:c r="L25" s="15" t="str"/>
      <x:c r="M25" s="15" t="str">
        <x:v>真实商品类别；供货分布、价格与抽象单位为原创设计</x:v>
      </x:c>
      <x:c r="N25" s="15" t="str">
        <x:v>WT-H19</x:v>
      </x:c>
    </x:row>
    <x:row r="26" ht="31" customHeight="1">
      <x:c r="A26" s="13" t="str">
        <x:v>G021</x:v>
      </x:c>
      <x:c r="B26" s="13" t="str">
        <x:v>咖啡</x:v>
      </x:c>
      <x:c r="C26" s="13" t="str">
        <x:v>嗜好品</x:v>
      </x:c>
      <x:c r="D26" s="27" t="n">
        <x:v>240</x:v>
      </x:c>
      <x:c r="E26" s="42" t="n">
        <x:v>1</x:v>
      </x:c>
      <x:c r="F26" s="27" t="n">
        <x:v>300</x:v>
      </x:c>
      <x:c r="G26" s="13" t="str">
        <x:v>R06；R08；R10；R11</x:v>
      </x:c>
      <x:c r="H26" s="13" t="str">
        <x:v>咖啡馆；学会；城市消费</x:v>
      </x:c>
      <x:c r="I26" s="13" t="str">
        <x:v>咖啡馆补货与社交礼物</x:v>
      </x:c>
      <x:c r="J26" s="13" t="str">
        <x:v>摩卡连接高地咖啡，海外产区采用17—18世纪传播状态。</x:v>
      </x:c>
      <x:c r="K26" s="36" t="b">
        <x:v>0</x:v>
      </x:c>
      <x:c r="L26" s="13" t="str"/>
      <x:c r="M26" s="13" t="str">
        <x:v>真实商品类别；供货分布、价格与抽象单位为原创设计</x:v>
      </x:c>
      <x:c r="N26" s="13" t="str">
        <x:v>WT-H22</x:v>
      </x:c>
    </x:row>
    <x:row r="27" ht="31" customHeight="1">
      <x:c r="A27" s="15" t="str">
        <x:v>G022</x:v>
      </x:c>
      <x:c r="B27" s="15" t="str">
        <x:v>可可</x:v>
      </x:c>
      <x:c r="C27" s="15" t="str">
        <x:v>嗜好品</x:v>
      </x:c>
      <x:c r="D27" s="30" t="n">
        <x:v>225</x:v>
      </x:c>
      <x:c r="E27" s="44" t="n">
        <x:v>1</x:v>
      </x:c>
      <x:c r="F27" s="30" t="n">
        <x:v>240</x:v>
      </x:c>
      <x:c r="G27" s="15" t="str">
        <x:v>R10；R11</x:v>
      </x:c>
      <x:c r="H27" s="15" t="str">
        <x:v>甜食；宴会；宫廷</x:v>
      </x:c>
      <x:c r="I27" s="15" t="str">
        <x:v>巧克力饮品与糕点原料</x:v>
      </x:c>
      <x:c r="J27" s="15" t="str">
        <x:v>美洲热带特有的厚重香气。</x:v>
      </x:c>
      <x:c r="K27" s="45" t="b">
        <x:v>0</x:v>
      </x:c>
      <x:c r="L27" s="15" t="str"/>
      <x:c r="M27" s="15" t="str">
        <x:v>真实商品类别；供货分布、价格与抽象单位为原创设计</x:v>
      </x:c>
      <x:c r="N27" s="15" t="str"/>
    </x:row>
    <x:row r="28" ht="31" customHeight="1">
      <x:c r="A28" s="13" t="str">
        <x:v>G023</x:v>
      </x:c>
      <x:c r="B28" s="13" t="str">
        <x:v>葡萄酒</x:v>
      </x:c>
      <x:c r="C28" s="13" t="str">
        <x:v>酒类</x:v>
      </x:c>
      <x:c r="D28" s="27" t="n">
        <x:v>115</x:v>
      </x:c>
      <x:c r="E28" s="42" t="n">
        <x:v>1</x:v>
      </x:c>
      <x:c r="F28" s="27" t="n">
        <x:v>0</x:v>
      </x:c>
      <x:c r="G28" s="13" t="str">
        <x:v>R02；R03；R04；R05；R11</x:v>
      </x:c>
      <x:c r="H28" s="13" t="str">
        <x:v>宴会；酒馆；礼品</x:v>
      </x:c>
      <x:c r="I28" s="13" t="str">
        <x:v>酒馆补货与礼赠</x:v>
      </x:c>
      <x:c r="J28" s="13" t="str">
        <x:v>普通桶装酒；名庄、陈年和强化酒另列特产。</x:v>
      </x:c>
      <x:c r="K28" s="36" t="b">
        <x:v>0</x:v>
      </x:c>
      <x:c r="L28" s="13" t="str"/>
      <x:c r="M28" s="13" t="str">
        <x:v>真实商品类别；供货分布、价格与抽象单位为原创设计</x:v>
      </x:c>
      <x:c r="N28" s="13" t="str">
        <x:v>WT-H02</x:v>
      </x:c>
    </x:row>
    <x:row r="29" ht="31" customHeight="1">
      <x:c r="A29" s="15" t="str">
        <x:v>G024</x:v>
      </x:c>
      <x:c r="B29" s="15" t="str">
        <x:v>烈酒</x:v>
      </x:c>
      <x:c r="C29" s="15" t="str">
        <x:v>酒类</x:v>
      </x:c>
      <x:c r="D29" s="30" t="n">
        <x:v>135</x:v>
      </x:c>
      <x:c r="E29" s="44" t="n">
        <x:v>1</x:v>
      </x:c>
      <x:c r="F29" s="30" t="n">
        <x:v>0</x:v>
      </x:c>
      <x:c r="G29" s="15" t="str">
        <x:v>R01；R02；R03；R04；R09</x:v>
      </x:c>
      <x:c r="H29" s="15" t="str">
        <x:v>酒馆；军港补给</x:v>
      </x:c>
      <x:c r="I29" s="15" t="str">
        <x:v>酒馆与船员庆功</x:v>
      </x:c>
      <x:c r="J29" s="15" t="str">
        <x:v>概括各地谷物或果酒蒸馏产品。</x:v>
      </x:c>
      <x:c r="K29" s="45" t="b">
        <x:v>0</x:v>
      </x:c>
      <x:c r="L29" s="15" t="str"/>
      <x:c r="M29" s="15" t="str">
        <x:v>真实商品类别；供货分布、价格与抽象单位为原创设计</x:v>
      </x:c>
      <x:c r="N29" s="15" t="str"/>
    </x:row>
    <x:row r="30" ht="31" customHeight="1">
      <x:c r="A30" s="13" t="str">
        <x:v>G025</x:v>
      </x:c>
      <x:c r="B30" s="13" t="str">
        <x:v>朗姆酒</x:v>
      </x:c>
      <x:c r="C30" s="13" t="str">
        <x:v>酒类</x:v>
      </x:c>
      <x:c r="D30" s="27" t="n">
        <x:v>155</x:v>
      </x:c>
      <x:c r="E30" s="42" t="n">
        <x:v>1</x:v>
      </x:c>
      <x:c r="F30" s="27" t="n">
        <x:v>0</x:v>
      </x:c>
      <x:c r="G30" s="13" t="str">
        <x:v>R04；R05；R10；R11</x:v>
      </x:c>
      <x:c r="H30" s="13" t="str">
        <x:v>酒馆；军港补给</x:v>
      </x:c>
      <x:c r="I30" s="13" t="str">
        <x:v>船员庆功与酒馆订单</x:v>
      </x:c>
      <x:c r="J30" s="13" t="str">
        <x:v>甘蔗产业的另一条高附加值航线。</x:v>
      </x:c>
      <x:c r="K30" s="36" t="b">
        <x:v>0</x:v>
      </x:c>
      <x:c r="L30" s="13" t="str"/>
      <x:c r="M30" s="13" t="str">
        <x:v>真实商品类别；供货分布、价格与抽象单位为原创设计</x:v>
      </x:c>
      <x:c r="N30" s="13" t="str"/>
    </x:row>
    <x:row r="31" ht="31" customHeight="1">
      <x:c r="A31" s="15" t="str">
        <x:v>G026</x:v>
      </x:c>
      <x:c r="B31" s="15" t="str">
        <x:v>啤酒</x:v>
      </x:c>
      <x:c r="C31" s="15" t="str">
        <x:v>酒类</x:v>
      </x:c>
      <x:c r="D31" s="30" t="n">
        <x:v>78</x:v>
      </x:c>
      <x:c r="E31" s="44" t="n">
        <x:v>1</x:v>
      </x:c>
      <x:c r="F31" s="30" t="n">
        <x:v>45</x:v>
      </x:c>
      <x:c r="G31" s="15" t="str">
        <x:v>R01；R02</x:v>
      </x:c>
      <x:c r="H31" s="15" t="str">
        <x:v>酒馆；城市消费</x:v>
      </x:c>
      <x:c r="I31" s="15" t="str">
        <x:v>短程酒馆补货</x:v>
      </x:c>
      <x:c r="J31" s="15" t="str">
        <x:v>保鲜期短，鼓励沿海周转而非绕行全世界。</x:v>
      </x:c>
      <x:c r="K31" s="45" t="b">
        <x:v>0</x:v>
      </x:c>
      <x:c r="L31" s="15" t="str"/>
      <x:c r="M31" s="15" t="str">
        <x:v>真实商品类别；供货分布、价格与抽象单位为原创设计</x:v>
      </x:c>
      <x:c r="N31" s="15" t="str"/>
    </x:row>
    <x:row r="32" ht="31" customHeight="1">
      <x:c r="A32" s="13" t="str">
        <x:v>G027</x:v>
      </x:c>
      <x:c r="B32" s="13" t="str">
        <x:v>清酒</x:v>
      </x:c>
      <x:c r="C32" s="13" t="str">
        <x:v>酒类</x:v>
      </x:c>
      <x:c r="D32" s="27" t="n">
        <x:v>150</x:v>
      </x:c>
      <x:c r="E32" s="42" t="n">
        <x:v>1</x:v>
      </x:c>
      <x:c r="F32" s="27" t="n">
        <x:v>100</x:v>
      </x:c>
      <x:c r="G32" s="13" t="str">
        <x:v>R09</x:v>
      </x:c>
      <x:c r="H32" s="13" t="str">
        <x:v>酒馆；宴会；礼品</x:v>
      </x:c>
      <x:c r="I32" s="13" t="str">
        <x:v>东亚酒馆与礼赠</x:v>
      </x:c>
      <x:c r="J32" s="13" t="str">
        <x:v>精白米、清水和工坊经验装进木桶。</x:v>
      </x:c>
      <x:c r="K32" s="36" t="b">
        <x:v>0</x:v>
      </x:c>
      <x:c r="L32" s="13" t="str"/>
      <x:c r="M32" s="13" t="str">
        <x:v>真实商品类别；供货分布、价格与抽象单位为原创设计</x:v>
      </x:c>
      <x:c r="N32" s="13" t="str"/>
    </x:row>
    <x:row r="33" ht="31" customHeight="1">
      <x:c r="A33" s="15" t="str">
        <x:v>G028</x:v>
      </x:c>
      <x:c r="B33" s="15" t="str">
        <x:v>马黛茶</x:v>
      </x:c>
      <x:c r="C33" s="15" t="str">
        <x:v>嗜好品</x:v>
      </x:c>
      <x:c r="D33" s="30" t="n">
        <x:v>125</x:v>
      </x:c>
      <x:c r="E33" s="44" t="n">
        <x:v>1</x:v>
      </x:c>
      <x:c r="F33" s="30" t="n">
        <x:v>300</x:v>
      </x:c>
      <x:c r="G33" s="15" t="str">
        <x:v>R11</x:v>
      </x:c>
      <x:c r="H33" s="15" t="str">
        <x:v>城市消费；远航补给</x:v>
      </x:c>
      <x:c r="I33" s="15" t="str">
        <x:v>南美城镇嗜好品</x:v>
      </x:c>
      <x:c r="J33" s="15" t="str">
        <x:v>拉普拉塔商路从内陆带来的绿色饮品。</x:v>
      </x:c>
      <x:c r="K33" s="45" t="b">
        <x:v>0</x:v>
      </x:c>
      <x:c r="L33" s="15" t="str"/>
      <x:c r="M33" s="15" t="str">
        <x:v>真实商品类别；供货分布、价格与抽象单位为原创设计</x:v>
      </x:c>
      <x:c r="N33" s="15" t="str"/>
    </x:row>
    <x:row r="34" ht="31" customHeight="1">
      <x:c r="A34" s="13" t="str">
        <x:v>G029</x:v>
      </x:c>
      <x:c r="B34" s="13" t="str">
        <x:v>胡椒</x:v>
      </x:c>
      <x:c r="C34" s="13" t="str">
        <x:v>香辛料</x:v>
      </x:c>
      <x:c r="D34" s="27" t="n">
        <x:v>260</x:v>
      </x:c>
      <x:c r="E34" s="42" t="n">
        <x:v>1</x:v>
      </x:c>
      <x:c r="F34" s="27" t="n">
        <x:v>540</x:v>
      </x:c>
      <x:c r="G34" s="13" t="str">
        <x:v>R07；R08</x:v>
      </x:c>
      <x:c r="H34" s="13" t="str">
        <x:v>烹饪；宴会；药房</x:v>
      </x:c>
      <x:c r="I34" s="13" t="str">
        <x:v>料理与高价值贸易</x:v>
      </x:c>
      <x:c r="J34" s="13" t="str">
        <x:v>马拉巴尔和群岛产地推动季风商路。</x:v>
      </x:c>
      <x:c r="K34" s="36" t="b">
        <x:v>0</x:v>
      </x:c>
      <x:c r="L34" s="13" t="str"/>
      <x:c r="M34" s="13" t="str">
        <x:v>真实商品类别；供货分布、价格与抽象单位为原创设计</x:v>
      </x:c>
      <x:c r="N34" s="13" t="str"/>
    </x:row>
    <x:row r="35" ht="31" customHeight="1">
      <x:c r="A35" s="15" t="str">
        <x:v>G030</x:v>
      </x:c>
      <x:c r="B35" s="15" t="str">
        <x:v>丁香</x:v>
      </x:c>
      <x:c r="C35" s="15" t="str">
        <x:v>香辛料</x:v>
      </x:c>
      <x:c r="D35" s="30" t="n">
        <x:v>520</x:v>
      </x:c>
      <x:c r="E35" s="44" t="n">
        <x:v>1</x:v>
      </x:c>
      <x:c r="F35" s="30" t="n">
        <x:v>540</x:v>
      </x:c>
      <x:c r="G35" s="15" t="str">
        <x:v>R08</x:v>
      </x:c>
      <x:c r="H35" s="15" t="str">
        <x:v>烹饪；药房；宴会</x:v>
      </x:c>
      <x:c r="I35" s="15" t="str">
        <x:v>料理、药房与礼品</x:v>
      </x:c>
      <x:c r="J35" s="15" t="str">
        <x:v>主产源锁定马鲁古岛链；非产区出售时按转口货处理。</x:v>
      </x:c>
      <x:c r="K35" s="45" t="b">
        <x:v>0</x:v>
      </x:c>
      <x:c r="L35" s="15" t="str"/>
      <x:c r="M35" s="15" t="str">
        <x:v>真实商品类别；供货分布、价格与抽象单位为原创设计</x:v>
      </x:c>
      <x:c r="N35" s="15" t="str"/>
    </x:row>
    <x:row r="36" ht="31" customHeight="1">
      <x:c r="A36" s="13" t="str">
        <x:v>G031</x:v>
      </x:c>
      <x:c r="B36" s="13" t="str">
        <x:v>肉豆蔻</x:v>
      </x:c>
      <x:c r="C36" s="13" t="str">
        <x:v>香辛料</x:v>
      </x:c>
      <x:c r="D36" s="27" t="n">
        <x:v>490</x:v>
      </x:c>
      <x:c r="E36" s="42" t="n">
        <x:v>1</x:v>
      </x:c>
      <x:c r="F36" s="27" t="n">
        <x:v>540</x:v>
      </x:c>
      <x:c r="G36" s="13" t="str">
        <x:v>R08</x:v>
      </x:c>
      <x:c r="H36" s="13" t="str">
        <x:v>烹饪；药房；宴会</x:v>
      </x:c>
      <x:c r="I36" s="13" t="str">
        <x:v>调味与药房订单</x:v>
      </x:c>
      <x:c r="J36" s="13" t="str">
        <x:v>班达群岛的高价值种子；D4特产另区分花衣。</x:v>
      </x:c>
      <x:c r="K36" s="36" t="b">
        <x:v>0</x:v>
      </x:c>
      <x:c r="L36" s="13" t="str"/>
      <x:c r="M36" s="13" t="str">
        <x:v>真实商品类别；供货分布、价格与抽象单位为原创设计</x:v>
      </x:c>
      <x:c r="N36" s="13" t="str">
        <x:v>WT-H12；WT-H13</x:v>
      </x:c>
    </x:row>
    <x:row r="37" ht="31" customHeight="1">
      <x:c r="A37" s="15" t="str">
        <x:v>G032</x:v>
      </x:c>
      <x:c r="B37" s="15" t="str">
        <x:v>桂皮</x:v>
      </x:c>
      <x:c r="C37" s="15" t="str">
        <x:v>香辛料</x:v>
      </x:c>
      <x:c r="D37" s="30" t="n">
        <x:v>310</x:v>
      </x:c>
      <x:c r="E37" s="44" t="n">
        <x:v>1</x:v>
      </x:c>
      <x:c r="F37" s="30" t="n">
        <x:v>540</x:v>
      </x:c>
      <x:c r="G37" s="15" t="str">
        <x:v>R07；R08；R09</x:v>
      </x:c>
      <x:c r="H37" s="15" t="str">
        <x:v>烹饪；甜食；药房</x:v>
      </x:c>
      <x:c r="I37" s="15" t="str">
        <x:v>甜食与香辛料配方</x:v>
      </x:c>
      <x:c r="J37" s="15" t="str">
        <x:v>涵盖桂皮类货物，锡兰细皮另有命名特产。</x:v>
      </x:c>
      <x:c r="K37" s="45" t="b">
        <x:v>0</x:v>
      </x:c>
      <x:c r="L37" s="15" t="str"/>
      <x:c r="M37" s="15" t="str">
        <x:v>真实商品类别；供货分布、价格与抽象单位为原创设计</x:v>
      </x:c>
      <x:c r="N37" s="15" t="str"/>
    </x:row>
    <x:row r="38" ht="31" customHeight="1">
      <x:c r="A38" s="13" t="str">
        <x:v>G033</x:v>
      </x:c>
      <x:c r="B38" s="13" t="str">
        <x:v>生姜</x:v>
      </x:c>
      <x:c r="C38" s="13" t="str">
        <x:v>香辛料</x:v>
      </x:c>
      <x:c r="D38" s="27" t="n">
        <x:v>140</x:v>
      </x:c>
      <x:c r="E38" s="42" t="n">
        <x:v>1</x:v>
      </x:c>
      <x:c r="F38" s="27" t="n">
        <x:v>120</x:v>
      </x:c>
      <x:c r="G38" s="13" t="str">
        <x:v>R07；R08；R09；R10</x:v>
      </x:c>
      <x:c r="H38" s="13" t="str">
        <x:v>烹饪；药房；酒馆</x:v>
      </x:c>
      <x:c r="I38" s="13" t="str">
        <x:v>料理、糖渍与药房</x:v>
      </x:c>
      <x:c r="J38" s="13" t="str">
        <x:v>本货为干姜，鲜姜订单以品质修正。</x:v>
      </x:c>
      <x:c r="K38" s="36" t="b">
        <x:v>0</x:v>
      </x:c>
      <x:c r="L38" s="13" t="str"/>
      <x:c r="M38" s="13" t="str">
        <x:v>真实商品类别；供货分布、价格与抽象单位为原创设计</x:v>
      </x:c>
      <x:c r="N38" s="13" t="str"/>
    </x:row>
    <x:row r="39" ht="31" customHeight="1">
      <x:c r="A39" s="15" t="str">
        <x:v>G034</x:v>
      </x:c>
      <x:c r="B39" s="15" t="str">
        <x:v>藏红花</x:v>
      </x:c>
      <x:c r="C39" s="15" t="str">
        <x:v>香辛料</x:v>
      </x:c>
      <x:c r="D39" s="30" t="n">
        <x:v>860</x:v>
      </x:c>
      <x:c r="E39" s="44" t="n">
        <x:v>1</x:v>
      </x:c>
      <x:c r="F39" s="30" t="n">
        <x:v>360</x:v>
      </x:c>
      <x:c r="G39" s="15" t="str">
        <x:v>R02；R03；R06</x:v>
      </x:c>
      <x:c r="H39" s="15" t="str">
        <x:v>宴会；宫廷；染织</x:v>
      </x:c>
      <x:c r="I39" s="15" t="str">
        <x:v>烹饪与染色</x:v>
      </x:c>
      <x:c r="J39" s="15" t="str">
        <x:v>少量花丝聚成贵重密封货匣。</x:v>
      </x:c>
      <x:c r="K39" s="45" t="b">
        <x:v>0</x:v>
      </x:c>
      <x:c r="L39" s="15" t="str"/>
      <x:c r="M39" s="15" t="str">
        <x:v>真实商品类别；供货分布、价格与抽象单位为原创设计</x:v>
      </x:c>
      <x:c r="N39" s="15" t="str"/>
    </x:row>
    <x:row r="40" ht="31" customHeight="1">
      <x:c r="A40" s="13" t="str">
        <x:v>G035</x:v>
      </x:c>
      <x:c r="B40" s="13" t="str">
        <x:v>豆蔻</x:v>
      </x:c>
      <x:c r="C40" s="13" t="str">
        <x:v>香辛料</x:v>
      </x:c>
      <x:c r="D40" s="27" t="n">
        <x:v>340</x:v>
      </x:c>
      <x:c r="E40" s="42" t="n">
        <x:v>1</x:v>
      </x:c>
      <x:c r="F40" s="27" t="n">
        <x:v>540</x:v>
      </x:c>
      <x:c r="G40" s="13" t="str">
        <x:v>R07</x:v>
      </x:c>
      <x:c r="H40" s="13" t="str">
        <x:v>咖啡馆；烹饪；药房</x:v>
      </x:c>
      <x:c r="I40" s="13" t="str">
        <x:v>咖啡调香与料理</x:v>
      </x:c>
      <x:c r="J40" s="13" t="str">
        <x:v>西高止山产地与阿拉伯消费市场互相吸引。</x:v>
      </x:c>
      <x:c r="K40" s="36" t="b">
        <x:v>0</x:v>
      </x:c>
      <x:c r="L40" s="13" t="str"/>
      <x:c r="M40" s="13" t="str">
        <x:v>真实商品类别；供货分布、价格与抽象单位为原创设计</x:v>
      </x:c>
      <x:c r="N40" s="13" t="str"/>
    </x:row>
    <x:row r="41" ht="31" customHeight="1">
      <x:c r="A41" s="15" t="str">
        <x:v>G036</x:v>
      </x:c>
      <x:c r="B41" s="15" t="str">
        <x:v>香草</x:v>
      </x:c>
      <x:c r="C41" s="15" t="str">
        <x:v>香辛料</x:v>
      </x:c>
      <x:c r="D41" s="30" t="n">
        <x:v>630</x:v>
      </x:c>
      <x:c r="E41" s="44" t="n">
        <x:v>1</x:v>
      </x:c>
      <x:c r="F41" s="30" t="n">
        <x:v>300</x:v>
      </x:c>
      <x:c r="G41" s="15" t="str">
        <x:v>R10</x:v>
      </x:c>
      <x:c r="H41" s="15" t="str">
        <x:v>甜食；宫廷；宴会</x:v>
      </x:c>
      <x:c r="I41" s="15" t="str">
        <x:v>甜点与巧克力调香</x:v>
      </x:c>
      <x:c r="J41" s="15" t="str">
        <x:v>本作将美洲兰荚香草保留在原产贸易圈。</x:v>
      </x:c>
      <x:c r="K41" s="45" t="b">
        <x:v>0</x:v>
      </x:c>
      <x:c r="L41" s="15" t="str"/>
      <x:c r="M41" s="15" t="str">
        <x:v>真实商品类别；供货分布、价格与抽象单位为原创设计</x:v>
      </x:c>
      <x:c r="N41" s="15" t="str"/>
    </x:row>
    <x:row r="42" ht="31" customHeight="1">
      <x:c r="A42" s="13" t="str">
        <x:v>G037</x:v>
      </x:c>
      <x:c r="B42" s="13" t="str">
        <x:v>辣椒</x:v>
      </x:c>
      <x:c r="C42" s="13" t="str">
        <x:v>香辛料</x:v>
      </x:c>
      <x:c r="D42" s="27" t="n">
        <x:v>125</x:v>
      </x:c>
      <x:c r="E42" s="42" t="n">
        <x:v>1</x:v>
      </x:c>
      <x:c r="F42" s="27" t="n">
        <x:v>300</x:v>
      </x:c>
      <x:c r="G42" s="13" t="str">
        <x:v>R07；R08；R09；R10；R11</x:v>
      </x:c>
      <x:c r="H42" s="13" t="str">
        <x:v>烹饪；城市消费</x:v>
      </x:c>
      <x:c r="I42" s="13" t="str">
        <x:v>料理与腌制</x:v>
      </x:c>
      <x:c r="J42" s="13" t="str">
        <x:v>采用传播后的近世世界，初次介绍仍可触发流行事件。</x:v>
      </x:c>
      <x:c r="K42" s="36" t="b">
        <x:v>0</x:v>
      </x:c>
      <x:c r="L42" s="13" t="str"/>
      <x:c r="M42" s="13" t="str">
        <x:v>真实商品类别；供货分布、价格与抽象单位为原创设计</x:v>
      </x:c>
      <x:c r="N42" s="13" t="str"/>
    </x:row>
    <x:row r="43" ht="31" customHeight="1">
      <x:c r="A43" s="15" t="str">
        <x:v>G038</x:v>
      </x:c>
      <x:c r="B43" s="15" t="str">
        <x:v>原棉</x:v>
      </x:c>
      <x:c r="C43" s="15" t="str">
        <x:v>纤维</x:v>
      </x:c>
      <x:c r="D43" s="30" t="n">
        <x:v>95</x:v>
      </x:c>
      <x:c r="E43" s="44" t="n">
        <x:v>1</x:v>
      </x:c>
      <x:c r="F43" s="30" t="n">
        <x:v>0</x:v>
      </x:c>
      <x:c r="G43" s="15" t="str">
        <x:v>R04；R05；R07；R08；R10；R11</x:v>
      </x:c>
      <x:c r="H43" s="15" t="str">
        <x:v>纺织工坊；人口增长</x:v>
      </x:c>
      <x:c r="I43" s="15" t="str">
        <x:v>棉布加工原料</x:v>
      </x:c>
      <x:c r="J43" s="15" t="str">
        <x:v>原料贸易看吨位，织物贸易看加工与目的地。</x:v>
      </x:c>
      <x:c r="K43" s="45" t="b">
        <x:v>0</x:v>
      </x:c>
      <x:c r="L43" s="15" t="str"/>
      <x:c r="M43" s="15" t="str">
        <x:v>真实商品类别；供货分布、价格与抽象单位为原创设计</x:v>
      </x:c>
      <x:c r="N43" s="15" t="str">
        <x:v>WT-H09</x:v>
      </x:c>
    </x:row>
    <x:row r="44" ht="31" customHeight="1">
      <x:c r="A44" s="13" t="str">
        <x:v>G039</x:v>
      </x:c>
      <x:c r="B44" s="13" t="str">
        <x:v>羊毛</x:v>
      </x:c>
      <x:c r="C44" s="13" t="str">
        <x:v>纤维</x:v>
      </x:c>
      <x:c r="D44" s="27" t="n">
        <x:v>100</x:v>
      </x:c>
      <x:c r="E44" s="42" t="n">
        <x:v>1</x:v>
      </x:c>
      <x:c r="F44" s="27" t="n">
        <x:v>0</x:v>
      </x:c>
      <x:c r="G44" s="13" t="str">
        <x:v>R01；R02；R03；R11</x:v>
      </x:c>
      <x:c r="H44" s="13" t="str">
        <x:v>纺织工坊；寒地衣料</x:v>
      </x:c>
      <x:c r="I44" s="13" t="str">
        <x:v>毛呢原料</x:v>
      </x:c>
      <x:c r="J44" s="13" t="str">
        <x:v>以清洗压包的原毛计货。</x:v>
      </x:c>
      <x:c r="K44" s="36" t="b">
        <x:v>0</x:v>
      </x:c>
      <x:c r="L44" s="13" t="str"/>
      <x:c r="M44" s="13" t="str">
        <x:v>真实商品类别；供货分布、价格与抽象单位为原创设计</x:v>
      </x:c>
      <x:c r="N44" s="13" t="str"/>
    </x:row>
    <x:row r="45" ht="31" customHeight="1">
      <x:c r="A45" s="15" t="str">
        <x:v>G040</x:v>
      </x:c>
      <x:c r="B45" s="15" t="str">
        <x:v>亚麻</x:v>
      </x:c>
      <x:c r="C45" s="15" t="str">
        <x:v>纤维</x:v>
      </x:c>
      <x:c r="D45" s="30" t="n">
        <x:v>85</x:v>
      </x:c>
      <x:c r="E45" s="44" t="n">
        <x:v>1</x:v>
      </x:c>
      <x:c r="F45" s="30" t="n">
        <x:v>0</x:v>
      </x:c>
      <x:c r="G45" s="15" t="str">
        <x:v>R01；R02；R03</x:v>
      </x:c>
      <x:c r="H45" s="15" t="str">
        <x:v>纺织工坊；船厂</x:v>
      </x:c>
      <x:c r="I45" s="15" t="str">
        <x:v>麻布与帆布原料</x:v>
      </x:c>
      <x:c r="J45" s="15" t="str">
        <x:v>北方田地输往全海域船厂。</x:v>
      </x:c>
      <x:c r="K45" s="45" t="b">
        <x:v>0</x:v>
      </x:c>
      <x:c r="L45" s="15" t="str"/>
      <x:c r="M45" s="15" t="str">
        <x:v>真实商品类别；供货分布、价格与抽象单位为原创设计</x:v>
      </x:c>
      <x:c r="N45" s="15" t="str"/>
    </x:row>
    <x:row r="46" ht="31" customHeight="1">
      <x:c r="A46" s="13" t="str">
        <x:v>G041</x:v>
      </x:c>
      <x:c r="B46" s="13" t="str">
        <x:v>大麻纤维</x:v>
      </x:c>
      <x:c r="C46" s="13" t="str">
        <x:v>纤维</x:v>
      </x:c>
      <x:c r="D46" s="27" t="n">
        <x:v>70</x:v>
      </x:c>
      <x:c r="E46" s="42" t="n">
        <x:v>1</x:v>
      </x:c>
      <x:c r="F46" s="27" t="n">
        <x:v>0</x:v>
      </x:c>
      <x:c r="G46" s="13" t="str">
        <x:v>R01；R02；R06；R09</x:v>
      </x:c>
      <x:c r="H46" s="13" t="str">
        <x:v>船厂；索具工坊</x:v>
      </x:c>
      <x:c r="I46" s="13" t="str">
        <x:v>绳索与帆具</x:v>
      </x:c>
      <x:c r="J46" s="13" t="str">
        <x:v>这里指工业用植物纤维。</x:v>
      </x:c>
      <x:c r="K46" s="36" t="b">
        <x:v>0</x:v>
      </x:c>
      <x:c r="L46" s="13" t="str"/>
      <x:c r="M46" s="13" t="str">
        <x:v>真实商品类别；供货分布、价格与抽象单位为原创设计</x:v>
      </x:c>
      <x:c r="N46" s="13" t="str"/>
    </x:row>
    <x:row r="47" ht="31" customHeight="1">
      <x:c r="A47" s="15" t="str">
        <x:v>G042</x:v>
      </x:c>
      <x:c r="B47" s="15" t="str">
        <x:v>生丝</x:v>
      </x:c>
      <x:c r="C47" s="15" t="str">
        <x:v>纤维</x:v>
      </x:c>
      <x:c r="D47" s="30" t="n">
        <x:v>390</x:v>
      </x:c>
      <x:c r="E47" s="44" t="n">
        <x:v>1</x:v>
      </x:c>
      <x:c r="F47" s="30" t="n">
        <x:v>0</x:v>
      </x:c>
      <x:c r="G47" s="15" t="str">
        <x:v>R03；R06；R07；R08；R09</x:v>
      </x:c>
      <x:c r="H47" s="15" t="str">
        <x:v>纺织工坊；宫廷</x:v>
      </x:c>
      <x:c r="I47" s="15" t="str">
        <x:v>丝绸与锦缎原料</x:v>
      </x:c>
      <x:c r="J47" s="15" t="str">
        <x:v>干燥木箱中的柔亮长丝。</x:v>
      </x:c>
      <x:c r="K47" s="45" t="b">
        <x:v>0</x:v>
      </x:c>
      <x:c r="L47" s="15" t="str"/>
      <x:c r="M47" s="15" t="str">
        <x:v>真实商品类别；供货分布、价格与抽象单位为原创设计</x:v>
      </x:c>
      <x:c r="N47" s="15" t="str">
        <x:v>WT-H09</x:v>
      </x:c>
    </x:row>
    <x:row r="48" ht="31" customHeight="1">
      <x:c r="A48" s="13" t="str">
        <x:v>G043</x:v>
      </x:c>
      <x:c r="B48" s="13" t="str">
        <x:v>棉布</x:v>
      </x:c>
      <x:c r="C48" s="13" t="str">
        <x:v>织物</x:v>
      </x:c>
      <x:c r="D48" s="27" t="n">
        <x:v>160</x:v>
      </x:c>
      <x:c r="E48" s="42" t="n">
        <x:v>1</x:v>
      </x:c>
      <x:c r="F48" s="27" t="n">
        <x:v>0</x:v>
      </x:c>
      <x:c r="G48" s="13" t="str">
        <x:v>R03；R04；R07；R08；R09；R10</x:v>
      </x:c>
      <x:c r="H48" s="13" t="str">
        <x:v>城市衣料；群岛贸易</x:v>
      </x:c>
      <x:c r="I48" s="13" t="str">
        <x:v>衣料、订单与礼物</x:v>
      </x:c>
      <x:c r="J48" s="13" t="str">
        <x:v>印度印染与各地棉作之间形成多段利润。</x:v>
      </x:c>
      <x:c r="K48" s="36" t="b">
        <x:v>0</x:v>
      </x:c>
      <x:c r="L48" s="13" t="str"/>
      <x:c r="M48" s="13" t="str">
        <x:v>真实商品类别；供货分布、价格与抽象单位为原创设计</x:v>
      </x:c>
      <x:c r="N48" s="13" t="str">
        <x:v>WT-H09；WT-H10</x:v>
      </x:c>
    </x:row>
    <x:row r="49" ht="31" customHeight="1">
      <x:c r="A49" s="15" t="str">
        <x:v>G044</x:v>
      </x:c>
      <x:c r="B49" s="15" t="str">
        <x:v>麻布</x:v>
      </x:c>
      <x:c r="C49" s="15" t="str">
        <x:v>织物</x:v>
      </x:c>
      <x:c r="D49" s="30" t="n">
        <x:v>145</x:v>
      </x:c>
      <x:c r="E49" s="44" t="n">
        <x:v>1</x:v>
      </x:c>
      <x:c r="F49" s="30" t="n">
        <x:v>0</x:v>
      </x:c>
      <x:c r="G49" s="15" t="str">
        <x:v>R01；R02；R03；R09</x:v>
      </x:c>
      <x:c r="H49" s="15" t="str">
        <x:v>城市衣料；船厂</x:v>
      </x:c>
      <x:c r="I49" s="15" t="str">
        <x:v>衣料、货袋与普通帆布</x:v>
      </x:c>
      <x:c r="J49" s="15" t="str">
        <x:v>加工稳定，是成熟港口的可靠货。</x:v>
      </x:c>
      <x:c r="K49" s="45" t="b">
        <x:v>0</x:v>
      </x:c>
      <x:c r="L49" s="15" t="str"/>
      <x:c r="M49" s="15" t="str">
        <x:v>真实商品类别；供货分布、价格与抽象单位为原创设计</x:v>
      </x:c>
      <x:c r="N49" s="15" t="str"/>
    </x:row>
    <x:row r="50" ht="31" customHeight="1">
      <x:c r="A50" s="13" t="str">
        <x:v>G045</x:v>
      </x:c>
      <x:c r="B50" s="13" t="str">
        <x:v>毛呢</x:v>
      </x:c>
      <x:c r="C50" s="13" t="str">
        <x:v>织物</x:v>
      </x:c>
      <x:c r="D50" s="27" t="n">
        <x:v>260</x:v>
      </x:c>
      <x:c r="E50" s="42" t="n">
        <x:v>1</x:v>
      </x:c>
      <x:c r="F50" s="27" t="n">
        <x:v>0</x:v>
      </x:c>
      <x:c r="G50" s="13" t="str">
        <x:v>R01；R02；R03</x:v>
      </x:c>
      <x:c r="H50" s="13" t="str">
        <x:v>寒地衣料；军港补给</x:v>
      </x:c>
      <x:c r="I50" s="13" t="str">
        <x:v>衣料与制服订单</x:v>
      </x:c>
      <x:c r="J50" s="13" t="str">
        <x:v>重型货包承载北海工坊的名声。</x:v>
      </x:c>
      <x:c r="K50" s="36" t="b">
        <x:v>0</x:v>
      </x:c>
      <x:c r="L50" s="13" t="str"/>
      <x:c r="M50" s="13" t="str">
        <x:v>真实商品类别；供货分布、价格与抽象单位为原创设计</x:v>
      </x:c>
      <x:c r="N50" s="13" t="str"/>
    </x:row>
    <x:row r="51" ht="31" customHeight="1">
      <x:c r="A51" s="15" t="str">
        <x:v>G046</x:v>
      </x:c>
      <x:c r="B51" s="15" t="str">
        <x:v>丝绸</x:v>
      </x:c>
      <x:c r="C51" s="15" t="str">
        <x:v>织物</x:v>
      </x:c>
      <x:c r="D51" s="30" t="n">
        <x:v>620</x:v>
      </x:c>
      <x:c r="E51" s="44" t="n">
        <x:v>1</x:v>
      </x:c>
      <x:c r="F51" s="30" t="n">
        <x:v>0</x:v>
      </x:c>
      <x:c r="G51" s="15" t="str">
        <x:v>R03；R06；R07；R08；R09</x:v>
      </x:c>
      <x:c r="H51" s="15" t="str">
        <x:v>宫廷；宴会；奢华衣料</x:v>
      </x:c>
      <x:c r="I51" s="15" t="str">
        <x:v>高端衣料与礼赠</x:v>
      </x:c>
      <x:c r="J51" s="15" t="str">
        <x:v>源于真实工艺的通用丝织商品。</x:v>
      </x:c>
      <x:c r="K51" s="45" t="b">
        <x:v>0</x:v>
      </x:c>
      <x:c r="L51" s="15" t="str"/>
      <x:c r="M51" s="15" t="str">
        <x:v>真实商品类别；供货分布、价格与抽象单位为原创设计</x:v>
      </x:c>
      <x:c r="N51" s="15" t="str">
        <x:v>WT-H09</x:v>
      </x:c>
    </x:row>
    <x:row r="52" ht="31" customHeight="1">
      <x:c r="A52" s="13" t="str">
        <x:v>G047</x:v>
      </x:c>
      <x:c r="B52" s="13" t="str">
        <x:v>锦缎</x:v>
      </x:c>
      <x:c r="C52" s="13" t="str">
        <x:v>织物</x:v>
      </x:c>
      <x:c r="D52" s="27" t="n">
        <x:v>850</x:v>
      </x:c>
      <x:c r="E52" s="42" t="n">
        <x:v>1</x:v>
      </x:c>
      <x:c r="F52" s="27" t="n">
        <x:v>0</x:v>
      </x:c>
      <x:c r="G52" s="13" t="str">
        <x:v>R03；R06；R07；R08；R09</x:v>
      </x:c>
      <x:c r="H52" s="13" t="str">
        <x:v>宫廷；奢华衣料；礼品</x:v>
      </x:c>
      <x:c r="I52" s="13" t="str">
        <x:v>高级订单与角色服饰材料</x:v>
      </x:c>
      <x:c r="J52" s="13" t="str">
        <x:v>复杂纹样与金属线工艺由港口工坊发展解锁。</x:v>
      </x:c>
      <x:c r="K52" s="36" t="b">
        <x:v>0</x:v>
      </x:c>
      <x:c r="L52" s="13" t="str"/>
      <x:c r="M52" s="13" t="str">
        <x:v>真实商品类别；供货分布、价格与抽象单位为原创设计</x:v>
      </x:c>
      <x:c r="N52" s="13" t="str">
        <x:v>WT-H09</x:v>
      </x:c>
    </x:row>
    <x:row r="53" ht="31" customHeight="1">
      <x:c r="A53" s="15" t="str">
        <x:v>G048</x:v>
      </x:c>
      <x:c r="B53" s="15" t="str">
        <x:v>天鹅绒</x:v>
      </x:c>
      <x:c r="C53" s="15" t="str">
        <x:v>织物</x:v>
      </x:c>
      <x:c r="D53" s="30" t="n">
        <x:v>720</x:v>
      </x:c>
      <x:c r="E53" s="44" t="n">
        <x:v>1</x:v>
      </x:c>
      <x:c r="F53" s="30" t="n">
        <x:v>0</x:v>
      </x:c>
      <x:c r="G53" s="15" t="str">
        <x:v>R02；R03；R06；R07</x:v>
      </x:c>
      <x:c r="H53" s="15" t="str">
        <x:v>宫廷；奢华衣料</x:v>
      </x:c>
      <x:c r="I53" s="15" t="str">
        <x:v>礼装与室内织物</x:v>
      </x:c>
      <x:c r="J53" s="15" t="str">
        <x:v>厚重光泽在灯火下最显昂贵。</x:v>
      </x:c>
      <x:c r="K53" s="45" t="b">
        <x:v>0</x:v>
      </x:c>
      <x:c r="L53" s="15" t="str"/>
      <x:c r="M53" s="15" t="str">
        <x:v>真实商品类别；供货分布、价格与抽象单位为原创设计</x:v>
      </x:c>
      <x:c r="N53" s="15" t="str"/>
    </x:row>
    <x:row r="54" ht="31" customHeight="1">
      <x:c r="A54" s="13" t="str">
        <x:v>G049</x:v>
      </x:c>
      <x:c r="B54" s="13" t="str">
        <x:v>靛蓝</x:v>
      </x:c>
      <x:c r="C54" s="13" t="str">
        <x:v>染料</x:v>
      </x:c>
      <x:c r="D54" s="27" t="n">
        <x:v>280</x:v>
      </x:c>
      <x:c r="E54" s="42" t="n">
        <x:v>1</x:v>
      </x:c>
      <x:c r="F54" s="27" t="n">
        <x:v>0</x:v>
      </x:c>
      <x:c r="G54" s="13" t="str">
        <x:v>R04；R07；R08；R09；R10</x:v>
      </x:c>
      <x:c r="H54" s="13" t="str">
        <x:v>染织工坊；船帆涂色</x:v>
      </x:c>
      <x:c r="I54" s="13" t="str">
        <x:v>染布原料</x:v>
      </x:c>
      <x:c r="J54" s="13" t="str">
        <x:v>压成蓝饼装箱，潮湿会损品质而不直接腐坏。</x:v>
      </x:c>
      <x:c r="K54" s="36" t="b">
        <x:v>0</x:v>
      </x:c>
      <x:c r="L54" s="13" t="str"/>
      <x:c r="M54" s="13" t="str">
        <x:v>真实商品类别；供货分布、价格与抽象单位为原创设计</x:v>
      </x:c>
      <x:c r="N54" s="13" t="str"/>
    </x:row>
    <x:row r="55" ht="31" customHeight="1">
      <x:c r="A55" s="15" t="str">
        <x:v>G050</x:v>
      </x:c>
      <x:c r="B55" s="15" t="str">
        <x:v>茜草染料</x:v>
      </x:c>
      <x:c r="C55" s="15" t="str">
        <x:v>染料</x:v>
      </x:c>
      <x:c r="D55" s="30" t="n">
        <x:v>175</x:v>
      </x:c>
      <x:c r="E55" s="44" t="n">
        <x:v>1</x:v>
      </x:c>
      <x:c r="F55" s="30" t="n">
        <x:v>0</x:v>
      </x:c>
      <x:c r="G55" s="15" t="str">
        <x:v>R02；R03；R06</x:v>
      </x:c>
      <x:c r="H55" s="15" t="str">
        <x:v>染织工坊；军需工坊</x:v>
      </x:c>
      <x:c r="I55" s="15" t="str">
        <x:v>红色衣料原料</x:v>
      </x:c>
      <x:c r="J55" s="15" t="str">
        <x:v>通用植物红染料，与美洲虫红形成等级差。</x:v>
      </x:c>
      <x:c r="K55" s="45" t="b">
        <x:v>0</x:v>
      </x:c>
      <x:c r="L55" s="15" t="str"/>
      <x:c r="M55" s="15" t="str">
        <x:v>真实商品类别；供货分布、价格与抽象单位为原创设计</x:v>
      </x:c>
      <x:c r="N55" s="15" t="str"/>
    </x:row>
    <x:row r="56" ht="31" customHeight="1">
      <x:c r="A56" s="13" t="str">
        <x:v>G051</x:v>
      </x:c>
      <x:c r="B56" s="13" t="str">
        <x:v>胭脂虫红</x:v>
      </x:c>
      <x:c r="C56" s="13" t="str">
        <x:v>染料</x:v>
      </x:c>
      <x:c r="D56" s="27" t="n">
        <x:v>750</x:v>
      </x:c>
      <x:c r="E56" s="42" t="n">
        <x:v>1</x:v>
      </x:c>
      <x:c r="F56" s="27" t="n">
        <x:v>0</x:v>
      </x:c>
      <x:c r="G56" s="13" t="str">
        <x:v>R10；R11</x:v>
      </x:c>
      <x:c r="H56" s="13" t="str">
        <x:v>染织工坊；宫廷；画室</x:v>
      </x:c>
      <x:c r="I56" s="13" t="str">
        <x:v>高级红染料</x:v>
      </x:c>
      <x:c r="J56" s="13" t="str">
        <x:v>墨西哥与安第斯货源，地方配制品另列特产。</x:v>
      </x:c>
      <x:c r="K56" s="36" t="b">
        <x:v>0</x:v>
      </x:c>
      <x:c r="L56" s="13" t="str"/>
      <x:c r="M56" s="13" t="str">
        <x:v>真实商品类别；供货分布、价格与抽象单位为原创设计</x:v>
      </x:c>
      <x:c r="N56" s="13" t="str"/>
    </x:row>
    <x:row r="57" ht="31" customHeight="1">
      <x:c r="A57" s="15" t="str">
        <x:v>G052</x:v>
      </x:c>
      <x:c r="B57" s="15" t="str">
        <x:v>巴西红木</x:v>
      </x:c>
      <x:c r="C57" s="15" t="str">
        <x:v>木材</x:v>
      </x:c>
      <x:c r="D57" s="30" t="n">
        <x:v>310</x:v>
      </x:c>
      <x:c r="E57" s="44" t="n">
        <x:v>1</x:v>
      </x:c>
      <x:c r="F57" s="30" t="n">
        <x:v>0</x:v>
      </x:c>
      <x:c r="G57" s="15" t="str">
        <x:v>R11</x:v>
      </x:c>
      <x:c r="H57" s="15" t="str">
        <x:v>染织工坊；细木工坊</x:v>
      </x:c>
      <x:c r="I57" s="15" t="str">
        <x:v>染料木与细工材料</x:v>
      </x:c>
      <x:c r="J57" s="15" t="str">
        <x:v>以木料与染材双重用途连接巴西和欧洲。</x:v>
      </x:c>
      <x:c r="K57" s="45" t="b">
        <x:v>0</x:v>
      </x:c>
      <x:c r="L57" s="15" t="str"/>
      <x:c r="M57" s="15" t="str">
        <x:v>真实商品类别；供货分布、价格与抽象单位为原创设计</x:v>
      </x:c>
      <x:c r="N57" s="15" t="str"/>
    </x:row>
    <x:row r="58" ht="31" customHeight="1">
      <x:c r="A58" s="13" t="str">
        <x:v>G053</x:v>
      </x:c>
      <x:c r="B58" s="13" t="str">
        <x:v>黑檀木</x:v>
      </x:c>
      <x:c r="C58" s="13" t="str">
        <x:v>木材</x:v>
      </x:c>
      <x:c r="D58" s="27" t="n">
        <x:v>360</x:v>
      </x:c>
      <x:c r="E58" s="42" t="n">
        <x:v>1</x:v>
      </x:c>
      <x:c r="F58" s="27" t="n">
        <x:v>0</x:v>
      </x:c>
      <x:c r="G58" s="13" t="str">
        <x:v>R04；R05；R07；R08</x:v>
      </x:c>
      <x:c r="H58" s="13" t="str">
        <x:v>细木工坊；宫廷</x:v>
      </x:c>
      <x:c r="I58" s="13" t="str">
        <x:v>家具、乐器与装饰</x:v>
      </x:c>
      <x:c r="J58" s="13" t="str">
        <x:v>厚重深色木材，具体工坊成品由特产体现。</x:v>
      </x:c>
      <x:c r="K58" s="36" t="b">
        <x:v>0</x:v>
      </x:c>
      <x:c r="L58" s="13" t="str"/>
      <x:c r="M58" s="13" t="str">
        <x:v>真实商品类别；供货分布、价格与抽象单位为原创设计</x:v>
      </x:c>
      <x:c r="N58" s="13" t="str"/>
    </x:row>
    <x:row r="59" ht="31" customHeight="1">
      <x:c r="A59" s="15" t="str">
        <x:v>G054</x:v>
      </x:c>
      <x:c r="B59" s="15" t="str">
        <x:v>檀香木</x:v>
      </x:c>
      <x:c r="C59" s="15" t="str">
        <x:v>木材</x:v>
      </x:c>
      <x:c r="D59" s="30" t="n">
        <x:v>480</x:v>
      </x:c>
      <x:c r="E59" s="44" t="n">
        <x:v>1</x:v>
      </x:c>
      <x:c r="F59" s="30" t="n">
        <x:v>0</x:v>
      </x:c>
      <x:c r="G59" s="15" t="str">
        <x:v>R07；R08；R12</x:v>
      </x:c>
      <x:c r="H59" s="15" t="str">
        <x:v>香料工坊；宫廷；细木工坊</x:v>
      </x:c>
      <x:c r="I59" s="15" t="str">
        <x:v>香料、雕刻与木工</x:v>
      </x:c>
      <x:c r="J59" s="15" t="str">
        <x:v>帝汶和印度货源连接东亚香道市场。</x:v>
      </x:c>
      <x:c r="K59" s="45" t="b">
        <x:v>0</x:v>
      </x:c>
      <x:c r="L59" s="15" t="str"/>
      <x:c r="M59" s="15" t="str">
        <x:v>真实商品类别；供货分布、价格与抽象单位为原创设计</x:v>
      </x:c>
      <x:c r="N59" s="15" t="str"/>
    </x:row>
    <x:row r="60" ht="31" customHeight="1">
      <x:c r="A60" s="13" t="str">
        <x:v>G055</x:v>
      </x:c>
      <x:c r="B60" s="13" t="str">
        <x:v>柚木</x:v>
      </x:c>
      <x:c r="C60" s="13" t="str">
        <x:v>木材</x:v>
      </x:c>
      <x:c r="D60" s="27" t="n">
        <x:v>180</x:v>
      </x:c>
      <x:c r="E60" s="42" t="n">
        <x:v>1</x:v>
      </x:c>
      <x:c r="F60" s="27" t="n">
        <x:v>0</x:v>
      </x:c>
      <x:c r="G60" s="13" t="str">
        <x:v>R07；R08</x:v>
      </x:c>
      <x:c r="H60" s="13" t="str">
        <x:v>船厂；修船</x:v>
      </x:c>
      <x:c r="I60" s="13" t="str">
        <x:v>船材与改造订单</x:v>
      </x:c>
      <x:c r="J60" s="13" t="str">
        <x:v>耐用的季风区造船木材。</x:v>
      </x:c>
      <x:c r="K60" s="36" t="b">
        <x:v>0</x:v>
      </x:c>
      <x:c r="L60" s="13" t="str"/>
      <x:c r="M60" s="13" t="str">
        <x:v>真实商品类别；供货分布、价格与抽象单位为原创设计</x:v>
      </x:c>
      <x:c r="N60" s="13" t="str"/>
    </x:row>
    <x:row r="61" ht="31" customHeight="1">
      <x:c r="A61" s="15" t="str">
        <x:v>G056</x:v>
      </x:c>
      <x:c r="B61" s="15" t="str">
        <x:v>橡木</x:v>
      </x:c>
      <x:c r="C61" s="15" t="str">
        <x:v>木材</x:v>
      </x:c>
      <x:c r="D61" s="30" t="n">
        <x:v>90</x:v>
      </x:c>
      <x:c r="E61" s="44" t="n">
        <x:v>1</x:v>
      </x:c>
      <x:c r="F61" s="30" t="n">
        <x:v>0</x:v>
      </x:c>
      <x:c r="G61" s="15" t="str">
        <x:v>R01；R02；R03；R10</x:v>
      </x:c>
      <x:c r="H61" s="15" t="str">
        <x:v>船厂；桶匠</x:v>
      </x:c>
      <x:c r="I61" s="15" t="str">
        <x:v>船架、酒桶与木工</x:v>
      </x:c>
      <x:c r="J61" s="15" t="str">
        <x:v>欧洲重型舰船工业的常用材料。</x:v>
      </x:c>
      <x:c r="K61" s="45" t="b">
        <x:v>0</x:v>
      </x:c>
      <x:c r="L61" s="15" t="str"/>
      <x:c r="M61" s="15" t="str">
        <x:v>真实商品类别；供货分布、价格与抽象单位为原创设计</x:v>
      </x:c>
      <x:c r="N61" s="15" t="str"/>
    </x:row>
    <x:row r="62" ht="31" customHeight="1">
      <x:c r="A62" s="13" t="str">
        <x:v>G057</x:v>
      </x:c>
      <x:c r="B62" s="13" t="str">
        <x:v>松木</x:v>
      </x:c>
      <x:c r="C62" s="13" t="str">
        <x:v>木材</x:v>
      </x:c>
      <x:c r="D62" s="27" t="n">
        <x:v>70</x:v>
      </x:c>
      <x:c r="E62" s="42" t="n">
        <x:v>1</x:v>
      </x:c>
      <x:c r="F62" s="27" t="n">
        <x:v>0</x:v>
      </x:c>
      <x:c r="G62" s="13" t="str">
        <x:v>R01；R02；R09；R10</x:v>
      </x:c>
      <x:c r="H62" s="13" t="str">
        <x:v>船厂；人口增长</x:v>
      </x:c>
      <x:c r="I62" s="13" t="str">
        <x:v>桅杆、船板与建筑</x:v>
      </x:c>
      <x:c r="J62" s="13" t="str">
        <x:v>长直木材沿大河顺流进港。</x:v>
      </x:c>
      <x:c r="K62" s="36" t="b">
        <x:v>0</x:v>
      </x:c>
      <x:c r="L62" s="13" t="str"/>
      <x:c r="M62" s="13" t="str">
        <x:v>真实商品类别；供货分布、价格与抽象单位为原创设计</x:v>
      </x:c>
      <x:c r="N62" s="13" t="str"/>
    </x:row>
    <x:row r="63" ht="31" customHeight="1">
      <x:c r="A63" s="15" t="str">
        <x:v>G058</x:v>
      </x:c>
      <x:c r="B63" s="15" t="str">
        <x:v>铁锭</x:v>
      </x:c>
      <x:c r="C63" s="15" t="str">
        <x:v>金属</x:v>
      </x:c>
      <x:c r="D63" s="30" t="n">
        <x:v>120</x:v>
      </x:c>
      <x:c r="E63" s="44" t="n">
        <x:v>1</x:v>
      </x:c>
      <x:c r="F63" s="30" t="n">
        <x:v>0</x:v>
      </x:c>
      <x:c r="G63" s="15" t="str">
        <x:v>R01；R02；R03；R07；R09</x:v>
      </x:c>
      <x:c r="H63" s="15" t="str">
        <x:v>军需工坊；工具工坊；船厂</x:v>
      </x:c>
      <x:c r="I63" s="15" t="str">
        <x:v>工具、五金与武器材料</x:v>
      </x:c>
      <x:c r="J63" s="15" t="str">
        <x:v>发展度解锁贸易供货，武装度另管成品武器。</x:v>
      </x:c>
      <x:c r="K63" s="45" t="b">
        <x:v>0</x:v>
      </x:c>
      <x:c r="L63" s="15" t="str"/>
      <x:c r="M63" s="15" t="str">
        <x:v>真实商品类别；供货分布、价格与抽象单位为原创设计</x:v>
      </x:c>
      <x:c r="N63" s="15" t="str"/>
    </x:row>
    <x:row r="64" ht="31" customHeight="1">
      <x:c r="A64" s="13" t="str">
        <x:v>G059</x:v>
      </x:c>
      <x:c r="B64" s="13" t="str">
        <x:v>铜锭</x:v>
      </x:c>
      <x:c r="C64" s="13" t="str">
        <x:v>金属</x:v>
      </x:c>
      <x:c r="D64" s="27" t="n">
        <x:v>185</x:v>
      </x:c>
      <x:c r="E64" s="42" t="n">
        <x:v>1</x:v>
      </x:c>
      <x:c r="F64" s="27" t="n">
        <x:v>0</x:v>
      </x:c>
      <x:c r="G64" s="13" t="str">
        <x:v>R01；R02；R03；R09；R11</x:v>
      </x:c>
      <x:c r="H64" s="13" t="str">
        <x:v>军需工坊；船厂；器皿工坊</x:v>
      </x:c>
      <x:c r="I64" s="13" t="str">
        <x:v>铸造与船体改造材料</x:v>
      </x:c>
      <x:c r="J64" s="13" t="str">
        <x:v>高需求船厂会推高港口采购价。</x:v>
      </x:c>
      <x:c r="K64" s="36" t="b">
        <x:v>0</x:v>
      </x:c>
      <x:c r="L64" s="13" t="str"/>
      <x:c r="M64" s="13" t="str">
        <x:v>真实商品类别；供货分布、价格与抽象单位为原创设计</x:v>
      </x:c>
      <x:c r="N64" s="13" t="str"/>
    </x:row>
    <x:row r="65" ht="31" customHeight="1">
      <x:c r="A65" s="15" t="str">
        <x:v>G060</x:v>
      </x:c>
      <x:c r="B65" s="15" t="str">
        <x:v>锡锭</x:v>
      </x:c>
      <x:c r="C65" s="15" t="str">
        <x:v>金属</x:v>
      </x:c>
      <x:c r="D65" s="30" t="n">
        <x:v>220</x:v>
      </x:c>
      <x:c r="E65" s="44" t="n">
        <x:v>1</x:v>
      </x:c>
      <x:c r="F65" s="30" t="n">
        <x:v>0</x:v>
      </x:c>
      <x:c r="G65" s="15" t="str">
        <x:v>R01；R02；R08</x:v>
      </x:c>
      <x:c r="H65" s="15" t="str">
        <x:v>军需工坊；器皿工坊</x:v>
      </x:c>
      <x:c r="I65" s="15" t="str">
        <x:v>合金与锡器</x:v>
      </x:c>
      <x:c r="J65" s="15" t="str">
        <x:v>马来半岛原料经海峡转口。</x:v>
      </x:c>
      <x:c r="K65" s="45" t="b">
        <x:v>0</x:v>
      </x:c>
      <x:c r="L65" s="15" t="str"/>
      <x:c r="M65" s="15" t="str">
        <x:v>真实商品类别；供货分布、价格与抽象单位为原创设计</x:v>
      </x:c>
      <x:c r="N65" s="15" t="str"/>
    </x:row>
    <x:row r="66" ht="31" customHeight="1">
      <x:c r="A66" s="13" t="str">
        <x:v>G061</x:v>
      </x:c>
      <x:c r="B66" s="13" t="str">
        <x:v>铅锭</x:v>
      </x:c>
      <x:c r="C66" s="13" t="str">
        <x:v>金属</x:v>
      </x:c>
      <x:c r="D66" s="27" t="n">
        <x:v>105</x:v>
      </x:c>
      <x:c r="E66" s="42" t="n">
        <x:v>1</x:v>
      </x:c>
      <x:c r="F66" s="27" t="n">
        <x:v>0</x:v>
      </x:c>
      <x:c r="G66" s="13" t="str">
        <x:v>R01；R02；R03</x:v>
      </x:c>
      <x:c r="H66" s="13" t="str">
        <x:v>军需工坊；建筑</x:v>
      </x:c>
      <x:c r="I66" s="13" t="str">
        <x:v>弹药、压载与建筑</x:v>
      </x:c>
      <x:c r="J66" s="13" t="str">
        <x:v>大宗低价，适合作为去程之外的回程货。</x:v>
      </x:c>
      <x:c r="K66" s="36" t="b">
        <x:v>0</x:v>
      </x:c>
      <x:c r="L66" s="13" t="str"/>
      <x:c r="M66" s="13" t="str">
        <x:v>真实商品类别；供货分布、价格与抽象单位为原创设计</x:v>
      </x:c>
      <x:c r="N66" s="13" t="str"/>
    </x:row>
    <x:row r="67" ht="31" customHeight="1">
      <x:c r="A67" s="15" t="str">
        <x:v>G062</x:v>
      </x:c>
      <x:c r="B67" s="15" t="str">
        <x:v>白银</x:v>
      </x:c>
      <x:c r="C67" s="15" t="str">
        <x:v>金属</x:v>
      </x:c>
      <x:c r="D67" s="30" t="n">
        <x:v>850</x:v>
      </x:c>
      <x:c r="E67" s="44" t="n">
        <x:v>1</x:v>
      </x:c>
      <x:c r="F67" s="30" t="n">
        <x:v>0</x:v>
      </x:c>
      <x:c r="G67" s="15" t="str">
        <x:v>R02；R09；R10；R11</x:v>
      </x:c>
      <x:c r="H67" s="15" t="str">
        <x:v>铸币；宫廷；东亚结算</x:v>
      </x:c>
      <x:c r="I67" s="15" t="str">
        <x:v>结算金属与银器材料</x:v>
      </x:c>
      <x:c r="J67" s="15" t="str">
        <x:v>这是标准贸易银锭，与计价银币分别记录。</x:v>
      </x:c>
      <x:c r="K67" s="45" t="b">
        <x:v>0</x:v>
      </x:c>
      <x:c r="L67" s="15" t="str"/>
      <x:c r="M67" s="15" t="str">
        <x:v>真实商品类别；供货分布、价格与抽象单位为原创设计</x:v>
      </x:c>
      <x:c r="N67" s="15" t="str">
        <x:v>WT-H16</x:v>
      </x:c>
    </x:row>
    <x:row r="68" ht="31" customHeight="1">
      <x:c r="A68" s="13" t="str">
        <x:v>G063</x:v>
      </x:c>
      <x:c r="B68" s="13" t="str">
        <x:v>黄金</x:v>
      </x:c>
      <x:c r="C68" s="13" t="str">
        <x:v>金属</x:v>
      </x:c>
      <x:c r="D68" s="27" t="n">
        <x:v>2400</x:v>
      </x:c>
      <x:c r="E68" s="42" t="n">
        <x:v>1</x:v>
      </x:c>
      <x:c r="F68" s="27" t="n">
        <x:v>0</x:v>
      </x:c>
      <x:c r="G68" s="13" t="str">
        <x:v>R04；R05；R07；R09；R11</x:v>
      </x:c>
      <x:c r="H68" s="13" t="str">
        <x:v>宫廷；铸币；珠宝工坊</x:v>
      </x:c>
      <x:c r="I68" s="13" t="str">
        <x:v>贵金属订单与首饰</x:v>
      </x:c>
      <x:c r="J68" s="13" t="str">
        <x:v>本表一货载是带包装与保管空间的抽象货批，非1立方米实心金。</x:v>
      </x:c>
      <x:c r="K68" s="36" t="b">
        <x:v>0</x:v>
      </x:c>
      <x:c r="L68" s="13" t="str"/>
      <x:c r="M68" s="13" t="str">
        <x:v>真实商品类别；供货分布、价格与抽象单位为原创设计</x:v>
      </x:c>
      <x:c r="N68" s="13" t="str"/>
    </x:row>
    <x:row r="69" ht="31" customHeight="1">
      <x:c r="A69" s="15" t="str">
        <x:v>G064</x:v>
      </x:c>
      <x:c r="B69" s="15" t="str">
        <x:v>煤炭</x:v>
      </x:c>
      <x:c r="C69" s="15" t="str">
        <x:v>矿石</x:v>
      </x:c>
      <x:c r="D69" s="30" t="n">
        <x:v>65</x:v>
      </x:c>
      <x:c r="E69" s="44" t="n">
        <x:v>1</x:v>
      </x:c>
      <x:c r="F69" s="30" t="n">
        <x:v>0</x:v>
      </x:c>
      <x:c r="G69" s="15" t="str">
        <x:v>R01；R02；R09</x:v>
      </x:c>
      <x:c r="H69" s="15" t="str">
        <x:v>冶炼工坊；工具工坊</x:v>
      </x:c>
      <x:c r="I69" s="15" t="str">
        <x:v>冶炼燃料</x:v>
      </x:c>
      <x:c r="J69" s="15" t="str">
        <x:v>船舶仍以帆力为主，煤炭主要供岸上工坊。</x:v>
      </x:c>
      <x:c r="K69" s="45" t="b">
        <x:v>0</x:v>
      </x:c>
      <x:c r="L69" s="15" t="str"/>
      <x:c r="M69" s="15" t="str">
        <x:v>真实商品类别；供货分布、价格与抽象单位为原创设计</x:v>
      </x:c>
      <x:c r="N69" s="15" t="str"/>
    </x:row>
    <x:row r="70" ht="31" customHeight="1">
      <x:c r="A70" s="13" t="str">
        <x:v>G065</x:v>
      </x:c>
      <x:c r="B70" s="13" t="str">
        <x:v>硫磺</x:v>
      </x:c>
      <x:c r="C70" s="13" t="str">
        <x:v>矿石</x:v>
      </x:c>
      <x:c r="D70" s="27" t="n">
        <x:v>140</x:v>
      </x:c>
      <x:c r="E70" s="42" t="n">
        <x:v>1</x:v>
      </x:c>
      <x:c r="F70" s="27" t="n">
        <x:v>0</x:v>
      </x:c>
      <x:c r="G70" s="13" t="str">
        <x:v>R03；R04；R08；R09</x:v>
      </x:c>
      <x:c r="H70" s="13" t="str">
        <x:v>军需工坊；药房</x:v>
      </x:c>
      <x:c r="I70" s="13" t="str">
        <x:v>火药与工坊材料</x:v>
      </x:c>
      <x:c r="J70" s="13" t="str">
        <x:v>火山岛和矿区的黄色货袋。</x:v>
      </x:c>
      <x:c r="K70" s="36" t="b">
        <x:v>0</x:v>
      </x:c>
      <x:c r="L70" s="13" t="str"/>
      <x:c r="M70" s="13" t="str">
        <x:v>真实商品类别；供货分布、价格与抽象单位为原创设计</x:v>
      </x:c>
      <x:c r="N70" s="13" t="str"/>
    </x:row>
    <x:row r="71" ht="31" customHeight="1">
      <x:c r="A71" s="15" t="str">
        <x:v>G066</x:v>
      </x:c>
      <x:c r="B71" s="15" t="str">
        <x:v>硝石</x:v>
      </x:c>
      <x:c r="C71" s="15" t="str">
        <x:v>矿石</x:v>
      </x:c>
      <x:c r="D71" s="30" t="n">
        <x:v>175</x:v>
      </x:c>
      <x:c r="E71" s="44" t="n">
        <x:v>1</x:v>
      </x:c>
      <x:c r="F71" s="30" t="n">
        <x:v>0</x:v>
      </x:c>
      <x:c r="G71" s="15" t="str">
        <x:v>R07；R09</x:v>
      </x:c>
      <x:c r="H71" s="15" t="str">
        <x:v>军需工坊</x:v>
      </x:c>
      <x:c r="I71" s="15" t="str">
        <x:v>火药原料</x:v>
      </x:c>
      <x:c r="J71" s="15" t="str">
        <x:v>腹地产出经大河送达沿海贸易仓。</x:v>
      </x:c>
      <x:c r="K71" s="45" t="b">
        <x:v>0</x:v>
      </x:c>
      <x:c r="L71" s="15" t="str"/>
      <x:c r="M71" s="15" t="str">
        <x:v>真实商品类别；供货分布、价格与抽象单位为原创设计</x:v>
      </x:c>
      <x:c r="N71" s="15" t="str"/>
    </x:row>
    <x:row r="72" ht="31" customHeight="1">
      <x:c r="A72" s="13" t="str">
        <x:v>G067</x:v>
      </x:c>
      <x:c r="B72" s="13" t="str">
        <x:v>火药</x:v>
      </x:c>
      <x:c r="C72" s="13" t="str">
        <x:v>工业品</x:v>
      </x:c>
      <x:c r="D72" s="27" t="n">
        <x:v>265</x:v>
      </x:c>
      <x:c r="E72" s="42" t="n">
        <x:v>1</x:v>
      </x:c>
      <x:c r="F72" s="27" t="n">
        <x:v>0</x:v>
      </x:c>
      <x:c r="G72" s="13" t="str">
        <x:v>R01；R02；R03；R07；R09；R10</x:v>
      </x:c>
      <x:c r="H72" s="13" t="str">
        <x:v>军港补给；军需工坊</x:v>
      </x:c>
      <x:c r="I72" s="13" t="str">
        <x:v>贸易物资与补给订单</x:v>
      </x:c>
      <x:c r="J72" s="13" t="str">
        <x:v>商品贸易由D解锁，舰炮装备由A解锁。</x:v>
      </x:c>
      <x:c r="K72" s="36" t="b">
        <x:v>0</x:v>
      </x:c>
      <x:c r="L72" s="13" t="str"/>
      <x:c r="M72" s="13" t="str">
        <x:v>真实商品类别；供货分布、价格与抽象单位为原创设计</x:v>
      </x:c>
      <x:c r="N72" s="13" t="str"/>
    </x:row>
    <x:row r="73" ht="31" customHeight="1">
      <x:c r="A73" s="15" t="str">
        <x:v>G068</x:v>
      </x:c>
      <x:c r="B73" s="15" t="str">
        <x:v>铁工具</x:v>
      </x:c>
      <x:c r="C73" s="15" t="str">
        <x:v>工业品</x:v>
      </x:c>
      <x:c r="D73" s="30" t="n">
        <x:v>190</x:v>
      </x:c>
      <x:c r="E73" s="44" t="n">
        <x:v>1</x:v>
      </x:c>
      <x:c r="F73" s="30" t="n">
        <x:v>0</x:v>
      </x:c>
      <x:c r="G73" s="15" t="str">
        <x:v>R01；R02；R03；R07；R09</x:v>
      </x:c>
      <x:c r="H73" s="15" t="str">
        <x:v>人口增长；工坊建设；船厂</x:v>
      </x:c>
      <x:c r="I73" s="15" t="str">
        <x:v>建设与工坊委托</x:v>
      </x:c>
      <x:c r="J73" s="15" t="str">
        <x:v>斧、锯、锤等装成一批，岛屿开发特别需要。</x:v>
      </x:c>
      <x:c r="K73" s="45" t="b">
        <x:v>0</x:v>
      </x:c>
      <x:c r="L73" s="15" t="str"/>
      <x:c r="M73" s="15" t="str">
        <x:v>真实商品类别；供货分布、价格与抽象单位为原创设计</x:v>
      </x:c>
      <x:c r="N73" s="15" t="str"/>
    </x:row>
    <x:row r="74" ht="42" customHeight="1">
      <x:c r="A74" s="13" t="str">
        <x:v>G069</x:v>
      </x:c>
      <x:c r="B74" s="13" t="str">
        <x:v>粗陶器</x:v>
      </x:c>
      <x:c r="C74" s="13" t="str">
        <x:v>工艺品</x:v>
      </x:c>
      <x:c r="D74" s="27" t="n">
        <x:v>90</x:v>
      </x:c>
      <x:c r="E74" s="42" t="n">
        <x:v>1</x:v>
      </x:c>
      <x:c r="F74" s="27" t="n">
        <x:v>0</x:v>
      </x:c>
      <x:c r="G74" s="13" t="str">
        <x:v>R02；R03；R04；R05；R06；R07；R08；R09；R11</x:v>
      </x:c>
      <x:c r="H74" s="13" t="str">
        <x:v>城市消费；远航补给</x:v>
      </x:c>
      <x:c r="I74" s="13" t="str">
        <x:v>贮藏、厨房与生活用品</x:v>
      </x:c>
      <x:c r="J74" s="13" t="str">
        <x:v>可被普通城市大量吸收的基础工艺货。</x:v>
      </x:c>
      <x:c r="K74" s="36" t="b">
        <x:v>0</x:v>
      </x:c>
      <x:c r="L74" s="13" t="str"/>
      <x:c r="M74" s="13" t="str">
        <x:v>真实商品类别；供货分布、价格与抽象单位为原创设计</x:v>
      </x:c>
      <x:c r="N74" s="13" t="str"/>
    </x:row>
    <x:row r="75" ht="31" customHeight="1">
      <x:c r="A75" s="15" t="str">
        <x:v>G070</x:v>
      </x:c>
      <x:c r="B75" s="15" t="str">
        <x:v>瓷器</x:v>
      </x:c>
      <x:c r="C75" s="15" t="str">
        <x:v>工艺品</x:v>
      </x:c>
      <x:c r="D75" s="30" t="n">
        <x:v>370</x:v>
      </x:c>
      <x:c r="E75" s="44" t="n">
        <x:v>1</x:v>
      </x:c>
      <x:c r="F75" s="30" t="n">
        <x:v>0</x:v>
      </x:c>
      <x:c r="G75" s="15" t="str">
        <x:v>R09</x:v>
      </x:c>
      <x:c r="H75" s="15" t="str">
        <x:v>宫廷；宴会；收藏</x:v>
      </x:c>
      <x:c r="I75" s="15" t="str">
        <x:v>餐具、陈设与高档礼物</x:v>
      </x:c>
      <x:c r="J75" s="15" t="str">
        <x:v>主要中国与日本工坊出货，海外港按转口供货。</x:v>
      </x:c>
      <x:c r="K75" s="45" t="b">
        <x:v>0</x:v>
      </x:c>
      <x:c r="L75" s="15" t="str"/>
      <x:c r="M75" s="15" t="str">
        <x:v>真实商品类别；供货分布、价格与抽象单位为原创设计</x:v>
      </x:c>
      <x:c r="N75" s="15" t="str">
        <x:v>WT-H14</x:v>
      </x:c>
    </x:row>
    <x:row r="76" ht="31" customHeight="1">
      <x:c r="A76" s="13" t="str">
        <x:v>G071</x:v>
      </x:c>
      <x:c r="B76" s="13" t="str">
        <x:v>玻璃器皿</x:v>
      </x:c>
      <x:c r="C76" s="13" t="str">
        <x:v>工艺品</x:v>
      </x:c>
      <x:c r="D76" s="27" t="n">
        <x:v>310</x:v>
      </x:c>
      <x:c r="E76" s="42" t="n">
        <x:v>1</x:v>
      </x:c>
      <x:c r="F76" s="27" t="n">
        <x:v>0</x:v>
      </x:c>
      <x:c r="G76" s="13" t="str">
        <x:v>R01；R02；R03；R06；R09</x:v>
      </x:c>
      <x:c r="H76" s="13" t="str">
        <x:v>宴会；药房；学会</x:v>
      </x:c>
      <x:c r="I76" s="13" t="str">
        <x:v>器皿、实验与陈设</x:v>
      </x:c>
      <x:c r="J76" s="13" t="str">
        <x:v>威尼斯等港的高级制品另设独特特产。</x:v>
      </x:c>
      <x:c r="K76" s="36" t="b">
        <x:v>0</x:v>
      </x:c>
      <x:c r="L76" s="13" t="str"/>
      <x:c r="M76" s="13" t="str">
        <x:v>真实商品类别；供货分布、价格与抽象单位为原创设计</x:v>
      </x:c>
      <x:c r="N76" s="13" t="str"/>
    </x:row>
    <x:row r="77" ht="31" customHeight="1">
      <x:c r="A77" s="15" t="str">
        <x:v>G072</x:v>
      </x:c>
      <x:c r="B77" s="15" t="str">
        <x:v>漆器</x:v>
      </x:c>
      <x:c r="C77" s="15" t="str">
        <x:v>工艺品</x:v>
      </x:c>
      <x:c r="D77" s="30" t="n">
        <x:v>480</x:v>
      </x:c>
      <x:c r="E77" s="44" t="n">
        <x:v>1</x:v>
      </x:c>
      <x:c r="F77" s="30" t="n">
        <x:v>0</x:v>
      </x:c>
      <x:c r="G77" s="15" t="str">
        <x:v>R08；R09</x:v>
      </x:c>
      <x:c r="H77" s="15" t="str">
        <x:v>宫廷；收藏；礼品</x:v>
      </x:c>
      <x:c r="I77" s="15" t="str">
        <x:v>家具小件与礼物</x:v>
      </x:c>
      <x:c r="J77" s="15" t="str">
        <x:v>东方工坊以层层漆面制造持久光泽。</x:v>
      </x:c>
      <x:c r="K77" s="45" t="b">
        <x:v>0</x:v>
      </x:c>
      <x:c r="L77" s="15" t="str"/>
      <x:c r="M77" s="15" t="str">
        <x:v>真实商品类别；供货分布、价格与抽象单位为原创设计</x:v>
      </x:c>
      <x:c r="N77" s="15" t="str"/>
    </x:row>
    <x:row r="78" ht="42" customHeight="1">
      <x:c r="A78" s="13" t="str">
        <x:v>G073</x:v>
      </x:c>
      <x:c r="B78" s="13" t="str">
        <x:v>珠宝</x:v>
      </x:c>
      <x:c r="C78" s="13" t="str">
        <x:v>奢侈品</x:v>
      </x:c>
      <x:c r="D78" s="27" t="n">
        <x:v>760</x:v>
      </x:c>
      <x:c r="E78" s="42" t="n">
        <x:v>1</x:v>
      </x:c>
      <x:c r="F78" s="27" t="n">
        <x:v>0</x:v>
      </x:c>
      <x:c r="G78" s="13" t="str">
        <x:v>R01；R02；R03；R04；R05；R06；R07；R08；R09；R10；R11</x:v>
      </x:c>
      <x:c r="H78" s="13" t="str">
        <x:v>宫廷；礼品；收藏</x:v>
      </x:c>
      <x:c r="I78" s="13" t="str">
        <x:v>成品首饰与高级委托</x:v>
      </x:c>
      <x:c r="J78" s="13" t="str">
        <x:v>普通商品版珠宝；港口专属构图另用SP编号。</x:v>
      </x:c>
      <x:c r="K78" s="36" t="b">
        <x:v>0</x:v>
      </x:c>
      <x:c r="L78" s="13" t="str"/>
      <x:c r="M78" s="13" t="str">
        <x:v>真实商品类别；供货分布、价格与抽象单位为原创设计</x:v>
      </x:c>
      <x:c r="N78" s="13" t="str"/>
    </x:row>
    <x:row r="79" ht="31" customHeight="1">
      <x:c r="A79" s="15" t="str">
        <x:v>G074</x:v>
      </x:c>
      <x:c r="B79" s="15" t="str">
        <x:v>珍珠</x:v>
      </x:c>
      <x:c r="C79" s="15" t="str">
        <x:v>宝石</x:v>
      </x:c>
      <x:c r="D79" s="30" t="n">
        <x:v>680</x:v>
      </x:c>
      <x:c r="E79" s="44" t="n">
        <x:v>1</x:v>
      </x:c>
      <x:c r="F79" s="30" t="n">
        <x:v>0</x:v>
      </x:c>
      <x:c r="G79" s="15" t="str">
        <x:v>R05；R06；R07；R08；R09；R12</x:v>
      </x:c>
      <x:c r="H79" s="15" t="str">
        <x:v>珠宝工坊；宫廷；礼品</x:v>
      </x:c>
      <x:c r="I79" s="15" t="str">
        <x:v>珠宝原料与礼赠</x:v>
      </x:c>
      <x:c r="J79" s="15" t="str">
        <x:v>不同海域的颜色与珠形作为品质与特产差异。</x:v>
      </x:c>
      <x:c r="K79" s="45" t="b">
        <x:v>0</x:v>
      </x:c>
      <x:c r="L79" s="15" t="str"/>
      <x:c r="M79" s="15" t="str">
        <x:v>真实商品类别；供货分布、价格与抽象单位为原创设计</x:v>
      </x:c>
      <x:c r="N79" s="15" t="str">
        <x:v>WT-H07</x:v>
      </x:c>
    </x:row>
    <x:row r="80" ht="31" customHeight="1">
      <x:c r="A80" s="13" t="str">
        <x:v>G075</x:v>
      </x:c>
      <x:c r="B80" s="13" t="str">
        <x:v>珊瑚</x:v>
      </x:c>
      <x:c r="C80" s="13" t="str">
        <x:v>宝石</x:v>
      </x:c>
      <x:c r="D80" s="27" t="n">
        <x:v>330</x:v>
      </x:c>
      <x:c r="E80" s="42" t="n">
        <x:v>1</x:v>
      </x:c>
      <x:c r="F80" s="27" t="n">
        <x:v>0</x:v>
      </x:c>
      <x:c r="G80" s="13" t="str">
        <x:v>R03；R05；R07；R08；R09；R12</x:v>
      </x:c>
      <x:c r="H80" s="13" t="str">
        <x:v>珠宝工坊；细工工坊</x:v>
      </x:c>
      <x:c r="I80" s="13" t="str">
        <x:v>珊瑚饰件原料</x:v>
      </x:c>
      <x:c r="J80" s="13" t="str">
        <x:v>以既有近世贸易素材作游戏商品。</x:v>
      </x:c>
      <x:c r="K80" s="36" t="b">
        <x:v>0</x:v>
      </x:c>
      <x:c r="L80" s="13" t="str"/>
      <x:c r="M80" s="13" t="str">
        <x:v>真实商品类别；供货分布、价格与抽象单位为原创设计</x:v>
      </x:c>
      <x:c r="N80" s="13" t="str"/>
    </x:row>
    <x:row r="81" ht="31" customHeight="1">
      <x:c r="A81" s="15" t="str">
        <x:v>G076</x:v>
      </x:c>
      <x:c r="B81" s="15" t="str">
        <x:v>琥珀</x:v>
      </x:c>
      <x:c r="C81" s="15" t="str">
        <x:v>宝石</x:v>
      </x:c>
      <x:c r="D81" s="30" t="n">
        <x:v>390</x:v>
      </x:c>
      <x:c r="E81" s="44" t="n">
        <x:v>1</x:v>
      </x:c>
      <x:c r="F81" s="30" t="n">
        <x:v>0</x:v>
      </x:c>
      <x:c r="G81" s="15" t="str">
        <x:v>R01</x:v>
      </x:c>
      <x:c r="H81" s="15" t="str">
        <x:v>珠宝工坊；收藏；药房</x:v>
      </x:c>
      <x:c r="I81" s="15" t="str">
        <x:v>雕刻、镶嵌与收藏</x:v>
      </x:c>
      <x:c r="J81" s="15" t="str">
        <x:v>波罗的海树脂化石的温润金色。</x:v>
      </x:c>
      <x:c r="K81" s="45" t="b">
        <x:v>0</x:v>
      </x:c>
      <x:c r="L81" s="15" t="str"/>
      <x:c r="M81" s="15" t="str">
        <x:v>真实商品类别；供货分布、价格与抽象单位为原创设计</x:v>
      </x:c>
      <x:c r="N81" s="15" t="str"/>
    </x:row>
    <x:row r="82" ht="31" customHeight="1">
      <x:c r="A82" s="13" t="str">
        <x:v>G077</x:v>
      </x:c>
      <x:c r="B82" s="13" t="str">
        <x:v>水晶</x:v>
      </x:c>
      <x:c r="C82" s="13" t="str">
        <x:v>宝石</x:v>
      </x:c>
      <x:c r="D82" s="27" t="n">
        <x:v>240</x:v>
      </x:c>
      <x:c r="E82" s="42" t="n">
        <x:v>1</x:v>
      </x:c>
      <x:c r="F82" s="27" t="n">
        <x:v>0</x:v>
      </x:c>
      <x:c r="G82" s="13" t="str">
        <x:v>R01；R02；R03；R07；R11</x:v>
      </x:c>
      <x:c r="H82" s="13" t="str">
        <x:v>学会；细工工坊；收藏</x:v>
      </x:c>
      <x:c r="I82" s="13" t="str">
        <x:v>透镜毛坯、雕刻与陈设</x:v>
      </x:c>
      <x:c r="J82" s="13" t="str">
        <x:v>精磨成品比原石更适合远洋小批贸易。</x:v>
      </x:c>
      <x:c r="K82" s="36" t="b">
        <x:v>0</x:v>
      </x:c>
      <x:c r="L82" s="13" t="str"/>
      <x:c r="M82" s="13" t="str">
        <x:v>真实商品类别；供货分布、价格与抽象单位为原创设计</x:v>
      </x:c>
      <x:c r="N82" s="13" t="str"/>
    </x:row>
    <x:row r="83" ht="31" customHeight="1">
      <x:c r="A83" s="15" t="str">
        <x:v>G078</x:v>
      </x:c>
      <x:c r="B83" s="15" t="str">
        <x:v>宝石原石</x:v>
      </x:c>
      <x:c r="C83" s="15" t="str">
        <x:v>宝石</x:v>
      </x:c>
      <x:c r="D83" s="30" t="n">
        <x:v>820</x:v>
      </x:c>
      <x:c r="E83" s="44" t="n">
        <x:v>1</x:v>
      </x:c>
      <x:c r="F83" s="30" t="n">
        <x:v>0</x:v>
      </x:c>
      <x:c r="G83" s="15" t="str">
        <x:v>R05；R06；R07；R08；R09；R11</x:v>
      </x:c>
      <x:c r="H83" s="15" t="str">
        <x:v>珠宝工坊；宫廷</x:v>
      </x:c>
      <x:c r="I83" s="15" t="str">
        <x:v>切磨与珠宝制造</x:v>
      </x:c>
      <x:c r="J83" s="15" t="str">
        <x:v>蓝宝石、红宝石等由产港特产进一步区分。</x:v>
      </x:c>
      <x:c r="K83" s="45" t="b">
        <x:v>0</x:v>
      </x:c>
      <x:c r="L83" s="15" t="str"/>
      <x:c r="M83" s="15" t="str">
        <x:v>真实商品类别；供货分布、价格与抽象单位为原创设计</x:v>
      </x:c>
      <x:c r="N83" s="15" t="str"/>
    </x:row>
    <x:row r="84" ht="42" customHeight="1">
      <x:c r="A84" s="13" t="str">
        <x:v>G079</x:v>
      </x:c>
      <x:c r="B84" s="13" t="str">
        <x:v>皮革</x:v>
      </x:c>
      <x:c r="C84" s="13" t="str">
        <x:v>工业品</x:v>
      </x:c>
      <x:c r="D84" s="27" t="n">
        <x:v>110</x:v>
      </x:c>
      <x:c r="E84" s="42" t="n">
        <x:v>1</x:v>
      </x:c>
      <x:c r="F84" s="27" t="n">
        <x:v>0</x:v>
      </x:c>
      <x:c r="G84" s="13" t="str">
        <x:v>R01；R02；R03；R04；R05；R06；R07；R08；R09；R10；R11</x:v>
      </x:c>
      <x:c r="H84" s="13" t="str">
        <x:v>城市衣料；军港补给；船厂</x:v>
      </x:c>
      <x:c r="I84" s="13" t="str">
        <x:v>鞋靴、皮具与维护</x:v>
      </x:c>
      <x:c r="J84" s="13" t="str">
        <x:v>中价耐存，适合衣料与军需连锁。</x:v>
      </x:c>
      <x:c r="K84" s="36" t="b">
        <x:v>0</x:v>
      </x:c>
      <x:c r="L84" s="13" t="str"/>
      <x:c r="M84" s="13" t="str">
        <x:v>真实商品类别；供货分布、价格与抽象单位为原创设计</x:v>
      </x:c>
      <x:c r="N84" s="13" t="str"/>
    </x:row>
    <x:row r="85" ht="31" customHeight="1">
      <x:c r="A85" s="15" t="str">
        <x:v>G080</x:v>
      </x:c>
      <x:c r="B85" s="15" t="str">
        <x:v>毛皮</x:v>
      </x:c>
      <x:c r="C85" s="15" t="str">
        <x:v>奢侈品</x:v>
      </x:c>
      <x:c r="D85" s="30" t="n">
        <x:v>240</x:v>
      </x:c>
      <x:c r="E85" s="44" t="n">
        <x:v>1</x:v>
      </x:c>
      <x:c r="F85" s="30" t="n">
        <x:v>0</x:v>
      </x:c>
      <x:c r="G85" s="15" t="str">
        <x:v>R01；R03；R09；R10；R11</x:v>
      </x:c>
      <x:c r="H85" s="15" t="str">
        <x:v>寒地衣料；宫廷；收藏</x:v>
      </x:c>
      <x:c r="I85" s="15" t="str">
        <x:v>衣物与装饰</x:v>
      </x:c>
      <x:c r="J85" s="15" t="str">
        <x:v>不同寒地毛皮以品质或港口特产区分。</x:v>
      </x:c>
      <x:c r="K85" s="45" t="b">
        <x:v>0</x:v>
      </x:c>
      <x:c r="L85" s="15" t="str"/>
      <x:c r="M85" s="15" t="str">
        <x:v>真实商品类别；供货分布、价格与抽象单位为原创设计</x:v>
      </x:c>
      <x:c r="N85" s="15" t="str"/>
    </x:row>
    <x:row r="86" ht="31" customHeight="1">
      <x:c r="A86" s="13" t="str">
        <x:v>G081</x:v>
      </x:c>
      <x:c r="B86" s="13" t="str">
        <x:v>羽饰</x:v>
      </x:c>
      <x:c r="C86" s="13" t="str">
        <x:v>工艺品</x:v>
      </x:c>
      <x:c r="D86" s="27" t="n">
        <x:v>420</x:v>
      </x:c>
      <x:c r="E86" s="42" t="n">
        <x:v>1</x:v>
      </x:c>
      <x:c r="F86" s="27" t="n">
        <x:v>0</x:v>
      </x:c>
      <x:c r="G86" s="13" t="str">
        <x:v>R10；R11；R12</x:v>
      </x:c>
      <x:c r="H86" s="13" t="str">
        <x:v>礼品；宴会；收藏</x:v>
      </x:c>
      <x:c r="I86" s="13" t="str">
        <x:v>庆典装饰与原创服饰材料</x:v>
      </x:c>
      <x:c r="J86" s="13" t="str">
        <x:v>出售为工坊新制装饰件，图样和款式为本作创作。</x:v>
      </x:c>
      <x:c r="K86" s="36" t="b">
        <x:v>0</x:v>
      </x:c>
      <x:c r="L86" s="13" t="str"/>
      <x:c r="M86" s="13" t="str">
        <x:v>真实商品类别；供货分布、价格与抽象单位为原创设计</x:v>
      </x:c>
      <x:c r="N86" s="13" t="str"/>
    </x:row>
    <x:row r="87" ht="31" customHeight="1">
      <x:c r="A87" s="15" t="str">
        <x:v>G082</x:v>
      </x:c>
      <x:c r="B87" s="15" t="str">
        <x:v>象牙</x:v>
      </x:c>
      <x:c r="C87" s="15" t="str">
        <x:v>工艺品</x:v>
      </x:c>
      <x:c r="D87" s="30" t="n">
        <x:v>450</x:v>
      </x:c>
      <x:c r="E87" s="44" t="n">
        <x:v>1</x:v>
      </x:c>
      <x:c r="F87" s="30" t="n">
        <x:v>0</x:v>
      </x:c>
      <x:c r="G87" s="15" t="str">
        <x:v>R04；R05；R07</x:v>
      </x:c>
      <x:c r="H87" s="15" t="str">
        <x:v>细木工坊；珠宝工坊；宫廷</x:v>
      </x:c>
      <x:c r="I87" s="15" t="str">
        <x:v>近世雕刻材料</x:v>
      </x:c>
      <x:c r="J87" s="15" t="str">
        <x:v>采用历史贸易素材；独特成品不等于历史文物原件。</x:v>
      </x:c>
      <x:c r="K87" s="45" t="b">
        <x:v>0</x:v>
      </x:c>
      <x:c r="L87" s="15" t="str"/>
      <x:c r="M87" s="15" t="str">
        <x:v>真实商品类别；供货分布、价格与抽象单位为原创设计</x:v>
      </x:c>
      <x:c r="N87" s="15" t="str">
        <x:v>WT-H05</x:v>
      </x:c>
    </x:row>
    <x:row r="88" ht="31" customHeight="1">
      <x:c r="A88" s="13" t="str">
        <x:v>G083</x:v>
      </x:c>
      <x:c r="B88" s="13" t="str">
        <x:v>玳瑁片</x:v>
      </x:c>
      <x:c r="C88" s="13" t="str">
        <x:v>工艺品</x:v>
      </x:c>
      <x:c r="D88" s="27" t="n">
        <x:v>350</x:v>
      </x:c>
      <x:c r="E88" s="42" t="n">
        <x:v>1</x:v>
      </x:c>
      <x:c r="F88" s="27" t="n">
        <x:v>0</x:v>
      </x:c>
      <x:c r="G88" s="13" t="str">
        <x:v>R05；R08；R10；R12</x:v>
      </x:c>
      <x:c r="H88" s="13" t="str">
        <x:v>细工工坊；收藏</x:v>
      </x:c>
      <x:c r="I88" s="13" t="str">
        <x:v>镶嵌和小件工艺原料</x:v>
      </x:c>
      <x:c r="J88" s="13" t="str">
        <x:v>作为近世海洋贸易素材进入游戏经济。</x:v>
      </x:c>
      <x:c r="K88" s="36" t="b">
        <x:v>0</x:v>
      </x:c>
      <x:c r="L88" s="13" t="str"/>
      <x:c r="M88" s="13" t="str">
        <x:v>真实商品类别；供货分布、价格与抽象单位为原创设计</x:v>
      </x:c>
      <x:c r="N88" s="13" t="str"/>
    </x:row>
    <x:row r="89" ht="31" customHeight="1">
      <x:c r="A89" s="15" t="str">
        <x:v>G084</x:v>
      </x:c>
      <x:c r="B89" s="15" t="str">
        <x:v>乳香</x:v>
      </x:c>
      <x:c r="C89" s="15" t="str">
        <x:v>香料</x:v>
      </x:c>
      <x:c r="D89" s="30" t="n">
        <x:v>340</x:v>
      </x:c>
      <x:c r="E89" s="44" t="n">
        <x:v>1</x:v>
      </x:c>
      <x:c r="F89" s="30" t="n">
        <x:v>0</x:v>
      </x:c>
      <x:c r="G89" s="15" t="str">
        <x:v>R05；R06</x:v>
      </x:c>
      <x:c r="H89" s="15" t="str">
        <x:v>香料工坊；宫廷；宗教生活</x:v>
      </x:c>
      <x:c r="I89" s="15" t="str">
        <x:v>熏香与香料订单</x:v>
      </x:c>
      <x:c r="J89" s="15" t="str">
        <x:v>阿曼及红海商队共同连接长距离香路。</x:v>
      </x:c>
      <x:c r="K89" s="45" t="b">
        <x:v>0</x:v>
      </x:c>
      <x:c r="L89" s="15" t="str"/>
      <x:c r="M89" s="15" t="str">
        <x:v>真实商品类别；供货分布、价格与抽象单位为原创设计</x:v>
      </x:c>
      <x:c r="N89" s="15" t="str">
        <x:v>WT-H06</x:v>
      </x:c>
    </x:row>
    <x:row r="90" ht="31" customHeight="1">
      <x:c r="A90" s="13" t="str">
        <x:v>G085</x:v>
      </x:c>
      <x:c r="B90" s="13" t="str">
        <x:v>没药</x:v>
      </x:c>
      <x:c r="C90" s="13" t="str">
        <x:v>香料</x:v>
      </x:c>
      <x:c r="D90" s="27" t="n">
        <x:v>280</x:v>
      </x:c>
      <x:c r="E90" s="42" t="n">
        <x:v>1</x:v>
      </x:c>
      <x:c r="F90" s="27" t="n">
        <x:v>0</x:v>
      </x:c>
      <x:c r="G90" s="13" t="str">
        <x:v>R05；R06</x:v>
      </x:c>
      <x:c r="H90" s="13" t="str">
        <x:v>药房；香料工坊；宗教生活</x:v>
      </x:c>
      <x:c r="I90" s="13" t="str">
        <x:v>调香与药房原料</x:v>
      </x:c>
      <x:c r="J90" s="13" t="str">
        <x:v>树脂香块装进小陶罐。</x:v>
      </x:c>
      <x:c r="K90" s="36" t="b">
        <x:v>0</x:v>
      </x:c>
      <x:c r="L90" s="13" t="str"/>
      <x:c r="M90" s="13" t="str">
        <x:v>真实商品类别；供货分布、价格与抽象单位为原创设计</x:v>
      </x:c>
      <x:c r="N90" s="13" t="str"/>
    </x:row>
    <x:row r="91" ht="31" customHeight="1">
      <x:c r="A91" s="15" t="str">
        <x:v>G086</x:v>
      </x:c>
      <x:c r="B91" s="15" t="str">
        <x:v>龙涎香</x:v>
      </x:c>
      <x:c r="C91" s="15" t="str">
        <x:v>香料</x:v>
      </x:c>
      <x:c r="D91" s="30" t="n">
        <x:v>1100</x:v>
      </x:c>
      <x:c r="E91" s="44" t="n">
        <x:v>1</x:v>
      </x:c>
      <x:c r="F91" s="30" t="n">
        <x:v>0</x:v>
      </x:c>
      <x:c r="G91" s="15" t="str">
        <x:v>R04；R05；R06；R10；R12</x:v>
      </x:c>
      <x:c r="H91" s="15" t="str">
        <x:v>香料工坊；宫廷</x:v>
      </x:c>
      <x:c r="I91" s="15" t="str">
        <x:v>高级香水定香材料</x:v>
      </x:c>
      <x:c r="J91" s="15" t="str">
        <x:v>稀少海漂货，供货小批且受季节事件影响。</x:v>
      </x:c>
      <x:c r="K91" s="45" t="b">
        <x:v>0</x:v>
      </x:c>
      <x:c r="L91" s="15" t="str"/>
      <x:c r="M91" s="15" t="str">
        <x:v>真实商品类别；供货分布、价格与抽象单位为原创设计</x:v>
      </x:c>
      <x:c r="N91" s="15" t="str"/>
    </x:row>
    <x:row r="92" ht="31" customHeight="1">
      <x:c r="A92" s="13" t="str">
        <x:v>G087</x:v>
      </x:c>
      <x:c r="B92" s="13" t="str">
        <x:v>香水</x:v>
      </x:c>
      <x:c r="C92" s="13" t="str">
        <x:v>香料</x:v>
      </x:c>
      <x:c r="D92" s="27" t="n">
        <x:v>570</x:v>
      </x:c>
      <x:c r="E92" s="42" t="n">
        <x:v>1</x:v>
      </x:c>
      <x:c r="F92" s="27" t="n">
        <x:v>0</x:v>
      </x:c>
      <x:c r="G92" s="13" t="str">
        <x:v>R02；R03；R06；R07</x:v>
      </x:c>
      <x:c r="H92" s="13" t="str">
        <x:v>宫廷；礼品；宴会</x:v>
      </x:c>
      <x:c r="I92" s="13" t="str">
        <x:v>高价礼物与社交订单</x:v>
      </x:c>
      <x:c r="J92" s="13" t="str">
        <x:v>将数种远方原料浓缩成当地工坊品牌。</x:v>
      </x:c>
      <x:c r="K92" s="36" t="b">
        <x:v>0</x:v>
      </x:c>
      <x:c r="L92" s="13" t="str"/>
      <x:c r="M92" s="13" t="str">
        <x:v>真实商品类别；供货分布、价格与抽象单位为原创设计</x:v>
      </x:c>
      <x:c r="N92" s="13" t="str"/>
    </x:row>
    <x:row r="93" ht="31" customHeight="1">
      <x:c r="A93" s="15" t="str">
        <x:v>G088</x:v>
      </x:c>
      <x:c r="B93" s="15" t="str">
        <x:v>蜂蜡</x:v>
      </x:c>
      <x:c r="C93" s="15" t="str">
        <x:v>工业品</x:v>
      </x:c>
      <x:c r="D93" s="30" t="n">
        <x:v>110</x:v>
      </x:c>
      <x:c r="E93" s="44" t="n">
        <x:v>1</x:v>
      </x:c>
      <x:c r="F93" s="30" t="n">
        <x:v>0</x:v>
      </x:c>
      <x:c r="G93" s="15" t="str">
        <x:v>R01；R02；R03；R04；R05；R07；R11</x:v>
      </x:c>
      <x:c r="H93" s="15" t="str">
        <x:v>照明；细工工坊；船厂</x:v>
      </x:c>
      <x:c r="I93" s="15" t="str">
        <x:v>蜡烛、抛光与维护</x:v>
      </x:c>
      <x:c r="J93" s="15" t="str">
        <x:v>香与蜡可组成节庆补货路线。</x:v>
      </x:c>
      <x:c r="K93" s="45" t="b">
        <x:v>0</x:v>
      </x:c>
      <x:c r="L93" s="15" t="str"/>
      <x:c r="M93" s="15" t="str">
        <x:v>真实商品类别；供货分布、价格与抽象单位为原创设计</x:v>
      </x:c>
      <x:c r="N93" s="15" t="str"/>
    </x:row>
    <x:row r="94" ht="31" customHeight="1">
      <x:c r="A94" s="13" t="str">
        <x:v>G089</x:v>
      </x:c>
      <x:c r="B94" s="13" t="str">
        <x:v>阿拉伯胶</x:v>
      </x:c>
      <x:c r="C94" s="13" t="str">
        <x:v>工业品</x:v>
      </x:c>
      <x:c r="D94" s="27" t="n">
        <x:v>160</x:v>
      </x:c>
      <x:c r="E94" s="42" t="n">
        <x:v>1</x:v>
      </x:c>
      <x:c r="F94" s="27" t="n">
        <x:v>0</x:v>
      </x:c>
      <x:c r="G94" s="13" t="str">
        <x:v>R04；R06</x:v>
      </x:c>
      <x:c r="H94" s="13" t="str">
        <x:v>染织工坊；画室；印刷工坊</x:v>
      </x:c>
      <x:c r="I94" s="13" t="str">
        <x:v>颜料、印刷与粘合</x:v>
      </x:c>
      <x:c r="J94" s="13" t="str">
        <x:v>干燥内陆树胶经河口和商队港输出。</x:v>
      </x:c>
      <x:c r="K94" s="36" t="b">
        <x:v>0</x:v>
      </x:c>
      <x:c r="L94" s="13" t="str"/>
      <x:c r="M94" s="13" t="str">
        <x:v>真实商品类别；供货分布、价格与抽象单位为原创设计</x:v>
      </x:c>
      <x:c r="N94" s="13" t="str"/>
    </x:row>
    <x:row r="95" ht="31" customHeight="1">
      <x:c r="A95" s="15" t="str">
        <x:v>G090</x:v>
      </x:c>
      <x:c r="B95" s="15" t="str">
        <x:v>树脂</x:v>
      </x:c>
      <x:c r="C95" s="15" t="str">
        <x:v>工业品</x:v>
      </x:c>
      <x:c r="D95" s="30" t="n">
        <x:v>95</x:v>
      </x:c>
      <x:c r="E95" s="44" t="n">
        <x:v>1</x:v>
      </x:c>
      <x:c r="F95" s="30" t="n">
        <x:v>0</x:v>
      </x:c>
      <x:c r="G95" s="15" t="str">
        <x:v>R01；R02；R08；R09；R10；R11；R12</x:v>
      </x:c>
      <x:c r="H95" s="15" t="str">
        <x:v>船厂；修船；香料工坊</x:v>
      </x:c>
      <x:c r="I95" s="15" t="str">
        <x:v>捻缝、木工与熏香原料</x:v>
      </x:c>
      <x:c r="J95" s="15" t="str">
        <x:v>各地产树脂合并为基础类，珍稀香脂另列特产。</x:v>
      </x:c>
      <x:c r="K95" s="45" t="b">
        <x:v>0</x:v>
      </x:c>
      <x:c r="L95" s="15" t="str"/>
      <x:c r="M95" s="15" t="str">
        <x:v>真实商品类别；供货分布、价格与抽象单位为原创设计</x:v>
      </x:c>
      <x:c r="N95" s="15" t="str"/>
    </x:row>
    <x:row r="96" ht="31" customHeight="1">
      <x:c r="A96" s="13" t="str">
        <x:v>G091</x:v>
      </x:c>
      <x:c r="B96" s="13" t="str">
        <x:v>鱼油</x:v>
      </x:c>
      <x:c r="C96" s="13" t="str">
        <x:v>工业品</x:v>
      </x:c>
      <x:c r="D96" s="27" t="n">
        <x:v>80</x:v>
      </x:c>
      <x:c r="E96" s="42" t="n">
        <x:v>1</x:v>
      </x:c>
      <x:c r="F96" s="27" t="n">
        <x:v>180</x:v>
      </x:c>
      <x:c r="G96" s="13" t="str">
        <x:v>R01；R04；R09；R10；R11</x:v>
      </x:c>
      <x:c r="H96" s="13" t="str">
        <x:v>照明；船厂；城市消费</x:v>
      </x:c>
      <x:c r="I96" s="13" t="str">
        <x:v>灯油与维护</x:v>
      </x:c>
      <x:c r="J96" s="13" t="str">
        <x:v>北方渔业的第二条收益线。</x:v>
      </x:c>
      <x:c r="K96" s="36" t="b">
        <x:v>0</x:v>
      </x:c>
      <x:c r="L96" s="13" t="str"/>
      <x:c r="M96" s="13" t="str">
        <x:v>真实商品类别；供货分布、价格与抽象单位为原创设计</x:v>
      </x:c>
      <x:c r="N96" s="13" t="str"/>
    </x:row>
    <x:row r="97" ht="31" customHeight="1">
      <x:c r="A97" s="15" t="str">
        <x:v>G092</x:v>
      </x:c>
      <x:c r="B97" s="15" t="str">
        <x:v>海藻</x:v>
      </x:c>
      <x:c r="C97" s="15" t="str">
        <x:v>食品</x:v>
      </x:c>
      <x:c r="D97" s="30" t="n">
        <x:v>45</x:v>
      </x:c>
      <x:c r="E97" s="44" t="n">
        <x:v>1</x:v>
      </x:c>
      <x:c r="F97" s="30" t="n">
        <x:v>90</x:v>
      </x:c>
      <x:c r="G97" s="15" t="str">
        <x:v>R01；R09；R11；R12</x:v>
      </x:c>
      <x:c r="H97" s="15" t="str">
        <x:v>城市口粮；药房</x:v>
      </x:c>
      <x:c r="I97" s="15" t="str">
        <x:v>干菜与加工原料</x:v>
      </x:c>
      <x:c r="J97" s="15" t="str">
        <x:v>以干制海藻计货，沿冷水岸线容易补货。</x:v>
      </x:c>
      <x:c r="K97" s="45" t="b">
        <x:v>0</x:v>
      </x:c>
      <x:c r="L97" s="15" t="str"/>
      <x:c r="M97" s="15" t="str">
        <x:v>真实商品类别；供货分布、价格与抽象单位为原创设计</x:v>
      </x:c>
      <x:c r="N97" s="15" t="str"/>
    </x:row>
    <x:row r="98" ht="31" customHeight="1">
      <x:c r="A98" s="13" t="str">
        <x:v>G093</x:v>
      </x:c>
      <x:c r="B98" s="13" t="str">
        <x:v>干果</x:v>
      </x:c>
      <x:c r="C98" s="13" t="str">
        <x:v>食品</x:v>
      </x:c>
      <x:c r="D98" s="27" t="n">
        <x:v>85</x:v>
      </x:c>
      <x:c r="E98" s="42" t="n">
        <x:v>1</x:v>
      </x:c>
      <x:c r="F98" s="27" t="n">
        <x:v>180</x:v>
      </x:c>
      <x:c r="G98" s="13" t="str">
        <x:v>R02；R03；R04；R06；R07；R11</x:v>
      </x:c>
      <x:c r="H98" s="13" t="str">
        <x:v>远航补给；甜食</x:v>
      </x:c>
      <x:c r="I98" s="13" t="str">
        <x:v>航海口粮与糕点</x:v>
      </x:c>
      <x:c r="J98" s="13" t="str">
        <x:v>包含当地葡萄干、无花果干及坚果组合。</x:v>
      </x:c>
      <x:c r="K98" s="36" t="b">
        <x:v>0</x:v>
      </x:c>
      <x:c r="L98" s="13" t="str"/>
      <x:c r="M98" s="13" t="str">
        <x:v>真实商品类别；供货分布、价格与抽象单位为原创设计</x:v>
      </x:c>
      <x:c r="N98" s="13" t="str"/>
    </x:row>
    <x:row r="99" ht="42" customHeight="1">
      <x:c r="A99" s="15" t="str">
        <x:v>G094</x:v>
      </x:c>
      <x:c r="B99" s="15" t="str">
        <x:v>柑橘</x:v>
      </x:c>
      <x:c r="C99" s="15" t="str">
        <x:v>食品</x:v>
      </x:c>
      <x:c r="D99" s="30" t="n">
        <x:v>62</x:v>
      </x:c>
      <x:c r="E99" s="44" t="n">
        <x:v>1</x:v>
      </x:c>
      <x:c r="F99" s="30" t="n">
        <x:v>28</x:v>
      </x:c>
      <x:c r="G99" s="15" t="str">
        <x:v>R02；R03；R04；R05；R08；R09；R10；R11</x:v>
      </x:c>
      <x:c r="H99" s="15" t="str">
        <x:v>远航补给；城市消费</x:v>
      </x:c>
      <x:c r="I99" s="15" t="str">
        <x:v>补给与果酱工坊</x:v>
      </x:c>
      <x:c r="J99" s="15" t="str">
        <x:v>短保鲜货可换来长航线上的高额补给需求。</x:v>
      </x:c>
      <x:c r="K99" s="45" t="b">
        <x:v>0</x:v>
      </x:c>
      <x:c r="L99" s="15" t="str"/>
      <x:c r="M99" s="15" t="str">
        <x:v>真实商品类别；供货分布、价格与抽象单位为原创设计</x:v>
      </x:c>
      <x:c r="N99" s="15" t="str"/>
    </x:row>
    <x:row r="100" ht="31" customHeight="1">
      <x:c r="A100" s="13" t="str">
        <x:v>G095</x:v>
      </x:c>
      <x:c r="B100" s="13" t="str">
        <x:v>干椰肉</x:v>
      </x:c>
      <x:c r="C100" s="13" t="str">
        <x:v>食品</x:v>
      </x:c>
      <x:c r="D100" s="27" t="n">
        <x:v>60</x:v>
      </x:c>
      <x:c r="E100" s="42" t="n">
        <x:v>1</x:v>
      </x:c>
      <x:c r="F100" s="27" t="n">
        <x:v>180</x:v>
      </x:c>
      <x:c r="G100" s="13" t="str">
        <x:v>R05；R07；R08；R12</x:v>
      </x:c>
      <x:c r="H100" s="13" t="str">
        <x:v>远航补给；榨油工坊</x:v>
      </x:c>
      <x:c r="I100" s="13" t="str">
        <x:v>食物与椰子油原料</x:v>
      </x:c>
      <x:c r="J100" s="13" t="str">
        <x:v>群岛港口最容易成规模的双用货物之一。</x:v>
      </x:c>
      <x:c r="K100" s="36" t="b">
        <x:v>0</x:v>
      </x:c>
      <x:c r="L100" s="13" t="str"/>
      <x:c r="M100" s="13" t="str">
        <x:v>真实商品类别；供货分布、价格与抽象单位为原创设计</x:v>
      </x:c>
      <x:c r="N100" s="13" t="str"/>
    </x:row>
    <x:row r="101" ht="42" customHeight="1">
      <x:c r="A101" s="15" t="str">
        <x:v>G096</x:v>
      </x:c>
      <x:c r="B101" s="15" t="str">
        <x:v>贝壳工艺品</x:v>
      </x:c>
      <x:c r="C101" s="15" t="str">
        <x:v>工艺品</x:v>
      </x:c>
      <x:c r="D101" s="30" t="n">
        <x:v>210</x:v>
      </x:c>
      <x:c r="E101" s="44" t="n">
        <x:v>1</x:v>
      </x:c>
      <x:c r="F101" s="30" t="n">
        <x:v>0</x:v>
      </x:c>
      <x:c r="G101" s="15" t="str">
        <x:v>R01；R04；R05；R06；R08；R09；R10；R11；R12</x:v>
      </x:c>
      <x:c r="H101" s="15" t="str">
        <x:v>礼品；收藏；宴会</x:v>
      </x:c>
      <x:c r="I101" s="15" t="str">
        <x:v>新制工坊饰品与礼物</x:v>
      </x:c>
      <x:c r="J101" s="15" t="str">
        <x:v>每地的刻纹、串饰与镶嵌形成外观差别。</x:v>
      </x:c>
      <x:c r="K101" s="45" t="b">
        <x:v>0</x:v>
      </x:c>
      <x:c r="L101" s="15" t="str"/>
      <x:c r="M101" s="15" t="str">
        <x:v>真实商品类别；供货分布、价格与抽象单位为原创设计</x:v>
      </x:c>
      <x:c r="N101" s="15" t="str"/>
    </x:row>
    <x:row r="102" ht="31" customHeight="1">
      <x:c r="A102" s="13" t="str">
        <x:v>G097</x:v>
      </x:c>
      <x:c r="B102" s="13" t="str">
        <x:v>烟草</x:v>
      </x:c>
      <x:c r="C102" s="13" t="str">
        <x:v>嗜好品</x:v>
      </x:c>
      <x:c r="D102" s="27" t="n">
        <x:v>180</x:v>
      </x:c>
      <x:c r="E102" s="42" t="n">
        <x:v>1</x:v>
      </x:c>
      <x:c r="F102" s="27" t="n">
        <x:v>240</x:v>
      </x:c>
      <x:c r="G102" s="13" t="str">
        <x:v>R07；R08；R09；R10；R11</x:v>
      </x:c>
      <x:c r="H102" s="13" t="str">
        <x:v>酒馆；城市消费；礼品</x:v>
      </x:c>
      <x:c r="I102" s="13" t="str">
        <x:v>酒馆与商会订单</x:v>
      </x:c>
      <x:c r="J102" s="13" t="str">
        <x:v>采用传播后的近世经济分布。</x:v>
      </x:c>
      <x:c r="K102" s="36" t="b">
        <x:v>0</x:v>
      </x:c>
      <x:c r="L102" s="13" t="str"/>
      <x:c r="M102" s="13" t="str">
        <x:v>真实商品类别；供货分布、价格与抽象单位为原创设计</x:v>
      </x:c>
      <x:c r="N102" s="13" t="str"/>
    </x:row>
    <x:row r="103" ht="31" customHeight="1">
      <x:c r="A103" s="15" t="str">
        <x:v>G098</x:v>
      </x:c>
      <x:c r="B103" s="15" t="str">
        <x:v>书籍</x:v>
      </x:c>
      <x:c r="C103" s="15" t="str">
        <x:v>奢侈品</x:v>
      </x:c>
      <x:c r="D103" s="30" t="n">
        <x:v>280</x:v>
      </x:c>
      <x:c r="E103" s="44" t="n">
        <x:v>1</x:v>
      </x:c>
      <x:c r="F103" s="30" t="n">
        <x:v>0</x:v>
      </x:c>
      <x:c r="G103" s="15" t="str">
        <x:v>R01；R02；R03；R06；R07；R09；R10</x:v>
      </x:c>
      <x:c r="H103" s="15" t="str">
        <x:v>学会；印刷工坊；收藏</x:v>
      </x:c>
      <x:c r="I103" s="15" t="str">
        <x:v>学会订单与文化传播</x:v>
      </x:c>
      <x:c r="J103" s="15" t="str">
        <x:v>商品是抄印的新书批次；探索文献另列探索物。</x:v>
      </x:c>
      <x:c r="K103" s="45" t="b">
        <x:v>0</x:v>
      </x:c>
      <x:c r="L103" s="15" t="str"/>
      <x:c r="M103" s="15" t="str">
        <x:v>真实商品类别；供货分布、价格与抽象单位为原创设计</x:v>
      </x:c>
      <x:c r="N103" s="15" t="str"/>
    </x:row>
    <x:row r="104" ht="31" customHeight="1">
      <x:c r="A104" s="13" t="str">
        <x:v>G099</x:v>
      </x:c>
      <x:c r="B104" s="13" t="str">
        <x:v>航海仪器</x:v>
      </x:c>
      <x:c r="C104" s="13" t="str">
        <x:v>奢侈品</x:v>
      </x:c>
      <x:c r="D104" s="27" t="n">
        <x:v>650</x:v>
      </x:c>
      <x:c r="E104" s="42" t="n">
        <x:v>1</x:v>
      </x:c>
      <x:c r="F104" s="27" t="n">
        <x:v>0</x:v>
      </x:c>
      <x:c r="G104" s="13" t="str">
        <x:v>R01；R02；R03；R06；R08；R09</x:v>
      </x:c>
      <x:c r="H104" s="13" t="str">
        <x:v>学会；船厂；远航补给</x:v>
      </x:c>
      <x:c r="I104" s="13" t="str">
        <x:v>航海工坊、舰队升级订单</x:v>
      </x:c>
      <x:c r="J104" s="13" t="str">
        <x:v>通用仪器货；可装备珍品由探索和改造表定义。</x:v>
      </x:c>
      <x:c r="K104" s="36" t="b">
        <x:v>0</x:v>
      </x:c>
      <x:c r="L104" s="13" t="str"/>
      <x:c r="M104" s="13" t="str">
        <x:v>真实商品类别；供货分布、价格与抽象单位为原创设计</x:v>
      </x:c>
      <x:c r="N104" s="13" t="str"/>
    </x:row>
    <x:row r="105" ht="31" customHeight="1">
      <x:c r="A105" s="15" t="str">
        <x:v>G100</x:v>
      </x:c>
      <x:c r="B105" s="15" t="str">
        <x:v>钟表</x:v>
      </x:c>
      <x:c r="C105" s="15" t="str">
        <x:v>奢侈品</x:v>
      </x:c>
      <x:c r="D105" s="30" t="n">
        <x:v>900</x:v>
      </x:c>
      <x:c r="E105" s="44" t="n">
        <x:v>1</x:v>
      </x:c>
      <x:c r="F105" s="30" t="n">
        <x:v>0</x:v>
      </x:c>
      <x:c r="G105" s="15" t="str">
        <x:v>R01；R02；R03；R09</x:v>
      </x:c>
      <x:c r="H105" s="15" t="str">
        <x:v>宫廷；学会；收藏</x:v>
      </x:c>
      <x:c r="I105" s="15" t="str">
        <x:v>高档礼物与工坊委托</x:v>
      </x:c>
      <x:c r="J105" s="15" t="str">
        <x:v>复杂计时器在本作中成为跨文化制造成果。</x:v>
      </x:c>
      <x:c r="K105" s="45" t="b">
        <x:v>0</x:v>
      </x:c>
      <x:c r="L105" s="15" t="str"/>
      <x:c r="M105" s="15" t="str">
        <x:v>真实商品类别；供货分布、价格与抽象单位为原创设计</x:v>
      </x:c>
      <x:c r="N105" s="15" t="str"/>
    </x:row>
    <x:row r="106" ht="42" customHeight="1">
      <x:c r="A106" s="13" t="str">
        <x:v>G101</x:v>
      </x:c>
      <x:c r="B106" s="13" t="str">
        <x:v>药草</x:v>
      </x:c>
      <x:c r="C106" s="13" t="str">
        <x:v>药材</x:v>
      </x:c>
      <x:c r="D106" s="27" t="n">
        <x:v>130</x:v>
      </x:c>
      <x:c r="E106" s="42" t="n">
        <x:v>1</x:v>
      </x:c>
      <x:c r="F106" s="27" t="n">
        <x:v>180</x:v>
      </x:c>
      <x:c r="G106" s="13" t="str">
        <x:v>R01；R02；R03；R04；R05；R06；R07；R08；R09；R10；R11；R12</x:v>
      </x:c>
      <x:c r="H106" s="13" t="str">
        <x:v>药房；远航补给</x:v>
      </x:c>
      <x:c r="I106" s="13" t="str">
        <x:v>船医与药房订单</x:v>
      </x:c>
      <x:c r="J106" s="13" t="str">
        <x:v>当地干燥植物材料的抽象货批，不提供现实医疗配方。</x:v>
      </x:c>
      <x:c r="K106" s="36" t="b">
        <x:v>0</x:v>
      </x:c>
      <x:c r="L106" s="13" t="str"/>
      <x:c r="M106" s="13" t="str">
        <x:v>真实商品类别；供货分布、价格与抽象单位为原创设计</x:v>
      </x:c>
      <x:c r="N106" s="13" t="str"/>
    </x:row>
    <x:row r="107" ht="31" customHeight="1">
      <x:c r="A107" s="15" t="str">
        <x:v>G102</x:v>
      </x:c>
      <x:c r="B107" s="15" t="str">
        <x:v>椰枣</x:v>
      </x:c>
      <x:c r="C107" s="15" t="str">
        <x:v>食品</x:v>
      </x:c>
      <x:c r="D107" s="30" t="n">
        <x:v>78</x:v>
      </x:c>
      <x:c r="E107" s="44" t="n">
        <x:v>1</x:v>
      </x:c>
      <x:c r="F107" s="30" t="n">
        <x:v>180</x:v>
      </x:c>
      <x:c r="G107" s="15" t="str">
        <x:v>R04；R06</x:v>
      </x:c>
      <x:c r="H107" s="15" t="str">
        <x:v>远航补给；甜食；商队补给</x:v>
      </x:c>
      <x:c r="I107" s="15" t="str">
        <x:v>口粮与果脯</x:v>
      </x:c>
      <x:c r="J107" s="15" t="str">
        <x:v>沙海腹地输出的耐存甜味。</x:v>
      </x:c>
      <x:c r="K107" s="45" t="b">
        <x:v>0</x:v>
      </x:c>
      <x:c r="L107" s="15" t="str"/>
      <x:c r="M107" s="15" t="str">
        <x:v>真实商品类别；供货分布、价格与抽象单位为原创设计</x:v>
      </x:c>
      <x:c r="N107" s="15" t="str"/>
    </x:row>
    <x:row r="108" ht="31" customHeight="1">
      <x:c r="A108" s="13" t="str">
        <x:v>G103</x:v>
      </x:c>
      <x:c r="B108" s="13" t="str">
        <x:v>面包果</x:v>
      </x:c>
      <x:c r="C108" s="13" t="str">
        <x:v>粮食</x:v>
      </x:c>
      <x:c r="D108" s="27" t="n">
        <x:v>44</x:v>
      </x:c>
      <x:c r="E108" s="42" t="n">
        <x:v>1</x:v>
      </x:c>
      <x:c r="F108" s="27" t="n">
        <x:v>18</x:v>
      </x:c>
      <x:c r="G108" s="13" t="str">
        <x:v>R12</x:v>
      </x:c>
      <x:c r="H108" s="13" t="str">
        <x:v>群岛补给；城市口粮</x:v>
      </x:c>
      <x:c r="I108" s="13" t="str">
        <x:v>岛屿短途补给</x:v>
      </x:c>
      <x:c r="J108" s="13" t="str">
        <x:v>短保鲜鼓励在太平洋岛链建立接力航线。</x:v>
      </x:c>
      <x:c r="K108" s="36" t="b">
        <x:v>0</x:v>
      </x:c>
      <x:c r="L108" s="13" t="str"/>
      <x:c r="M108" s="13" t="str">
        <x:v>真实商品类别；供货分布、价格与抽象单位为原创设计</x:v>
      </x:c>
      <x:c r="N108" s="13" t="str"/>
    </x:row>
    <x:row r="109" ht="31" customHeight="1">
      <x:c r="A109" s="15" t="str">
        <x:v>G104</x:v>
      </x:c>
      <x:c r="B109" s="15" t="str">
        <x:v>芋头</x:v>
      </x:c>
      <x:c r="C109" s="15" t="str">
        <x:v>粮食</x:v>
      </x:c>
      <x:c r="D109" s="30" t="n">
        <x:v>40</x:v>
      </x:c>
      <x:c r="E109" s="44" t="n">
        <x:v>1</x:v>
      </x:c>
      <x:c r="F109" s="30" t="n">
        <x:v>35</x:v>
      </x:c>
      <x:c r="G109" s="15" t="str">
        <x:v>R07；R08；R12</x:v>
      </x:c>
      <x:c r="H109" s="15" t="str">
        <x:v>群岛补给；城市口粮</x:v>
      </x:c>
      <x:c r="I109" s="15" t="str">
        <x:v>岛屿口粮</x:v>
      </x:c>
      <x:c r="J109" s="15" t="str">
        <x:v>热带水田和岛屿菜园的扎实产出。</x:v>
      </x:c>
      <x:c r="K109" s="45" t="b">
        <x:v>0</x:v>
      </x:c>
      <x:c r="L109" s="15" t="str"/>
      <x:c r="M109" s="15" t="str">
        <x:v>真实商品类别；供货分布、价格与抽象单位为原创设计</x:v>
      </x:c>
      <x:c r="N109" s="15" t="str"/>
    </x:row>
    <x:row r="110" ht="31" customHeight="1">
      <x:c r="A110" s="13" t="str">
        <x:v>G105</x:v>
      </x:c>
      <x:c r="B110" s="13" t="str">
        <x:v>木薯</x:v>
      </x:c>
      <x:c r="C110" s="13" t="str">
        <x:v>粮食</x:v>
      </x:c>
      <x:c r="D110" s="27" t="n">
        <x:v>36</x:v>
      </x:c>
      <x:c r="E110" s="42" t="n">
        <x:v>1</x:v>
      </x:c>
      <x:c r="F110" s="27" t="n">
        <x:v>90</x:v>
      </x:c>
      <x:c r="G110" s="13" t="str">
        <x:v>R04；R05；R10；R11</x:v>
      </x:c>
      <x:c r="H110" s="13" t="str">
        <x:v>城市口粮；远航补给</x:v>
      </x:c>
      <x:c r="I110" s="13" t="str">
        <x:v>以干片或粉计货</x:v>
      </x:c>
      <x:c r="J110" s="13" t="str">
        <x:v>美洲原产作物，非洲供货采用传播后的时代组合。</x:v>
      </x:c>
      <x:c r="K110" s="36" t="b">
        <x:v>0</x:v>
      </x:c>
      <x:c r="L110" s="13" t="str"/>
      <x:c r="M110" s="13" t="str">
        <x:v>真实商品类别；供货分布、价格与抽象单位为原创设计</x:v>
      </x:c>
      <x:c r="N110" s="13" t="str"/>
    </x:row>
    <x:row r="111" ht="31" customHeight="1">
      <x:c r="A111" s="15" t="str">
        <x:v>G106</x:v>
      </x:c>
      <x:c r="B111" s="15" t="str">
        <x:v>西谷米</x:v>
      </x:c>
      <x:c r="C111" s="15" t="str">
        <x:v>粮食</x:v>
      </x:c>
      <x:c r="D111" s="30" t="n">
        <x:v>43</x:v>
      </x:c>
      <x:c r="E111" s="44" t="n">
        <x:v>1</x:v>
      </x:c>
      <x:c r="F111" s="30" t="n">
        <x:v>180</x:v>
      </x:c>
      <x:c r="G111" s="15" t="str">
        <x:v>R08；R12</x:v>
      </x:c>
      <x:c r="H111" s="15" t="str">
        <x:v>群岛补给；城市口粮</x:v>
      </x:c>
      <x:c r="I111" s="15" t="str">
        <x:v>岛屿淀粉干粮</x:v>
      </x:c>
      <x:c r="J111" s="15" t="str">
        <x:v>以加工后的棕榈淀粉计货。</x:v>
      </x:c>
      <x:c r="K111" s="45" t="b">
        <x:v>0</x:v>
      </x:c>
      <x:c r="L111" s="15" t="str"/>
      <x:c r="M111" s="15" t="str">
        <x:v>真实商品类别；供货分布、价格与抽象单位为原创设计</x:v>
      </x:c>
      <x:c r="N111" s="15" t="str"/>
    </x:row>
    <x:row r="112" ht="31" customHeight="1">
      <x:c r="A112" s="13" t="str">
        <x:v>G107</x:v>
      </x:c>
      <x:c r="B112" s="13" t="str">
        <x:v>藤材</x:v>
      </x:c>
      <x:c r="C112" s="13" t="str">
        <x:v>木材</x:v>
      </x:c>
      <x:c r="D112" s="27" t="n">
        <x:v>75</x:v>
      </x:c>
      <x:c r="E112" s="42" t="n">
        <x:v>1</x:v>
      </x:c>
      <x:c r="F112" s="27" t="n">
        <x:v>0</x:v>
      </x:c>
      <x:c r="G112" s="13" t="str">
        <x:v>R07；R08；R12</x:v>
      </x:c>
      <x:c r="H112" s="13" t="str">
        <x:v>细木工坊；船厂；人口增长</x:v>
      </x:c>
      <x:c r="I112" s="13" t="str">
        <x:v>编织、绑扎与家具</x:v>
      </x:c>
      <x:c r="J112" s="13" t="str">
        <x:v>柔韧长材把群岛工坊与大城市相连。</x:v>
      </x:c>
      <x:c r="K112" s="36" t="b">
        <x:v>0</x:v>
      </x:c>
      <x:c r="L112" s="13" t="str"/>
      <x:c r="M112" s="13" t="str">
        <x:v>真实商品类别；供货分布、价格与抽象单位为原创设计</x:v>
      </x:c>
      <x:c r="N112" s="13" t="str"/>
    </x:row>
    <x:row r="113" ht="31" customHeight="1">
      <x:c r="A113" s="15" t="str">
        <x:v>G108</x:v>
      </x:c>
      <x:c r="B113" s="15" t="str">
        <x:v>蕉麻</x:v>
      </x:c>
      <x:c r="C113" s="15" t="str">
        <x:v>纤维</x:v>
      </x:c>
      <x:c r="D113" s="30" t="n">
        <x:v>105</x:v>
      </x:c>
      <x:c r="E113" s="44" t="n">
        <x:v>1</x:v>
      </x:c>
      <x:c r="F113" s="30" t="n">
        <x:v>0</x:v>
      </x:c>
      <x:c r="G113" s="15" t="str">
        <x:v>R08</x:v>
      </x:c>
      <x:c r="H113" s="15" t="str">
        <x:v>索具工坊；船厂</x:v>
      </x:c>
      <x:c r="I113" s="15" t="str">
        <x:v>强韧绳索与帆具</x:v>
      </x:c>
      <x:c r="J113" s="15" t="str">
        <x:v>菲律宾区域工艺的重要材料。</x:v>
      </x:c>
      <x:c r="K113" s="45" t="b">
        <x:v>0</x:v>
      </x:c>
      <x:c r="L113" s="15" t="str"/>
      <x:c r="M113" s="15" t="str">
        <x:v>真实商品类别；供货分布、价格与抽象单位为原创设计</x:v>
      </x:c>
      <x:c r="N113" s="15" t="str"/>
    </x:row>
    <x:row r="114" ht="31" customHeight="1">
      <x:c r="A114" s="13" t="str">
        <x:v>G109</x:v>
      </x:c>
      <x:c r="B114" s="13" t="str">
        <x:v>树皮布</x:v>
      </x:c>
      <x:c r="C114" s="13" t="str">
        <x:v>织物</x:v>
      </x:c>
      <x:c r="D114" s="27" t="n">
        <x:v>195</x:v>
      </x:c>
      <x:c r="E114" s="42" t="n">
        <x:v>1</x:v>
      </x:c>
      <x:c r="F114" s="27" t="n">
        <x:v>0</x:v>
      </x:c>
      <x:c r="G114" s="13" t="str">
        <x:v>R08；R12</x:v>
      </x:c>
      <x:c r="H114" s="13" t="str">
        <x:v>城市衣料；礼品；收藏</x:v>
      </x:c>
      <x:c r="I114" s="13" t="str">
        <x:v>日用织物与新制工艺装饰</x:v>
      </x:c>
      <x:c r="J114" s="13" t="str">
        <x:v>取材于太平洋及部分亚洲的树皮布传统，专属纹样均为原创。</x:v>
      </x:c>
      <x:c r="K114" s="36" t="b">
        <x:v>0</x:v>
      </x:c>
      <x:c r="L114" s="13" t="str"/>
      <x:c r="M114" s="13" t="str">
        <x:v>真实商品类别；供货分布、价格与抽象单位为原创设计</x:v>
      </x:c>
      <x:c r="N114" s="13" t="str">
        <x:v>WT-H17</x:v>
      </x:c>
    </x:row>
    <x:row r="115" ht="31" customHeight="1">
      <x:c r="A115" s="15" t="str">
        <x:v>G110</x:v>
      </x:c>
      <x:c r="B115" s="15" t="str">
        <x:v>硬木</x:v>
      </x:c>
      <x:c r="C115" s="15" t="str">
        <x:v>木材</x:v>
      </x:c>
      <x:c r="D115" s="30" t="n">
        <x:v>135</x:v>
      </x:c>
      <x:c r="E115" s="44" t="n">
        <x:v>1</x:v>
      </x:c>
      <x:c r="F115" s="30" t="n">
        <x:v>0</x:v>
      </x:c>
      <x:c r="G115" s="15" t="str">
        <x:v>R04；R05；R07；R08；R10；R11；R12</x:v>
      </x:c>
      <x:c r="H115" s="15" t="str">
        <x:v>船厂；细木工坊；人口增长</x:v>
      </x:c>
      <x:c r="I115" s="15" t="str">
        <x:v>本地阔叶木材的基础贸易类</x:v>
      </x:c>
      <x:c r="J115" s="15" t="str">
        <x:v>不同木种在特产与船厂技术中表现，而非重复拆成数十种货。</x:v>
      </x:c>
      <x:c r="K115" s="45" t="b">
        <x:v>0</x:v>
      </x:c>
      <x:c r="L115" s="15" t="str"/>
      <x:c r="M115" s="15" t="str">
        <x:v>真实商品类别；供货分布、价格与抽象单位为原创设计</x:v>
      </x:c>
      <x:c r="N115" s="15" t="str"/>
    </x:row>
    <x:row r="116" ht="31" customHeight="1">
      <x:c r="A116" s="13" t="str">
        <x:v>SP001</x:v>
      </x:c>
      <x:c r="B116" s="13" t="str">
        <x:v>雾钟双盘航海表</x:v>
      </x:c>
      <x:c r="C116" s="13" t="str">
        <x:v>奢侈品</x:v>
      </x:c>
      <x:c r="D116" s="27" t="n">
        <x:v>1680</x:v>
      </x:c>
      <x:c r="E116" s="42" t="n">
        <x:v>1</x:v>
      </x:c>
      <x:c r="F116" s="27" t="n">
        <x:v>0</x:v>
      </x:c>
      <x:c r="G116" s="13" t="str">
        <x:v>R01</x:v>
      </x:c>
      <x:c r="H116" s="13" t="str">
        <x:v>宫廷；收藏；礼品</x:v>
      </x:c>
      <x:c r="I116" s="13" t="str">
        <x:v>伦敦专属贸易品牌；适用于宫廷、收藏、礼品订单与海员礼赠。</x:v>
      </x:c>
      <x:c r="J116" s="13" t="str">
        <x:v>银壳内并列沙漏与星时刻盘，工坊把阴天航行的焦虑做成一件精密礼物</x:v>
      </x:c>
      <x:c r="K116" s="36" t="b">
        <x:v>1</x:v>
      </x:c>
      <x:c r="L116" s="13" t="str">
        <x:v>P001</x:v>
      </x:c>
      <x:c r="M116" s="13" t="str">
        <x:v>原创命名、造型、品牌与发展路线；地域原料或工艺参考见港口历史备注。</x:v>
      </x:c>
      <x:c r="N116" s="13" t="str"/>
    </x:row>
    <x:row r="117" ht="31" customHeight="1">
      <x:c r="A117" s="15" t="str">
        <x:v>SP002</x:v>
      </x:c>
      <x:c r="B117" s="15" t="str">
        <x:v>蓝釉远洋药柜</x:v>
      </x:c>
      <x:c r="C117" s="15" t="str">
        <x:v>工艺品</x:v>
      </x:c>
      <x:c r="D117" s="30" t="n">
        <x:v>890</x:v>
      </x:c>
      <x:c r="E117" s="44" t="n">
        <x:v>1</x:v>
      </x:c>
      <x:c r="F117" s="30" t="n">
        <x:v>0</x:v>
      </x:c>
      <x:c r="G117" s="15" t="str">
        <x:v>R01</x:v>
      </x:c>
      <x:c r="H117" s="15" t="str">
        <x:v>收藏；礼品；宴会</x:v>
      </x:c>
      <x:c r="I117" s="15" t="str">
        <x:v>阿姆斯特丹专属贸易品牌；适用于收藏、礼品、宴会订单与海员礼赠。</x:v>
      </x:c>
      <x:c r="J117" s="15" t="str">
        <x:v>可拆格木柜嵌钴蓝陶抽屉，以百港花草绘制原创标签图案</x:v>
      </x:c>
      <x:c r="K117" s="45" t="b">
        <x:v>1</x:v>
      </x:c>
      <x:c r="L117" s="15" t="str">
        <x:v>P002</x:v>
      </x:c>
      <x:c r="M117" s="15" t="str">
        <x:v>原创命名、造型、品牌与发展路线；地域原料或工艺参考见港口历史备注。</x:v>
      </x:c>
      <x:c r="N117" s="15" t="str"/>
    </x:row>
    <x:row r="118" ht="31" customHeight="1">
      <x:c r="A118" s="13" t="str">
        <x:v>SP003</x:v>
      </x:c>
      <x:c r="B118" s="13" t="str">
        <x:v>易北铜箍航海桶</x:v>
      </x:c>
      <x:c r="C118" s="13" t="str">
        <x:v>工业品</x:v>
      </x:c>
      <x:c r="D118" s="27" t="n">
        <x:v>360</x:v>
      </x:c>
      <x:c r="E118" s="42" t="n">
        <x:v>1</x:v>
      </x:c>
      <x:c r="F118" s="27" t="n">
        <x:v>0</x:v>
      </x:c>
      <x:c r="G118" s="13" t="str">
        <x:v>R01</x:v>
      </x:c>
      <x:c r="H118" s="13" t="str">
        <x:v>船厂；工具工坊；工坊建设</x:v>
      </x:c>
      <x:c r="I118" s="13" t="str">
        <x:v>汉堡专属贸易品牌；适用于船厂、工具工坊、工坊建设订单与海员礼赠。</x:v>
      </x:c>
      <x:c r="J118" s="13" t="str">
        <x:v>蒸弯橡木桶配可拆铜箍，适用于淡水、酒与精细货物的港口订单</x:v>
      </x:c>
      <x:c r="K118" s="36" t="b">
        <x:v>1</x:v>
      </x:c>
      <x:c r="L118" s="13" t="str">
        <x:v>P003</x:v>
      </x:c>
      <x:c r="M118" s="13" t="str">
        <x:v>原创命名、造型、品牌与发展路线；地域原料或工艺参考见港口历史备注。</x:v>
      </x:c>
      <x:c r="N118" s="13" t="str"/>
    </x:row>
    <x:row r="119" ht="31" customHeight="1">
      <x:c r="A119" s="15" t="str">
        <x:v>SP004</x:v>
      </x:c>
      <x:c r="B119" s="15" t="str">
        <x:v>七港封蜡匣</x:v>
      </x:c>
      <x:c r="C119" s="15" t="str">
        <x:v>工艺品</x:v>
      </x:c>
      <x:c r="D119" s="30" t="n">
        <x:v>420</x:v>
      </x:c>
      <x:c r="E119" s="44" t="n">
        <x:v>1</x:v>
      </x:c>
      <x:c r="F119" s="30" t="n">
        <x:v>0</x:v>
      </x:c>
      <x:c r="G119" s="15" t="str">
        <x:v>R01</x:v>
      </x:c>
      <x:c r="H119" s="15" t="str">
        <x:v>收藏；礼品；宴会</x:v>
      </x:c>
      <x:c r="I119" s="15" t="str">
        <x:v>吕贝克专属贸易品牌；适用于收藏、礼品、宴会订单与海员礼赠。</x:v>
      </x:c>
      <x:c r="J119" s="15" t="str">
        <x:v>七种颜色的蜂蜡与黄铜印柄成套出售，图纹对应虚构商会而非现实官印</x:v>
      </x:c>
      <x:c r="K119" s="45" t="b">
        <x:v>1</x:v>
      </x:c>
      <x:c r="L119" s="15" t="str">
        <x:v>P004</x:v>
      </x:c>
      <x:c r="M119" s="15" t="str">
        <x:v>原创命名、造型、品牌与发展路线；地域原料或工艺参考见港口历史备注。</x:v>
      </x:c>
      <x:c r="N119" s="15" t="str"/>
    </x:row>
    <x:row r="120" ht="31" customHeight="1">
      <x:c r="A120" s="13" t="str">
        <x:v>SP005</x:v>
      </x:c>
      <x:c r="B120" s="13" t="str">
        <x:v>极昼白鳕礼匣</x:v>
      </x:c>
      <x:c r="C120" s="13" t="str">
        <x:v>食品</x:v>
      </x:c>
      <x:c r="D120" s="27" t="n">
        <x:v>285</x:v>
      </x:c>
      <x:c r="E120" s="42" t="n">
        <x:v>1</x:v>
      </x:c>
      <x:c r="F120" s="27" t="n">
        <x:v>200</x:v>
      </x:c>
      <x:c r="G120" s="13" t="str">
        <x:v>R01</x:v>
      </x:c>
      <x:c r="H120" s="13" t="str">
        <x:v>宴会；远航补给；礼品</x:v>
      </x:c>
      <x:c r="I120" s="13" t="str">
        <x:v>卑尔根专属贸易品牌；适用于宴会、远航补给、礼品订单与海员礼赠。</x:v>
      </x:c>
      <x:c r="J120" s="13" t="str">
        <x:v>精选薄切干鳕配盐纸与树皮绳，开箱可见鱼肉近乎珠白的纹理</x:v>
      </x:c>
      <x:c r="K120" s="36" t="b">
        <x:v>1</x:v>
      </x:c>
      <x:c r="L120" s="13" t="str">
        <x:v>P005</x:v>
      </x:c>
      <x:c r="M120" s="13" t="str">
        <x:v>原创命名、造型、品牌与发展路线；地域原料或工艺参考见港口历史备注。</x:v>
      </x:c>
      <x:c r="N120" s="13" t="str">
        <x:v>WT-H01</x:v>
      </x:c>
    </x:row>
    <x:row r="121" ht="31" customHeight="1">
      <x:c r="A121" s="15" t="str">
        <x:v>SP006</x:v>
      </x:c>
      <x:c r="B121" s="15" t="str">
        <x:v>双狮黄铜分规</x:v>
      </x:c>
      <x:c r="C121" s="15" t="str">
        <x:v>奢侈品</x:v>
      </x:c>
      <x:c r="D121" s="30" t="n">
        <x:v>840</x:v>
      </x:c>
      <x:c r="E121" s="44" t="n">
        <x:v>1</x:v>
      </x:c>
      <x:c r="F121" s="30" t="n">
        <x:v>0</x:v>
      </x:c>
      <x:c r="G121" s="15" t="str">
        <x:v>R01</x:v>
      </x:c>
      <x:c r="H121" s="15" t="str">
        <x:v>宫廷；收藏；礼品</x:v>
      </x:c>
      <x:c r="I121" s="15" t="str">
        <x:v>哥本哈根专属贸易品牌；适用于宫廷、收藏、礼品订单与海员礼赠。</x:v>
      </x:c>
      <x:c r="J121" s="15" t="str">
        <x:v>分规握柄以两只相向海狮构形，可折入皮革海图筒</x:v>
      </x:c>
      <x:c r="K121" s="45" t="b">
        <x:v>1</x:v>
      </x:c>
      <x:c r="L121" s="15" t="str">
        <x:v>P006</x:v>
      </x:c>
      <x:c r="M121" s="15" t="str">
        <x:v>原创命名、造型、品牌与发展路线；地域原料或工艺参考见港口历史备注。</x:v>
      </x:c>
      <x:c r="N121" s="15" t="str"/>
    </x:row>
    <x:row r="122" ht="31" customHeight="1">
      <x:c r="A122" s="13" t="str">
        <x:v>SP007</x:v>
      </x:c>
      <x:c r="B122" s="13" t="str">
        <x:v>铜冠折影烛台</x:v>
      </x:c>
      <x:c r="C122" s="13" t="str">
        <x:v>工艺品</x:v>
      </x:c>
      <x:c r="D122" s="27" t="n">
        <x:v>620</x:v>
      </x:c>
      <x:c r="E122" s="42" t="n">
        <x:v>1</x:v>
      </x:c>
      <x:c r="F122" s="27" t="n">
        <x:v>0</x:v>
      </x:c>
      <x:c r="G122" s="13" t="str">
        <x:v>R01</x:v>
      </x:c>
      <x:c r="H122" s="13" t="str">
        <x:v>收藏；礼品；宴会</x:v>
      </x:c>
      <x:c r="I122" s="13" t="str">
        <x:v>斯德哥尔摩专属贸易品牌；适用于收藏、礼品、宴会订单与海员礼赠。</x:v>
      </x:c>
      <x:c r="J122" s="13" t="str">
        <x:v>薄铜反光翼可展开，把一簇烛火铺成温暖船舱灯墙</x:v>
      </x:c>
      <x:c r="K122" s="36" t="b">
        <x:v>1</x:v>
      </x:c>
      <x:c r="L122" s="13" t="str">
        <x:v>P007</x:v>
      </x:c>
      <x:c r="M122" s="13" t="str">
        <x:v>原创命名、造型、品牌与发展路线；地域原料或工艺参考见港口历史备注。</x:v>
      </x:c>
      <x:c r="N122" s="13" t="str"/>
    </x:row>
    <x:row r="123" ht="31" customHeight="1">
      <x:c r="A123" s="15" t="str">
        <x:v>SP008</x:v>
      </x:c>
      <x:c r="B123" s="15" t="str">
        <x:v>潮封琥珀玫瑰</x:v>
      </x:c>
      <x:c r="C123" s="15" t="str">
        <x:v>宝石</x:v>
      </x:c>
      <x:c r="D123" s="30" t="n">
        <x:v>1120</x:v>
      </x:c>
      <x:c r="E123" s="44" t="n">
        <x:v>1</x:v>
      </x:c>
      <x:c r="F123" s="30" t="n">
        <x:v>0</x:v>
      </x:c>
      <x:c r="G123" s="15" t="str">
        <x:v>R01</x:v>
      </x:c>
      <x:c r="H123" s="15" t="str">
        <x:v>珠宝工坊；宫廷；收藏</x:v>
      </x:c>
      <x:c r="I123" s="15" t="str">
        <x:v>但泽专属贸易品牌；适用于珠宝工坊、宫廷、收藏订单与海员礼赠。</x:v>
      </x:c>
      <x:c r="J123" s="15" t="str">
        <x:v>以原产琥珀雕出半透明海浪花，内含植物碎屑的外观随品质变化</x:v>
      </x:c>
      <x:c r="K123" s="45" t="b">
        <x:v>1</x:v>
      </x:c>
      <x:c r="L123" s="15" t="str">
        <x:v>P008</x:v>
      </x:c>
      <x:c r="M123" s="15" t="str">
        <x:v>原创命名、造型、品牌与发展路线；地域原料或工艺参考见港口历史备注。</x:v>
      </x:c>
      <x:c r="N123" s="15" t="str"/>
    </x:row>
    <x:row r="124" ht="31" customHeight="1">
      <x:c r="A124" s="13" t="str">
        <x:v>SP009</x:v>
      </x:c>
      <x:c r="B124" s="13" t="str">
        <x:v>里加长纤帆布</x:v>
      </x:c>
      <x:c r="C124" s="13" t="str">
        <x:v>织物</x:v>
      </x:c>
      <x:c r="D124" s="27" t="n">
        <x:v>345</x:v>
      </x:c>
      <x:c r="E124" s="42" t="n">
        <x:v>1</x:v>
      </x:c>
      <x:c r="F124" s="27" t="n">
        <x:v>0</x:v>
      </x:c>
      <x:c r="G124" s="13" t="str">
        <x:v>R01</x:v>
      </x:c>
      <x:c r="H124" s="13" t="str">
        <x:v>奢华衣料；礼品；收藏</x:v>
      </x:c>
      <x:c r="I124" s="13" t="str">
        <x:v>里加专属贸易品牌；适用于奢华衣料、礼品、收藏订单与海员礼赠。</x:v>
      </x:c>
      <x:c r="J124" s="13" t="str">
        <x:v>以不同织密分成迎风与背风两区，织边缝上蓝灰航线花纹</x:v>
      </x:c>
      <x:c r="K124" s="36" t="b">
        <x:v>1</x:v>
      </x:c>
      <x:c r="L124" s="13" t="str">
        <x:v>P009</x:v>
      </x:c>
      <x:c r="M124" s="13" t="str">
        <x:v>原创命名、造型、品牌与发展路线；地域原料或工艺参考见港口历史备注。</x:v>
      </x:c>
      <x:c r="N124" s="13" t="str"/>
    </x:row>
    <x:row r="125" ht="31" customHeight="1">
      <x:c r="A125" s="15" t="str">
        <x:v>SP010</x:v>
      </x:c>
      <x:c r="B125" s="15" t="str">
        <x:v>火山盐烟鱼皮册</x:v>
      </x:c>
      <x:c r="C125" s="15" t="str">
        <x:v>工艺品</x:v>
      </x:c>
      <x:c r="D125" s="30" t="n">
        <x:v>430</x:v>
      </x:c>
      <x:c r="E125" s="44" t="n">
        <x:v>1</x:v>
      </x:c>
      <x:c r="F125" s="30" t="n">
        <x:v>0</x:v>
      </x:c>
      <x:c r="G125" s="15" t="str">
        <x:v>R01</x:v>
      </x:c>
      <x:c r="H125" s="15" t="str">
        <x:v>收藏；礼品；宴会</x:v>
      </x:c>
      <x:c r="I125" s="15" t="str">
        <x:v>雷克雅未克专属贸易品牌；适用于收藏、礼品、宴会订单与海员礼赠。</x:v>
      </x:c>
      <x:c r="J125" s="15" t="str">
        <x:v>以烟熏鱼皮装帧空白航海册，封面嵌细粒黑曜色火山玻璃；为原创工艺组合</x:v>
      </x:c>
      <x:c r="K125" s="45" t="b">
        <x:v>1</x:v>
      </x:c>
      <x:c r="L125" s="15" t="str">
        <x:v>P010</x:v>
      </x:c>
      <x:c r="M125" s="15" t="str">
        <x:v>原创命名、造型、品牌与发展路线；地域原料或工艺参考见港口历史备注。</x:v>
      </x:c>
      <x:c r="N125" s="15" t="str"/>
    </x:row>
    <x:row r="126" ht="31" customHeight="1">
      <x:c r="A126" s="13" t="str">
        <x:v>SP011</x:v>
      </x:c>
      <x:c r="B126" s="13" t="str">
        <x:v>蓝海星盘瓷盘</x:v>
      </x:c>
      <x:c r="C126" s="13" t="str">
        <x:v>工艺品</x:v>
      </x:c>
      <x:c r="D126" s="27" t="n">
        <x:v>780</x:v>
      </x:c>
      <x:c r="E126" s="42" t="n">
        <x:v>1</x:v>
      </x:c>
      <x:c r="F126" s="27" t="n">
        <x:v>0</x:v>
      </x:c>
      <x:c r="G126" s="13" t="str">
        <x:v>R02</x:v>
      </x:c>
      <x:c r="H126" s="13" t="str">
        <x:v>收藏；礼品；宴会</x:v>
      </x:c>
      <x:c r="I126" s="13" t="str">
        <x:v>里斯本专属贸易品牌；适用于收藏、礼品、宴会订单与海员礼赠。</x:v>
      </x:c>
      <x:c r="J126" s="13" t="str">
        <x:v>白釉蓝绘把南北星图拼为装饰图，盘沿刻有虚构航程纪念章</x:v>
      </x:c>
      <x:c r="K126" s="36" t="b">
        <x:v>1</x:v>
      </x:c>
      <x:c r="L126" s="13" t="str">
        <x:v>P011</x:v>
      </x:c>
      <x:c r="M126" s="13" t="str">
        <x:v>原创命名、造型、品牌与发展路线；地域原料或工艺参考见港口历史备注。</x:v>
      </x:c>
      <x:c r="N126" s="13" t="str"/>
    </x:row>
    <x:row r="127" ht="31" customHeight="1">
      <x:c r="A127" s="15" t="str">
        <x:v>SP012</x:v>
      </x:c>
      <x:c r="B127" s="15" t="str">
        <x:v>暮金杜罗陈酿</x:v>
      </x:c>
      <x:c r="C127" s="15" t="str">
        <x:v>酒类</x:v>
      </x:c>
      <x:c r="D127" s="30" t="n">
        <x:v>480</x:v>
      </x:c>
      <x:c r="E127" s="44" t="n">
        <x:v>1</x:v>
      </x:c>
      <x:c r="F127" s="30" t="n">
        <x:v>0</x:v>
      </x:c>
      <x:c r="G127" s="15" t="str">
        <x:v>R02</x:v>
      </x:c>
      <x:c r="H127" s="15" t="str">
        <x:v>酒馆；宴会；礼品</x:v>
      </x:c>
      <x:c r="I127" s="15" t="str">
        <x:v>波尔图专属贸易品牌；适用于酒馆、宴会、礼品订单与海员礼赠。</x:v>
      </x:c>
      <x:c r="J127" s="15" t="str">
        <x:v>红宝石色强化酒装入细长肩瓶，酒封上写满原创船名</x:v>
      </x:c>
      <x:c r="K127" s="45" t="b">
        <x:v>1</x:v>
      </x:c>
      <x:c r="L127" s="15" t="str">
        <x:v>P012</x:v>
      </x:c>
      <x:c r="M127" s="15" t="str">
        <x:v>原创命名、造型、品牌与发展路线；地域原料或工艺参考见港口历史备注。</x:v>
      </x:c>
      <x:c r="N127" s="15" t="str">
        <x:v>WT-H02</x:v>
      </x:c>
    </x:row>
    <x:row r="128" ht="31" customHeight="1">
      <x:c r="A128" s="13" t="str">
        <x:v>SP013</x:v>
      </x:c>
      <x:c r="B128" s="13" t="str">
        <x:v>橙花银线披肩</x:v>
      </x:c>
      <x:c r="C128" s="13" t="str">
        <x:v>织物</x:v>
      </x:c>
      <x:c r="D128" s="27" t="n">
        <x:v>950</x:v>
      </x:c>
      <x:c r="E128" s="42" t="n">
        <x:v>1</x:v>
      </x:c>
      <x:c r="F128" s="27" t="n">
        <x:v>0</x:v>
      </x:c>
      <x:c r="G128" s="13" t="str">
        <x:v>R02</x:v>
      </x:c>
      <x:c r="H128" s="13" t="str">
        <x:v>奢华衣料；礼品；收藏</x:v>
      </x:c>
      <x:c r="I128" s="13" t="str">
        <x:v>塞维利亚专属贸易品牌；适用于奢华衣料、礼品、收藏订单与海员礼赠。</x:v>
      </x:c>
      <x:c r="J128" s="13" t="str">
        <x:v>丝棉地织入银亮橙花纹，结合河港染坊与珠宝匠的原创款式</x:v>
      </x:c>
      <x:c r="K128" s="36" t="b">
        <x:v>1</x:v>
      </x:c>
      <x:c r="L128" s="13" t="str">
        <x:v>P013</x:v>
      </x:c>
      <x:c r="M128" s="13" t="str">
        <x:v>原创命名、造型、品牌与发展路线；地域原料或工艺参考见港口历史备注。</x:v>
      </x:c>
      <x:c r="N128" s="13" t="str"/>
    </x:row>
    <x:row r="129" ht="31" customHeight="1">
      <x:c r="A129" s="15" t="str">
        <x:v>SP014</x:v>
      </x:c>
      <x:c r="B129" s="15" t="str">
        <x:v>日晷塔雪莉珍酿</x:v>
      </x:c>
      <x:c r="C129" s="15" t="str">
        <x:v>酒类</x:v>
      </x:c>
      <x:c r="D129" s="30" t="n">
        <x:v>510</x:v>
      </x:c>
      <x:c r="E129" s="44" t="n">
        <x:v>1</x:v>
      </x:c>
      <x:c r="F129" s="30" t="n">
        <x:v>0</x:v>
      </x:c>
      <x:c r="G129" s="15" t="str">
        <x:v>R02</x:v>
      </x:c>
      <x:c r="H129" s="15" t="str">
        <x:v>酒馆；宴会；礼品</x:v>
      </x:c>
      <x:c r="I129" s="15" t="str">
        <x:v>加的斯专属贸易品牌；适用于酒馆、宴会、礼品订单与海员礼赠。</x:v>
      </x:c>
      <x:c r="J129" s="15" t="str">
        <x:v>琥珀色葡萄酒经多桶调配，以瞭望塔投影命名各批次</x:v>
      </x:c>
      <x:c r="K129" s="45" t="b">
        <x:v>1</x:v>
      </x:c>
      <x:c r="L129" s="15" t="str">
        <x:v>P014</x:v>
      </x:c>
      <x:c r="M129" s="15" t="str">
        <x:v>原创命名、造型、品牌与发展路线；地域原料或工艺参考见港口历史备注。</x:v>
      </x:c>
      <x:c r="N129" s="15" t="str"/>
    </x:row>
    <x:row r="130" ht="31" customHeight="1">
      <x:c r="A130" s="13" t="str">
        <x:v>SP015</x:v>
      </x:c>
      <x:c r="B130" s="13" t="str">
        <x:v>灯塔贝母罗盘盒</x:v>
      </x:c>
      <x:c r="C130" s="13" t="str">
        <x:v>工艺品</x:v>
      </x:c>
      <x:c r="D130" s="27" t="n">
        <x:v>610</x:v>
      </x:c>
      <x:c r="E130" s="42" t="n">
        <x:v>1</x:v>
      </x:c>
      <x:c r="F130" s="27" t="n">
        <x:v>0</x:v>
      </x:c>
      <x:c r="G130" s="13" t="str">
        <x:v>R02</x:v>
      </x:c>
      <x:c r="H130" s="13" t="str">
        <x:v>收藏；礼品；宴会</x:v>
      </x:c>
      <x:c r="I130" s="13" t="str">
        <x:v>拉科鲁尼亚专属贸易品牌；适用于收藏、礼品、宴会订单与海员礼赠。</x:v>
      </x:c>
      <x:c r="J130" s="13" t="str">
        <x:v>贝母贴片拼出放射潮纹，仅售外盒与工艺件而非自动航行神器</x:v>
      </x:c>
      <x:c r="K130" s="36" t="b">
        <x:v>1</x:v>
      </x:c>
      <x:c r="L130" s="13" t="str">
        <x:v>P015</x:v>
      </x:c>
      <x:c r="M130" s="13" t="str">
        <x:v>原创命名、造型、品牌与发展路线；地域原料或工艺参考见港口历史备注。</x:v>
      </x:c>
      <x:c r="N130" s="13" t="str"/>
    </x:row>
    <x:row r="131" ht="42" customHeight="1">
      <x:c r="A131" s="15" t="str">
        <x:v>SP016</x:v>
      </x:c>
      <x:c r="B131" s="15" t="str">
        <x:v>赤炉折齿船匠锯</x:v>
      </x:c>
      <x:c r="C131" s="15" t="str">
        <x:v>工业品</x:v>
      </x:c>
      <x:c r="D131" s="30" t="n">
        <x:v>530</x:v>
      </x:c>
      <x:c r="E131" s="44" t="n">
        <x:v>1</x:v>
      </x:c>
      <x:c r="F131" s="30" t="n">
        <x:v>0</x:v>
      </x:c>
      <x:c r="G131" s="15" t="str">
        <x:v>R02</x:v>
      </x:c>
      <x:c r="H131" s="15" t="str">
        <x:v>船厂；工具工坊；工坊建设</x:v>
      </x:c>
      <x:c r="I131" s="15" t="str">
        <x:v>毕尔巴鄂专属贸易品牌；适用于船厂、工具工坊、工坊建设订单与海员礼赠。</x:v>
      </x:c>
      <x:c r="J131" s="15" t="str">
        <x:v>弧形锯身、可换齿条与红木护套组成船匠礼盒，属架空工艺发展</x:v>
      </x:c>
      <x:c r="K131" s="45" t="b">
        <x:v>1</x:v>
      </x:c>
      <x:c r="L131" s="15" t="str">
        <x:v>P016</x:v>
      </x:c>
      <x:c r="M131" s="15" t="str">
        <x:v>原创命名、造型、品牌与发展路线；地域原料或工艺参考见港口历史备注。</x:v>
      </x:c>
      <x:c r="N131" s="15" t="str"/>
    </x:row>
    <x:row r="132" ht="31" customHeight="1">
      <x:c r="A132" s="13" t="str">
        <x:v>SP017</x:v>
      </x:c>
      <x:c r="B132" s="13" t="str">
        <x:v>月湾黑葡萄珍藏</x:v>
      </x:c>
      <x:c r="C132" s="13" t="str">
        <x:v>酒类</x:v>
      </x:c>
      <x:c r="D132" s="27" t="n">
        <x:v>460</x:v>
      </x:c>
      <x:c r="E132" s="42" t="n">
        <x:v>1</x:v>
      </x:c>
      <x:c r="F132" s="27" t="n">
        <x:v>0</x:v>
      </x:c>
      <x:c r="G132" s="13" t="str">
        <x:v>R02</x:v>
      </x:c>
      <x:c r="H132" s="13" t="str">
        <x:v>酒馆；宴会；礼品</x:v>
      </x:c>
      <x:c r="I132" s="13" t="str">
        <x:v>波尔多专属贸易品牌；适用于酒馆、宴会、礼品订单与海员礼赠。</x:v>
      </x:c>
      <x:c r="J132" s="13" t="str">
        <x:v>晚熟红葡萄与深烘桶香组成原创酒庄系列</x:v>
      </x:c>
      <x:c r="K132" s="36" t="b">
        <x:v>1</x:v>
      </x:c>
      <x:c r="L132" s="13" t="str">
        <x:v>P017</x:v>
      </x:c>
      <x:c r="M132" s="13" t="str">
        <x:v>原创命名、造型、品牌与发展路线；地域原料或工艺参考见港口历史备注。</x:v>
      </x:c>
      <x:c r="N132" s="13" t="str"/>
    </x:row>
    <x:row r="133" ht="31" customHeight="1">
      <x:c r="A133" s="15" t="str">
        <x:v>SP018</x:v>
      </x:c>
      <x:c r="B133" s="15" t="str">
        <x:v>卢瓦尔织潮挂毯</x:v>
      </x:c>
      <x:c r="C133" s="15" t="str">
        <x:v>织物</x:v>
      </x:c>
      <x:c r="D133" s="30" t="n">
        <x:v>880</x:v>
      </x:c>
      <x:c r="E133" s="44" t="n">
        <x:v>1</x:v>
      </x:c>
      <x:c r="F133" s="30" t="n">
        <x:v>0</x:v>
      </x:c>
      <x:c r="G133" s="15" t="str">
        <x:v>R02</x:v>
      </x:c>
      <x:c r="H133" s="15" t="str">
        <x:v>奢华衣料；礼品；收藏</x:v>
      </x:c>
      <x:c r="I133" s="15" t="str">
        <x:v>南特专属贸易品牌；适用于奢华衣料、礼品、收藏订单与海员礼赠。</x:v>
      </x:c>
      <x:c r="J133" s="15" t="str">
        <x:v>蓝白河汊图案中藏着微型航船，以当地工坊原创图样制成</x:v>
      </x:c>
      <x:c r="K133" s="45" t="b">
        <x:v>1</x:v>
      </x:c>
      <x:c r="L133" s="15" t="str">
        <x:v>P018</x:v>
      </x:c>
      <x:c r="M133" s="15" t="str">
        <x:v>原创命名、造型、品牌与发展路线；地域原料或工艺参考见港口历史备注。</x:v>
      </x:c>
      <x:c r="N133" s="15" t="str"/>
    </x:row>
    <x:row r="134" ht="31" customHeight="1">
      <x:c r="A134" s="13" t="str">
        <x:v>SP019</x:v>
      </x:c>
      <x:c r="B134" s="13" t="str">
        <x:v>满潮银扣海图筒</x:v>
      </x:c>
      <x:c r="C134" s="13" t="str">
        <x:v>工艺品</x:v>
      </x:c>
      <x:c r="D134" s="27" t="n">
        <x:v>660</x:v>
      </x:c>
      <x:c r="E134" s="42" t="n">
        <x:v>1</x:v>
      </x:c>
      <x:c r="F134" s="27" t="n">
        <x:v>0</x:v>
      </x:c>
      <x:c r="G134" s="13" t="str">
        <x:v>R02</x:v>
      </x:c>
      <x:c r="H134" s="13" t="str">
        <x:v>收藏；礼品；宴会</x:v>
      </x:c>
      <x:c r="I134" s="13" t="str">
        <x:v>圣马洛专属贸易品牌；适用于收藏、礼品、宴会订单与海员礼赠。</x:v>
      </x:c>
      <x:c r="J134" s="13" t="str">
        <x:v>筒盖用银色潮汐刻纹，皮革夹层可同时容纳湿图与书信</x:v>
      </x:c>
      <x:c r="K134" s="36" t="b">
        <x:v>1</x:v>
      </x:c>
      <x:c r="L134" s="13" t="str">
        <x:v>P019</x:v>
      </x:c>
      <x:c r="M134" s="13" t="str">
        <x:v>原创命名、造型、品牌与发展路线；地域原料或工艺参考见港口历史备注。</x:v>
      </x:c>
      <x:c r="N134" s="13" t="str"/>
    </x:row>
    <x:row r="135" ht="42" customHeight="1">
      <x:c r="A135" s="15" t="str">
        <x:v>SP020</x:v>
      </x:c>
      <x:c r="B135" s="15" t="str">
        <x:v>海军蓝浸蜡帆缆</x:v>
      </x:c>
      <x:c r="C135" s="15" t="str">
        <x:v>工业品</x:v>
      </x:c>
      <x:c r="D135" s="30" t="n">
        <x:v>410</x:v>
      </x:c>
      <x:c r="E135" s="44" t="n">
        <x:v>1</x:v>
      </x:c>
      <x:c r="F135" s="30" t="n">
        <x:v>0</x:v>
      </x:c>
      <x:c r="G135" s="15" t="str">
        <x:v>R02</x:v>
      </x:c>
      <x:c r="H135" s="15" t="str">
        <x:v>船厂；工具工坊；工坊建设</x:v>
      </x:c>
      <x:c r="I135" s="15" t="str">
        <x:v>布雷斯特专属贸易品牌；适用于船厂、工具工坊、工坊建设订单与海员礼赠。</x:v>
      </x:c>
      <x:c r="J135" s="15" t="str">
        <x:v>蓝灰缆索按不同直径分卷，浸蜡工艺使外观泛出细碎光泽</x:v>
      </x:c>
      <x:c r="K135" s="45" t="b">
        <x:v>1</x:v>
      </x:c>
      <x:c r="L135" s="15" t="str">
        <x:v>P020</x:v>
      </x:c>
      <x:c r="M135" s="15" t="str">
        <x:v>原创命名、造型、品牌与发展路线；地域原料或工艺参考见港口历史备注。</x:v>
      </x:c>
      <x:c r="N135" s="15" t="str"/>
    </x:row>
    <x:row r="136" ht="31" customHeight="1">
      <x:c r="A136" s="13" t="str">
        <x:v>SP021</x:v>
      </x:c>
      <x:c r="B136" s="13" t="str">
        <x:v>海风月桂皂礼砖</x:v>
      </x:c>
      <x:c r="C136" s="13" t="str">
        <x:v>工艺品</x:v>
      </x:c>
      <x:c r="D136" s="27" t="n">
        <x:v>250</x:v>
      </x:c>
      <x:c r="E136" s="42" t="n">
        <x:v>1</x:v>
      </x:c>
      <x:c r="F136" s="27" t="n">
        <x:v>0</x:v>
      </x:c>
      <x:c r="G136" s="13" t="str">
        <x:v>R03</x:v>
      </x:c>
      <x:c r="H136" s="13" t="str">
        <x:v>收藏；礼品；宴会</x:v>
      </x:c>
      <x:c r="I136" s="13" t="str">
        <x:v>马赛专属贸易品牌；适用于收藏、礼品、宴会订单与海员礼赠。</x:v>
      </x:c>
      <x:c r="J136" s="13" t="str">
        <x:v>橄榄油皂压出月桂和浪纹，礼砖能拆成数个随航小块</x:v>
      </x:c>
      <x:c r="K136" s="36" t="b">
        <x:v>1</x:v>
      </x:c>
      <x:c r="L136" s="13" t="str">
        <x:v>P021</x:v>
      </x:c>
      <x:c r="M136" s="13" t="str">
        <x:v>原创命名、造型、品牌与发展路线；地域原料或工艺参考见港口历史备注。</x:v>
      </x:c>
      <x:c r="N136" s="13" t="str"/>
    </x:row>
    <x:row r="137" ht="31" customHeight="1">
      <x:c r="A137" s="15" t="str">
        <x:v>SP022</x:v>
      </x:c>
      <x:c r="B137" s="15" t="str">
        <x:v>蓝帆金边丝绒</x:v>
      </x:c>
      <x:c r="C137" s="15" t="str">
        <x:v>织物</x:v>
      </x:c>
      <x:c r="D137" s="30" t="n">
        <x:v>920</x:v>
      </x:c>
      <x:c r="E137" s="44" t="n">
        <x:v>1</x:v>
      </x:c>
      <x:c r="F137" s="30" t="n">
        <x:v>0</x:v>
      </x:c>
      <x:c r="G137" s="15" t="str">
        <x:v>R03</x:v>
      </x:c>
      <x:c r="H137" s="15" t="str">
        <x:v>奢华衣料；礼品；收藏</x:v>
      </x:c>
      <x:c r="I137" s="15" t="str">
        <x:v>热那亚专属贸易品牌；适用于奢华衣料、礼品、收藏订单与海员礼赠。</x:v>
      </x:c>
      <x:c r="J137" s="15" t="str">
        <x:v>深蓝短绒上以极细金线织入桨叶纹，不同角度有海面般明暗变化</x:v>
      </x:c>
      <x:c r="K137" s="45" t="b">
        <x:v>1</x:v>
      </x:c>
      <x:c r="L137" s="15" t="str">
        <x:v>P022</x:v>
      </x:c>
      <x:c r="M137" s="15" t="str">
        <x:v>原创命名、造型、品牌与发展路线；地域原料或工艺参考见港口历史备注。</x:v>
      </x:c>
      <x:c r="N137" s="15" t="str"/>
    </x:row>
    <x:row r="138" ht="31" customHeight="1">
      <x:c r="A138" s="13" t="str">
        <x:v>SP023</x:v>
      </x:c>
      <x:c r="B138" s="13" t="str">
        <x:v>千潮琉璃天球灯</x:v>
      </x:c>
      <x:c r="C138" s="13" t="str">
        <x:v>奢侈品</x:v>
      </x:c>
      <x:c r="D138" s="27" t="n">
        <x:v>1480</x:v>
      </x:c>
      <x:c r="E138" s="42" t="n">
        <x:v>1</x:v>
      </x:c>
      <x:c r="F138" s="27" t="n">
        <x:v>0</x:v>
      </x:c>
      <x:c r="G138" s="13" t="str">
        <x:v>R03</x:v>
      </x:c>
      <x:c r="H138" s="13" t="str">
        <x:v>宫廷；收藏；礼品</x:v>
      </x:c>
      <x:c r="I138" s="13" t="str">
        <x:v>威尼斯专属贸易品牌；适用于宫廷、收藏、礼品订单与海员礼赠。</x:v>
      </x:c>
      <x:c r="J138" s="13" t="str">
        <x:v>多层薄玻璃套出星、浪和风的轨迹，点灯后在桌面投下流动纹影</x:v>
      </x:c>
      <x:c r="K138" s="36" t="b">
        <x:v>1</x:v>
      </x:c>
      <x:c r="L138" s="13" t="str">
        <x:v>P023</x:v>
      </x:c>
      <x:c r="M138" s="13" t="str">
        <x:v>原创命名、造型、品牌与发展路线；地域原料或工艺参考见港口历史备注。</x:v>
      </x:c>
      <x:c r="N138" s="13" t="str">
        <x:v>WT-H03</x:v>
      </x:c>
    </x:row>
    <x:row r="139" ht="31" customHeight="1">
      <x:c r="A139" s="15" t="str">
        <x:v>SP024</x:v>
      </x:c>
      <x:c r="B139" s="15" t="str">
        <x:v>火山红珊瑚花结</x:v>
      </x:c>
      <x:c r="C139" s="15" t="str">
        <x:v>宝石</x:v>
      </x:c>
      <x:c r="D139" s="30" t="n">
        <x:v>950</x:v>
      </x:c>
      <x:c r="E139" s="44" t="n">
        <x:v>1</x:v>
      </x:c>
      <x:c r="F139" s="30" t="n">
        <x:v>0</x:v>
      </x:c>
      <x:c r="G139" s="15" t="str">
        <x:v>R03</x:v>
      </x:c>
      <x:c r="H139" s="15" t="str">
        <x:v>珠宝工坊；宫廷；收藏</x:v>
      </x:c>
      <x:c r="I139" s="15" t="str">
        <x:v>那不勒斯专属贸易品牌；适用于珠宝工坊、宫廷、收藏订单与海员礼赠。</x:v>
      </x:c>
      <x:c r="J139" s="15" t="str">
        <x:v>细小珊瑚枝以银线固定成喷泉形花结，工艺形制为原创</x:v>
      </x:c>
      <x:c r="K139" s="45" t="b">
        <x:v>1</x:v>
      </x:c>
      <x:c r="L139" s="15" t="str">
        <x:v>P024</x:v>
      </x:c>
      <x:c r="M139" s="15" t="str">
        <x:v>原创命名、造型、品牌与发展路线；地域原料或工艺参考见港口历史备注。</x:v>
      </x:c>
      <x:c r="N139" s="15" t="str"/>
    </x:row>
    <x:row r="140" ht="31" customHeight="1">
      <x:c r="A140" s="13" t="str">
        <x:v>SP025</x:v>
      </x:c>
      <x:c r="B140" s="13" t="str">
        <x:v>西西里柑橘蜜晶</x:v>
      </x:c>
      <x:c r="C140" s="13" t="str">
        <x:v>食品</x:v>
      </x:c>
      <x:c r="D140" s="27" t="n">
        <x:v>330</x:v>
      </x:c>
      <x:c r="E140" s="42" t="n">
        <x:v>1</x:v>
      </x:c>
      <x:c r="F140" s="27" t="n">
        <x:v>150</x:v>
      </x:c>
      <x:c r="G140" s="13" t="str">
        <x:v>R03</x:v>
      </x:c>
      <x:c r="H140" s="13" t="str">
        <x:v>宴会；远航补给；礼品</x:v>
      </x:c>
      <x:c r="I140" s="13" t="str">
        <x:v>巴勒莫专属贸易品牌；适用于宴会、远航补给、礼品订单与海员礼赠。</x:v>
      </x:c>
      <x:c r="J140" s="13" t="str">
        <x:v>糖渍橘皮包住透明蜜糖芯，装在绘有海湾小船的陶匣中</x:v>
      </x:c>
      <x:c r="K140" s="36" t="b">
        <x:v>1</x:v>
      </x:c>
      <x:c r="L140" s="13" t="str">
        <x:v>P025</x:v>
      </x:c>
      <x:c r="M140" s="13" t="str">
        <x:v>原创命名、造型、品牌与发展路线；地域原料或工艺参考见港口历史备注。</x:v>
      </x:c>
      <x:c r="N140" s="13" t="str"/>
    </x:row>
    <x:row r="141" ht="31" customHeight="1">
      <x:c r="A141" s="15" t="str">
        <x:v>SP026</x:v>
      </x:c>
      <x:c r="B141" s="15" t="str">
        <x:v>八角潮针护航仪</x:v>
      </x:c>
      <x:c r="C141" s="15" t="str">
        <x:v>奢侈品</x:v>
      </x:c>
      <x:c r="D141" s="30" t="n">
        <x:v>1080</x:v>
      </x:c>
      <x:c r="E141" s="44" t="n">
        <x:v>1</x:v>
      </x:c>
      <x:c r="F141" s="30" t="n">
        <x:v>0</x:v>
      </x:c>
      <x:c r="G141" s="15" t="str">
        <x:v>R03</x:v>
      </x:c>
      <x:c r="H141" s="15" t="str">
        <x:v>宫廷；收藏；礼品</x:v>
      </x:c>
      <x:c r="I141" s="15" t="str">
        <x:v>瓦莱塔专属贸易品牌；适用于宫廷、收藏、礼品订单与海员礼赠。</x:v>
      </x:c>
      <x:c r="J141" s="15" t="str">
        <x:v>八角黄铜外壳与海蓝釉面，包装以护航誓词和私人船团纹章定制</x:v>
      </x:c>
      <x:c r="K141" s="45" t="b">
        <x:v>1</x:v>
      </x:c>
      <x:c r="L141" s="15" t="str">
        <x:v>P026</x:v>
      </x:c>
      <x:c r="M141" s="15" t="str">
        <x:v>原创命名、造型、品牌与发展路线；地域原料或工艺参考见港口历史备注。</x:v>
      </x:c>
      <x:c r="N141" s="15" t="str"/>
    </x:row>
    <x:row r="142" ht="31" customHeight="1">
      <x:c r="A142" s="13" t="str">
        <x:v>SP027</x:v>
      </x:c>
      <x:c r="B142" s="13" t="str">
        <x:v>赤拱双面海商呢</x:v>
      </x:c>
      <x:c r="C142" s="13" t="str">
        <x:v>织物</x:v>
      </x:c>
      <x:c r="D142" s="27" t="n">
        <x:v>630</x:v>
      </x:c>
      <x:c r="E142" s="42" t="n">
        <x:v>1</x:v>
      </x:c>
      <x:c r="F142" s="27" t="n">
        <x:v>0</x:v>
      </x:c>
      <x:c r="G142" s="13" t="str">
        <x:v>R03</x:v>
      </x:c>
      <x:c r="H142" s="13" t="str">
        <x:v>奢华衣料；礼品；收藏</x:v>
      </x:c>
      <x:c r="I142" s="13" t="str">
        <x:v>巴塞罗那专属贸易品牌；适用于奢华衣料、礼品、收藏订单与海员礼赠。</x:v>
      </x:c>
      <x:c r="J142" s="13" t="str">
        <x:v>一面深红一面靛蓝的厚呢，翻折袖口可读出波浪状织纹</x:v>
      </x:c>
      <x:c r="K142" s="36" t="b">
        <x:v>1</x:v>
      </x:c>
      <x:c r="L142" s="13" t="str">
        <x:v>P027</x:v>
      </x:c>
      <x:c r="M142" s="13" t="str">
        <x:v>原创命名、造型、品牌与发展路线；地域原料或工艺参考见港口历史备注。</x:v>
      </x:c>
      <x:c r="N142" s="13" t="str"/>
    </x:row>
    <x:row r="143" ht="31" customHeight="1">
      <x:c r="A143" s="15" t="str">
        <x:v>SP028</x:v>
      </x:c>
      <x:c r="B143" s="15" t="str">
        <x:v>白城嵌银海靴</x:v>
      </x:c>
      <x:c r="C143" s="15" t="str">
        <x:v>工艺品</x:v>
      </x:c>
      <x:c r="D143" s="30" t="n">
        <x:v>720</x:v>
      </x:c>
      <x:c r="E143" s="44" t="n">
        <x:v>1</x:v>
      </x:c>
      <x:c r="F143" s="30" t="n">
        <x:v>0</x:v>
      </x:c>
      <x:c r="G143" s="15" t="str">
        <x:v>R03</x:v>
      </x:c>
      <x:c r="H143" s="15" t="str">
        <x:v>收藏；礼品；宴会</x:v>
      </x:c>
      <x:c r="I143" s="15" t="str">
        <x:v>阿尔及尔专属贸易品牌；适用于收藏、礼品、宴会订单与海员礼赠。</x:v>
      </x:c>
      <x:c r="J143" s="15" t="str">
        <x:v>柔皮海靴配可拆护踝，银色藤纹只缝在外层装饰片</x:v>
      </x:c>
      <x:c r="K143" s="45" t="b">
        <x:v>1</x:v>
      </x:c>
      <x:c r="L143" s="15" t="str">
        <x:v>P028</x:v>
      </x:c>
      <x:c r="M143" s="15" t="str">
        <x:v>原创命名、造型、品牌与发展路线；地域原料或工艺参考见港口历史备注。</x:v>
      </x:c>
      <x:c r="N143" s="15" t="str"/>
    </x:row>
    <x:row r="144" ht="31" customHeight="1">
      <x:c r="A144" s="13" t="str">
        <x:v>SP029</x:v>
      </x:c>
      <x:c r="B144" s="13" t="str">
        <x:v>潟湖石榴红织毯</x:v>
      </x:c>
      <x:c r="C144" s="13" t="str">
        <x:v>织物</x:v>
      </x:c>
      <x:c r="D144" s="27" t="n">
        <x:v>850</x:v>
      </x:c>
      <x:c r="E144" s="42" t="n">
        <x:v>1</x:v>
      </x:c>
      <x:c r="F144" s="27" t="n">
        <x:v>0</x:v>
      </x:c>
      <x:c r="G144" s="13" t="str">
        <x:v>R03</x:v>
      </x:c>
      <x:c r="H144" s="13" t="str">
        <x:v>奢华衣料；礼品；收藏</x:v>
      </x:c>
      <x:c r="I144" s="13" t="str">
        <x:v>突尼斯专属贸易品牌；适用于奢华衣料、礼品、收藏订单与海员礼赠。</x:v>
      </x:c>
      <x:c r="J144" s="13" t="str">
        <x:v>茜草色几何波纹铺在羊毛地上，周边缀浅金石榴花线</x:v>
      </x:c>
      <x:c r="K144" s="36" t="b">
        <x:v>1</x:v>
      </x:c>
      <x:c r="L144" s="13" t="str">
        <x:v>P029</x:v>
      </x:c>
      <x:c r="M144" s="13" t="str">
        <x:v>原创命名、造型、品牌与发展路线；地域原料或工艺参考见港口历史备注。</x:v>
      </x:c>
      <x:c r="N144" s="13" t="str"/>
    </x:row>
    <x:row r="145" ht="31" customHeight="1">
      <x:c r="A145" s="15" t="str">
        <x:v>SP030</x:v>
      </x:c>
      <x:c r="B145" s="15" t="str">
        <x:v>星沙彩绘航路册</x:v>
      </x:c>
      <x:c r="C145" s="15" t="str">
        <x:v>奢侈品</x:v>
      </x:c>
      <x:c r="D145" s="30" t="n">
        <x:v>980</x:v>
      </x:c>
      <x:c r="E145" s="44" t="n">
        <x:v>1</x:v>
      </x:c>
      <x:c r="F145" s="30" t="n">
        <x:v>0</x:v>
      </x:c>
      <x:c r="G145" s="15" t="str">
        <x:v>R03</x:v>
      </x:c>
      <x:c r="H145" s="15" t="str">
        <x:v>宫廷；收藏；礼品</x:v>
      </x:c>
      <x:c r="I145" s="15" t="str">
        <x:v>亚历山大专属贸易品牌；适用于宫廷、收藏、礼品订单与海员礼赠。</x:v>
      </x:c>
      <x:c r="J145" s="15" t="str">
        <x:v>以双语地名和原创星图装帧的新抄印册，非复制历史手稿</x:v>
      </x:c>
      <x:c r="K145" s="45" t="b">
        <x:v>1</x:v>
      </x:c>
      <x:c r="L145" s="15" t="str">
        <x:v>P030</x:v>
      </x:c>
      <x:c r="M145" s="15" t="str">
        <x:v>原创命名、造型、品牌与发展路线；地域原料或工艺参考见港口历史备注。</x:v>
      </x:c>
      <x:c r="N145" s="15" t="str"/>
    </x:row>
    <x:row r="146" ht="31" customHeight="1">
      <x:c r="A146" s="13" t="str">
        <x:v>SP031</x:v>
      </x:c>
      <x:c r="B146" s="13" t="str">
        <x:v>迷宫叶脉橄榄油</x:v>
      </x:c>
      <x:c r="C146" s="13" t="str">
        <x:v>食品</x:v>
      </x:c>
      <x:c r="D146" s="27" t="n">
        <x:v>310</x:v>
      </x:c>
      <x:c r="E146" s="42" t="n">
        <x:v>1</x:v>
      </x:c>
      <x:c r="F146" s="27" t="n">
        <x:v>150</x:v>
      </x:c>
      <x:c r="G146" s="13" t="str">
        <x:v>R03</x:v>
      </x:c>
      <x:c r="H146" s="13" t="str">
        <x:v>宴会；远航补给；礼品</x:v>
      </x:c>
      <x:c r="I146" s="13" t="str">
        <x:v>坎迪亚专属贸易品牌；适用于宴会、远航补给、礼品订单与海员礼赠。</x:v>
      </x:c>
      <x:c r="J146" s="13" t="str">
        <x:v>细口陶瓶绘原创叶脉迷宫，精选油用于宴会和地方礼赠</x:v>
      </x:c>
      <x:c r="K146" s="36" t="b">
        <x:v>1</x:v>
      </x:c>
      <x:c r="L146" s="13" t="str">
        <x:v>P031</x:v>
      </x:c>
      <x:c r="M146" s="13" t="str">
        <x:v>原创命名、造型、品牌与发展路线；地域原料或工艺参考见港口历史备注。</x:v>
      </x:c>
      <x:c r="N146" s="13" t="str"/>
    </x:row>
    <x:row r="147" ht="31" customHeight="1">
      <x:c r="A147" s="15" t="str">
        <x:v>SP032</x:v>
      </x:c>
      <x:c r="B147" s="15" t="str">
        <x:v>月穹郁金香嵌瓷匣</x:v>
      </x:c>
      <x:c r="C147" s="15" t="str">
        <x:v>奢侈品</x:v>
      </x:c>
      <x:c r="D147" s="30" t="n">
        <x:v>1380</x:v>
      </x:c>
      <x:c r="E147" s="44" t="n">
        <x:v>1</x:v>
      </x:c>
      <x:c r="F147" s="30" t="n">
        <x:v>0</x:v>
      </x:c>
      <x:c r="G147" s="15" t="str">
        <x:v>R03</x:v>
      </x:c>
      <x:c r="H147" s="15" t="str">
        <x:v>宫廷；收藏；礼品</x:v>
      </x:c>
      <x:c r="I147" s="15" t="str">
        <x:v>君士坦丁堡专属贸易品牌；适用于宫廷、收藏、礼品订单与海员礼赠。</x:v>
      </x:c>
      <x:c r="J147" s="15" t="str">
        <x:v>宝蓝釉片、细铜框与虚构花叶纹拼成双层茶香匣</x:v>
      </x:c>
      <x:c r="K147" s="45" t="b">
        <x:v>1</x:v>
      </x:c>
      <x:c r="L147" s="15" t="str">
        <x:v>P032</x:v>
      </x:c>
      <x:c r="M147" s="15" t="str">
        <x:v>原创命名、造型、品牌与发展路线；地域原料或工艺参考见港口历史备注。</x:v>
      </x:c>
      <x:c r="N147" s="15" t="str"/>
    </x:row>
    <x:row r="148" ht="31" customHeight="1">
      <x:c r="A148" s="13" t="str">
        <x:v>SP033</x:v>
      </x:c>
      <x:c r="B148" s="13" t="str">
        <x:v>白石城银丝船徽</x:v>
      </x:c>
      <x:c r="C148" s="13" t="str">
        <x:v>工艺品</x:v>
      </x:c>
      <x:c r="D148" s="27" t="n">
        <x:v>910</x:v>
      </x:c>
      <x:c r="E148" s="42" t="n">
        <x:v>1</x:v>
      </x:c>
      <x:c r="F148" s="27" t="n">
        <x:v>0</x:v>
      </x:c>
      <x:c r="G148" s="13" t="str">
        <x:v>R03</x:v>
      </x:c>
      <x:c r="H148" s="13" t="str">
        <x:v>收藏；礼品；宴会</x:v>
      </x:c>
      <x:c r="I148" s="13" t="str">
        <x:v>拉古萨专属贸易品牌；适用于收藏、礼品、宴会订单与海员礼赠。</x:v>
      </x:c>
      <x:c r="J148" s="13" t="str">
        <x:v>银丝绕成小型双桅船形，以港墙齿口作吊坠边框</x:v>
      </x:c>
      <x:c r="K148" s="36" t="b">
        <x:v>1</x:v>
      </x:c>
      <x:c r="L148" s="13" t="str">
        <x:v>P033</x:v>
      </x:c>
      <x:c r="M148" s="13" t="str">
        <x:v>原创命名、造型、品牌与发展路线；地域原料或工艺参考见港口历史备注。</x:v>
      </x:c>
      <x:c r="N148" s="13" t="str"/>
    </x:row>
    <x:row r="149" ht="31" customHeight="1">
      <x:c r="A149" s="15" t="str">
        <x:v>SP034</x:v>
      </x:c>
      <x:c r="B149" s="15" t="str">
        <x:v>草海银扣旅行毯</x:v>
      </x:c>
      <x:c r="C149" s="15" t="str">
        <x:v>织物</x:v>
      </x:c>
      <x:c r="D149" s="30" t="n">
        <x:v>690</x:v>
      </x:c>
      <x:c r="E149" s="44" t="n">
        <x:v>1</x:v>
      </x:c>
      <x:c r="F149" s="30" t="n">
        <x:v>0</x:v>
      </x:c>
      <x:c r="G149" s="15" t="str">
        <x:v>R03</x:v>
      </x:c>
      <x:c r="H149" s="15" t="str">
        <x:v>奢华衣料；礼品；收藏</x:v>
      </x:c>
      <x:c r="I149" s="15" t="str">
        <x:v>卡法专属贸易品牌；适用于奢华衣料、礼品、收藏订单与海员礼赠。</x:v>
      </x:c>
      <x:c r="J149" s="15" t="str">
        <x:v>可卷成马鞍形的厚毯配海船图样银扣，连接草原与港口意象</x:v>
      </x:c>
      <x:c r="K149" s="45" t="b">
        <x:v>1</x:v>
      </x:c>
      <x:c r="L149" s="15" t="str">
        <x:v>P034</x:v>
      </x:c>
      <x:c r="M149" s="15" t="str">
        <x:v>原创命名、造型、品牌与发展路线；地域原料或工艺参考见港口历史备注。</x:v>
      </x:c>
      <x:c r="N149" s="15" t="str"/>
    </x:row>
    <x:row r="150" ht="31" customHeight="1">
      <x:c r="A150" s="13" t="str">
        <x:v>SP035</x:v>
      </x:c>
      <x:c r="B150" s="13" t="str">
        <x:v>火山温窖马德拉酒</x:v>
      </x:c>
      <x:c r="C150" s="13" t="str">
        <x:v>酒类</x:v>
      </x:c>
      <x:c r="D150" s="27" t="n">
        <x:v>540</x:v>
      </x:c>
      <x:c r="E150" s="42" t="n">
        <x:v>1</x:v>
      </x:c>
      <x:c r="F150" s="27" t="n">
        <x:v>0</x:v>
      </x:c>
      <x:c r="G150" s="13" t="str">
        <x:v>R04</x:v>
      </x:c>
      <x:c r="H150" s="13" t="str">
        <x:v>酒馆；宴会；礼品</x:v>
      </x:c>
      <x:c r="I150" s="13" t="str">
        <x:v>丰沙尔专属贸易品牌；适用于酒馆、宴会、礼品订单与海员礼赠。</x:v>
      </x:c>
      <x:c r="J150" s="13" t="str">
        <x:v>利用温窖发展形成琥珀酒色，蜡封像一枚凝固的日落</x:v>
      </x:c>
      <x:c r="K150" s="36" t="b">
        <x:v>1</x:v>
      </x:c>
      <x:c r="L150" s="13" t="str">
        <x:v>P035</x:v>
      </x:c>
      <x:c r="M150" s="13" t="str">
        <x:v>原创命名、造型、品牌与发展路线；地域原料或工艺参考见港口历史备注。</x:v>
      </x:c>
      <x:c r="N150" s="13" t="str"/>
    </x:row>
    <x:row r="151" ht="42" customHeight="1">
      <x:c r="A151" s="15" t="str">
        <x:v>SP036</x:v>
      </x:c>
      <x:c r="B151" s="15" t="str">
        <x:v>雨岛海盐熟成乳酪</x:v>
      </x:c>
      <x:c r="C151" s="15" t="str">
        <x:v>食品</x:v>
      </x:c>
      <x:c r="D151" s="30" t="n">
        <x:v>295</x:v>
      </x:c>
      <x:c r="E151" s="44" t="n">
        <x:v>1</x:v>
      </x:c>
      <x:c r="F151" s="30" t="n">
        <x:v>120</x:v>
      </x:c>
      <x:c r="G151" s="15" t="str">
        <x:v>R04</x:v>
      </x:c>
      <x:c r="H151" s="15" t="str">
        <x:v>宴会；远航补给；礼品</x:v>
      </x:c>
      <x:c r="I151" s="15" t="str">
        <x:v>蓬塔德尔加达专属贸易品牌；适用于宴会、远航补给、礼品订单与海员礼赠。</x:v>
      </x:c>
      <x:c r="J151" s="15" t="str">
        <x:v>硬质乳酪外壳盖上波浪压纹，切面带淡金色油光</x:v>
      </x:c>
      <x:c r="K151" s="45" t="b">
        <x:v>1</x:v>
      </x:c>
      <x:c r="L151" s="15" t="str">
        <x:v>P036</x:v>
      </x:c>
      <x:c r="M151" s="15" t="str">
        <x:v>原创命名、造型、品牌与发展路线；地域原料或工艺参考见港口历史备注。</x:v>
      </x:c>
      <x:c r="N151" s="15" t="str"/>
    </x:row>
    <x:row r="152" ht="42" customHeight="1">
      <x:c r="A152" s="13" t="str">
        <x:v>SP037</x:v>
      </x:c>
      <x:c r="B152" s="13" t="str">
        <x:v>信风紫苔染粉</x:v>
      </x:c>
      <x:c r="C152" s="13" t="str">
        <x:v>染料</x:v>
      </x:c>
      <x:c r="D152" s="27" t="n">
        <x:v>490</x:v>
      </x:c>
      <x:c r="E152" s="42" t="n">
        <x:v>1</x:v>
      </x:c>
      <x:c r="F152" s="27" t="n">
        <x:v>0</x:v>
      </x:c>
      <x:c r="G152" s="13" t="str">
        <x:v>R04</x:v>
      </x:c>
      <x:c r="H152" s="13" t="str">
        <x:v>染织工坊；画室；宫廷</x:v>
      </x:c>
      <x:c r="I152" s="13" t="str">
        <x:v>拉斯帕尔马斯专属贸易品牌；适用于染织工坊、画室、宫廷订单与海员礼赠。</x:v>
      </x:c>
      <x:c r="J152" s="13" t="str">
        <x:v>以群岛地衣染料为灵感压制的紫色染饼，品牌和包装为原创</x:v>
      </x:c>
      <x:c r="K152" s="36" t="b">
        <x:v>1</x:v>
      </x:c>
      <x:c r="L152" s="13" t="str">
        <x:v>P037</x:v>
      </x:c>
      <x:c r="M152" s="13" t="str">
        <x:v>原创命名、造型、品牌与发展路线；地域原料或工艺参考见港口历史备注。</x:v>
      </x:c>
      <x:c r="N152" s="13" t="str"/>
    </x:row>
    <x:row r="153" ht="31" customHeight="1">
      <x:c r="A153" s="15" t="str">
        <x:v>SP038</x:v>
      </x:c>
      <x:c r="B153" s="15" t="str">
        <x:v>白沙航迹贝珠串</x:v>
      </x:c>
      <x:c r="C153" s="15" t="str">
        <x:v>工艺品</x:v>
      </x:c>
      <x:c r="D153" s="30" t="n">
        <x:v>355</x:v>
      </x:c>
      <x:c r="E153" s="44" t="n">
        <x:v>1</x:v>
      </x:c>
      <x:c r="F153" s="30" t="n">
        <x:v>0</x:v>
      </x:c>
      <x:c r="G153" s="15" t="str">
        <x:v>R04</x:v>
      </x:c>
      <x:c r="H153" s="15" t="str">
        <x:v>收藏；礼品；宴会</x:v>
      </x:c>
      <x:c r="I153" s="15" t="str">
        <x:v>阿尔金专属贸易品牌；适用于收藏、礼品、宴会订单与海员礼赠。</x:v>
      </x:c>
      <x:c r="J153" s="15" t="str">
        <x:v>磨白贝珠与褐色树胶珠交替串成海浪节拍，专为商团赠礼制作</x:v>
      </x:c>
      <x:c r="K153" s="45" t="b">
        <x:v>1</x:v>
      </x:c>
      <x:c r="L153" s="15" t="str">
        <x:v>P038</x:v>
      </x:c>
      <x:c r="M153" s="15" t="str">
        <x:v>原创命名、造型、品牌与发展路线；地域原料或工艺参考见港口历史备注。</x:v>
      </x:c>
      <x:c r="N153" s="15" t="str"/>
    </x:row>
    <x:row r="154" ht="42" customHeight="1">
      <x:c r="A154" s="13" t="str">
        <x:v>SP039</x:v>
      </x:c>
      <x:c r="B154" s="13" t="str">
        <x:v>金河阿拉伯胶画彩</x:v>
      </x:c>
      <x:c r="C154" s="13" t="str">
        <x:v>工业品</x:v>
      </x:c>
      <x:c r="D154" s="27" t="n">
        <x:v>465</x:v>
      </x:c>
      <x:c r="E154" s="42" t="n">
        <x:v>1</x:v>
      </x:c>
      <x:c r="F154" s="27" t="n">
        <x:v>0</x:v>
      </x:c>
      <x:c r="G154" s="13" t="str">
        <x:v>R04</x:v>
      </x:c>
      <x:c r="H154" s="13" t="str">
        <x:v>船厂；工具工坊；工坊建设</x:v>
      </x:c>
      <x:c r="I154" s="13" t="str">
        <x:v>圣路易专属贸易品牌；适用于船厂、工具工坊、工坊建设订单与海员礼赠。</x:v>
      </x:c>
      <x:c r="J154" s="13" t="str">
        <x:v>细筛树胶与矿植物色料分装，供远方画室调制透明色层</x:v>
      </x:c>
      <x:c r="K154" s="36" t="b">
        <x:v>1</x:v>
      </x:c>
      <x:c r="L154" s="13" t="str">
        <x:v>P039</x:v>
      </x:c>
      <x:c r="M154" s="13" t="str">
        <x:v>原创命名、造型、品牌与发展路线；地域原料或工艺参考见港口历史备注。</x:v>
      </x:c>
      <x:c r="N154" s="13" t="str"/>
    </x:row>
    <x:row r="155" ht="42" customHeight="1">
      <x:c r="A155" s="15" t="str">
        <x:v>SP040</x:v>
      </x:c>
      <x:c r="B155" s="15" t="str">
        <x:v>火山谷双影棉披布</x:v>
      </x:c>
      <x:c r="C155" s="15" t="str">
        <x:v>织物</x:v>
      </x:c>
      <x:c r="D155" s="30" t="n">
        <x:v>420</x:v>
      </x:c>
      <x:c r="E155" s="44" t="n">
        <x:v>1</x:v>
      </x:c>
      <x:c r="F155" s="30" t="n">
        <x:v>0</x:v>
      </x:c>
      <x:c r="G155" s="15" t="str">
        <x:v>R04</x:v>
      </x:c>
      <x:c r="H155" s="15" t="str">
        <x:v>奢华衣料；礼品；收藏</x:v>
      </x:c>
      <x:c r="I155" s="15" t="str">
        <x:v>里贝拉格兰德专属贸易品牌；适用于奢华衣料、礼品、收藏订单与海员礼赠。</x:v>
      </x:c>
      <x:c r="J155" s="15" t="str">
        <x:v>深靛与赭红宽条纹交错，双层布边在行走时显出反差色</x:v>
      </x:c>
      <x:c r="K155" s="45" t="b">
        <x:v>1</x:v>
      </x:c>
      <x:c r="L155" s="15" t="str">
        <x:v>P040</x:v>
      </x:c>
      <x:c r="M155" s="15" t="str">
        <x:v>原创命名、造型、品牌与发展路线；地域原料或工艺参考见港口历史备注。</x:v>
      </x:c>
      <x:c r="N155" s="15" t="str">
        <x:v>WT-H04</x:v>
      </x:c>
    </x:row>
    <x:row r="156" ht="31" customHeight="1">
      <x:c r="A156" s="13" t="str">
        <x:v>SP041</x:v>
      </x:c>
      <x:c r="B156" s="13" t="str">
        <x:v>黄金海岸失蜡秤饰</x:v>
      </x:c>
      <x:c r="C156" s="13" t="str">
        <x:v>工艺品</x:v>
      </x:c>
      <x:c r="D156" s="27" t="n">
        <x:v>1180</x:v>
      </x:c>
      <x:c r="E156" s="42" t="n">
        <x:v>1</x:v>
      </x:c>
      <x:c r="F156" s="27" t="n">
        <x:v>0</x:v>
      </x:c>
      <x:c r="G156" s="13" t="str">
        <x:v>R04</x:v>
      </x:c>
      <x:c r="H156" s="13" t="str">
        <x:v>收藏；礼品；宴会</x:v>
      </x:c>
      <x:c r="I156" s="13" t="str">
        <x:v>埃尔米纳专属贸易品牌；适用于收藏、礼品、宴会订单与海员礼赠。</x:v>
      </x:c>
      <x:c r="J156" s="13" t="str">
        <x:v>以失蜡铸造的小型几何秤饰，原创海鸟与帆形构图组成一套</x:v>
      </x:c>
      <x:c r="K156" s="36" t="b">
        <x:v>1</x:v>
      </x:c>
      <x:c r="L156" s="13" t="str">
        <x:v>P041</x:v>
      </x:c>
      <x:c r="M156" s="13" t="str">
        <x:v>原创命名、造型、品牌与发展路线；地域原料或工艺参考见港口历史备注。</x:v>
      </x:c>
      <x:c r="N156" s="13" t="str">
        <x:v>WT-H20</x:v>
      </x:c>
    </x:row>
    <x:row r="157" ht="31" customHeight="1">
      <x:c r="A157" s="15" t="str">
        <x:v>SP042</x:v>
      </x:c>
      <x:c r="B157" s="15" t="str">
        <x:v>雨林焦糖香砖</x:v>
      </x:c>
      <x:c r="C157" s="15" t="str">
        <x:v>食品</x:v>
      </x:c>
      <x:c r="D157" s="30" t="n">
        <x:v>340</x:v>
      </x:c>
      <x:c r="E157" s="44" t="n">
        <x:v>1</x:v>
      </x:c>
      <x:c r="F157" s="30" t="n">
        <x:v>150</x:v>
      </x:c>
      <x:c r="G157" s="15" t="str">
        <x:v>R04</x:v>
      </x:c>
      <x:c r="H157" s="15" t="str">
        <x:v>宴会；远航补给；礼品</x:v>
      </x:c>
      <x:c r="I157" s="15" t="str">
        <x:v>圣多美专属贸易品牌；适用于宴会、远航补给、礼品订单与海员礼赠。</x:v>
      </x:c>
      <x:c r="J157" s="15" t="str">
        <x:v>烘香蔗糖与本地果仁压成深褐糖砖，切面留有金亮砂晶</x:v>
      </x:c>
      <x:c r="K157" s="45" t="b">
        <x:v>1</x:v>
      </x:c>
      <x:c r="L157" s="15" t="str">
        <x:v>P042</x:v>
      </x:c>
      <x:c r="M157" s="15" t="str">
        <x:v>原创命名、造型、品牌与发展路线；地域原料或工艺参考见港口历史备注。</x:v>
      </x:c>
      <x:c r="N157" s="15" t="str"/>
    </x:row>
    <x:row r="158" ht="31" customHeight="1">
      <x:c r="A158" s="13" t="str">
        <x:v>SP043</x:v>
      </x:c>
      <x:c r="B158" s="13" t="str">
        <x:v>桌山云冠麝香酒</x:v>
      </x:c>
      <x:c r="C158" s="13" t="str">
        <x:v>酒类</x:v>
      </x:c>
      <x:c r="D158" s="27" t="n">
        <x:v>560</x:v>
      </x:c>
      <x:c r="E158" s="42" t="n">
        <x:v>1</x:v>
      </x:c>
      <x:c r="F158" s="27" t="n">
        <x:v>0</x:v>
      </x:c>
      <x:c r="G158" s="13" t="str">
        <x:v>R05</x:v>
      </x:c>
      <x:c r="H158" s="13" t="str">
        <x:v>酒馆；宴会；礼品</x:v>
      </x:c>
      <x:c r="I158" s="13" t="str">
        <x:v>开普敦专属贸易品牌；适用于酒馆、宴会、礼品订单与海员礼赠。</x:v>
      </x:c>
      <x:c r="J158" s="13" t="str">
        <x:v>金黄色甜酒封口绕一圈云白丝带，酒标用平顶山负形剪影</x:v>
      </x:c>
      <x:c r="K158" s="36" t="b">
        <x:v>1</x:v>
      </x:c>
      <x:c r="L158" s="13" t="str">
        <x:v>P043</x:v>
      </x:c>
      <x:c r="M158" s="13" t="str">
        <x:v>原创命名、造型、品牌与发展路线；地域原料或工艺参考见港口历史备注。</x:v>
      </x:c>
      <x:c r="N158" s="13" t="str"/>
    </x:row>
    <x:row r="159" ht="31" customHeight="1">
      <x:c r="A159" s="15" t="str">
        <x:v>SP044</x:v>
      </x:c>
      <x:c r="B159" s="15" t="str">
        <x:v>珊瑚城镂花木匣</x:v>
      </x:c>
      <x:c r="C159" s="15" t="str">
        <x:v>工艺品</x:v>
      </x:c>
      <x:c r="D159" s="30" t="n">
        <x:v>675</x:v>
      </x:c>
      <x:c r="E159" s="44" t="n">
        <x:v>1</x:v>
      </x:c>
      <x:c r="F159" s="30" t="n">
        <x:v>0</x:v>
      </x:c>
      <x:c r="G159" s="15" t="str">
        <x:v>R05</x:v>
      </x:c>
      <x:c r="H159" s="15" t="str">
        <x:v>收藏；礼品；宴会</x:v>
      </x:c>
      <x:c r="I159" s="15" t="str">
        <x:v>莫桑比克岛专属贸易品牌；适用于收藏、礼品、宴会订单与海员礼赠。</x:v>
      </x:c>
      <x:c r="J159" s="15" t="str">
        <x:v>黑木与浅色木片拼出窄窗、海帆和波纹，匣盖采用透雕</x:v>
      </x:c>
      <x:c r="K159" s="45" t="b">
        <x:v>1</x:v>
      </x:c>
      <x:c r="L159" s="15" t="str">
        <x:v>P044</x:v>
      </x:c>
      <x:c r="M159" s="15" t="str">
        <x:v>原创命名、造型、品牌与发展路线；地域原料或工艺参考见港口历史备注。</x:v>
      </x:c>
      <x:c r="N159" s="15" t="str">
        <x:v>WT-H21</x:v>
      </x:c>
    </x:row>
    <x:row r="160" ht="31" customHeight="1">
      <x:c r="A160" s="13" t="str">
        <x:v>SP045</x:v>
      </x:c>
      <x:c r="B160" s="13" t="str">
        <x:v>红土金叶航路盒</x:v>
      </x:c>
      <x:c r="C160" s="13" t="str">
        <x:v>奢侈品</x:v>
      </x:c>
      <x:c r="D160" s="27" t="n">
        <x:v>1460</x:v>
      </x:c>
      <x:c r="E160" s="42" t="n">
        <x:v>1</x:v>
      </x:c>
      <x:c r="F160" s="27" t="n">
        <x:v>0</x:v>
      </x:c>
      <x:c r="G160" s="13" t="str">
        <x:v>R05</x:v>
      </x:c>
      <x:c r="H160" s="13" t="str">
        <x:v>宫廷；收藏；礼品</x:v>
      </x:c>
      <x:c r="I160" s="13" t="str">
        <x:v>索法拉专属贸易品牌；适用于宫廷、收藏、礼品订单与海员礼赠。</x:v>
      </x:c>
      <x:c r="J160" s="13" t="str">
        <x:v>细金叶压成抽象河道纹嵌在木盒内，盒外只留质朴红土漆色</x:v>
      </x:c>
      <x:c r="K160" s="36" t="b">
        <x:v>1</x:v>
      </x:c>
      <x:c r="L160" s="13" t="str">
        <x:v>P045</x:v>
      </x:c>
      <x:c r="M160" s="13" t="str">
        <x:v>原创命名、造型、品牌与发展路线；地域原料或工艺参考见港口历史备注。</x:v>
      </x:c>
      <x:c r="N160" s="13" t="str">
        <x:v>WT-H05</x:v>
      </x:c>
    </x:row>
    <x:row r="161" ht="31" customHeight="1">
      <x:c r="A161" s="15" t="str">
        <x:v>SP046</x:v>
      </x:c>
      <x:c r="B161" s="15" t="str">
        <x:v>基尔瓦潮纹瓷嵌盘</x:v>
      </x:c>
      <x:c r="C161" s="15" t="str">
        <x:v>工艺品</x:v>
      </x:c>
      <x:c r="D161" s="30" t="n">
        <x:v>880</x:v>
      </x:c>
      <x:c r="E161" s="44" t="n">
        <x:v>1</x:v>
      </x:c>
      <x:c r="F161" s="30" t="n">
        <x:v>0</x:v>
      </x:c>
      <x:c r="G161" s="15" t="str">
        <x:v>R05</x:v>
      </x:c>
      <x:c r="H161" s="15" t="str">
        <x:v>收藏；礼品；宴会</x:v>
      </x:c>
      <x:c r="I161" s="15" t="str">
        <x:v>基尔瓦专属贸易品牌；适用于收藏、礼品、宴会订单与海员礼赠。</x:v>
      </x:c>
      <x:c r="J161" s="15" t="str">
        <x:v>用新烧蓝白瓷片与本地细木拼嵌水纹托盘，表现跨海匠人合作</x:v>
      </x:c>
      <x:c r="K161" s="45" t="b">
        <x:v>1</x:v>
      </x:c>
      <x:c r="L161" s="15" t="str">
        <x:v>P046</x:v>
      </x:c>
      <x:c r="M161" s="15" t="str">
        <x:v>原创命名、造型、品牌与发展路线；地域原料或工艺参考见港口历史备注。</x:v>
      </x:c>
      <x:c r="N161" s="15" t="str">
        <x:v>WT-H05</x:v>
      </x:c>
    </x:row>
    <x:row r="162" ht="31" customHeight="1">
      <x:c r="A162" s="13" t="str">
        <x:v>SP047</x:v>
      </x:c>
      <x:c r="B162" s="13" t="str">
        <x:v>月门深雕香匣</x:v>
      </x:c>
      <x:c r="C162" s="13" t="str">
        <x:v>工艺品</x:v>
      </x:c>
      <x:c r="D162" s="27" t="n">
        <x:v>740</x:v>
      </x:c>
      <x:c r="E162" s="42" t="n">
        <x:v>1</x:v>
      </x:c>
      <x:c r="F162" s="27" t="n">
        <x:v>0</x:v>
      </x:c>
      <x:c r="G162" s="13" t="str">
        <x:v>R05</x:v>
      </x:c>
      <x:c r="H162" s="13" t="str">
        <x:v>收藏；礼品；宴会</x:v>
      </x:c>
      <x:c r="I162" s="13" t="str">
        <x:v>桑给巴尔专属贸易品牌；适用于收藏、礼品、宴会订单与海员礼赠。</x:v>
      </x:c>
      <x:c r="J162" s="13" t="str">
        <x:v>多层拱门形木匣配几何黄铜扣，内衬织物盛放转口香料</x:v>
      </x:c>
      <x:c r="K162" s="36" t="b">
        <x:v>1</x:v>
      </x:c>
      <x:c r="L162" s="13" t="str">
        <x:v>P047</x:v>
      </x:c>
      <x:c r="M162" s="13" t="str">
        <x:v>原创命名、造型、品牌与发展路线；地域原料或工艺参考见港口历史备注。</x:v>
      </x:c>
      <x:c r="N162" s="13" t="str">
        <x:v>WT-H05</x:v>
      </x:c>
    </x:row>
    <x:row r="163" ht="31" customHeight="1">
      <x:c r="A163" s="15" t="str">
        <x:v>SP048</x:v>
      </x:c>
      <x:c r="B163" s="15" t="str">
        <x:v>双溪银纱海披巾</x:v>
      </x:c>
      <x:c r="C163" s="15" t="str">
        <x:v>织物</x:v>
      </x:c>
      <x:c r="D163" s="30" t="n">
        <x:v>610</x:v>
      </x:c>
      <x:c r="E163" s="44" t="n">
        <x:v>1</x:v>
      </x:c>
      <x:c r="F163" s="30" t="n">
        <x:v>0</x:v>
      </x:c>
      <x:c r="G163" s="15" t="str">
        <x:v>R05</x:v>
      </x:c>
      <x:c r="H163" s="15" t="str">
        <x:v>奢华衣料；礼品；收藏</x:v>
      </x:c>
      <x:c r="I163" s="15" t="str">
        <x:v>蒙巴萨专属贸易品牌；适用于奢华衣料、礼品、收藏订单与海员礼赠。</x:v>
      </x:c>
      <x:c r="J163" s="15" t="str">
        <x:v>印度进口棉纱与当地工坊银白纹边组合，披巾角缀小木珠</x:v>
      </x:c>
      <x:c r="K163" s="45" t="b">
        <x:v>1</x:v>
      </x:c>
      <x:c r="L163" s="15" t="str">
        <x:v>P048</x:v>
      </x:c>
      <x:c r="M163" s="15" t="str">
        <x:v>原创命名、造型、品牌与发展路线；地域原料或工艺参考见港口历史备注。</x:v>
      </x:c>
      <x:c r="N163" s="15" t="str">
        <x:v>WT-H05</x:v>
      </x:c>
    </x:row>
    <x:row r="164" ht="31" customHeight="1">
      <x:c r="A164" s="13" t="str">
        <x:v>SP049</x:v>
      </x:c>
      <x:c r="B164" s="13" t="str">
        <x:v>赤岛星眼木雕</x:v>
      </x:c>
      <x:c r="C164" s="13" t="str">
        <x:v>工艺品</x:v>
      </x:c>
      <x:c r="D164" s="27" t="n">
        <x:v>570</x:v>
      </x:c>
      <x:c r="E164" s="42" t="n">
        <x:v>1</x:v>
      </x:c>
      <x:c r="F164" s="27" t="n">
        <x:v>0</x:v>
      </x:c>
      <x:c r="G164" s="13" t="str">
        <x:v>R05</x:v>
      </x:c>
      <x:c r="H164" s="13" t="str">
        <x:v>收藏；礼品；宴会</x:v>
      </x:c>
      <x:c r="I164" s="13" t="str">
        <x:v>陶拉纳鲁专属贸易品牌；适用于收藏、礼品、宴会订单与海员礼赠。</x:v>
      </x:c>
      <x:c r="J164" s="13" t="str">
        <x:v>以深色木材刻抽象航鸟，眼部嵌浅色贝壳；形制由本作原创</x:v>
      </x:c>
      <x:c r="K164" s="36" t="b">
        <x:v>1</x:v>
      </x:c>
      <x:c r="L164" s="13" t="str">
        <x:v>P049</x:v>
      </x:c>
      <x:c r="M164" s="13" t="str">
        <x:v>原创命名、造型、品牌与发展路线；地域原料或工艺参考见港口历史备注。</x:v>
      </x:c>
      <x:c r="N164" s="13" t="str"/>
    </x:row>
    <x:row r="165" ht="31" customHeight="1">
      <x:c r="A165" s="15" t="str">
        <x:v>SP050</x:v>
      </x:c>
      <x:c r="B165" s="15" t="str">
        <x:v>星湾蔗心陈酿</x:v>
      </x:c>
      <x:c r="C165" s="15" t="str">
        <x:v>酒类</x:v>
      </x:c>
      <x:c r="D165" s="30" t="n">
        <x:v>590</x:v>
      </x:c>
      <x:c r="E165" s="44" t="n">
        <x:v>1</x:v>
      </x:c>
      <x:c r="F165" s="30" t="n">
        <x:v>0</x:v>
      </x:c>
      <x:c r="G165" s="15" t="str">
        <x:v>R05</x:v>
      </x:c>
      <x:c r="H165" s="15" t="str">
        <x:v>酒馆；宴会；礼品</x:v>
      </x:c>
      <x:c r="I165" s="15" t="str">
        <x:v>路易港专属贸易品牌；适用于酒馆、宴会、礼品订单与海员礼赠。</x:v>
      </x:c>
      <x:c r="J165" s="15" t="str">
        <x:v>以当地蔗糖和转口香料调配的金色酒，港口发展让试酿变为稳定产品</x:v>
      </x:c>
      <x:c r="K165" s="45" t="b">
        <x:v>1</x:v>
      </x:c>
      <x:c r="L165" s="15" t="str">
        <x:v>P050</x:v>
      </x:c>
      <x:c r="M165" s="15" t="str">
        <x:v>原创命名、造型、品牌与发展路线；地域原料或工艺参考见港口历史备注。</x:v>
      </x:c>
      <x:c r="N165" s="15" t="str"/>
    </x:row>
    <x:row r="166" ht="31" customHeight="1">
      <x:c r="A166" s="13" t="str">
        <x:v>SP051</x:v>
      </x:c>
      <x:c r="B166" s="13" t="str">
        <x:v>火山蓝香炉盏</x:v>
      </x:c>
      <x:c r="C166" s="13" t="str">
        <x:v>工艺品</x:v>
      </x:c>
      <x:c r="D166" s="27" t="n">
        <x:v>660</x:v>
      </x:c>
      <x:c r="E166" s="42" t="n">
        <x:v>1</x:v>
      </x:c>
      <x:c r="F166" s="27" t="n">
        <x:v>0</x:v>
      </x:c>
      <x:c r="G166" s="13" t="str">
        <x:v>R06</x:v>
      </x:c>
      <x:c r="H166" s="13" t="str">
        <x:v>收藏；礼品；宴会</x:v>
      </x:c>
      <x:c r="I166" s="13" t="str">
        <x:v>亚丁专属贸易品牌；适用于收藏、礼品、宴会订单与海员礼赠。</x:v>
      </x:c>
      <x:c r="J166" s="13" t="str">
        <x:v>深蓝釉面铜陶混合小炉，透气孔排成季风旋涡形</x:v>
      </x:c>
      <x:c r="K166" s="36" t="b">
        <x:v>1</x:v>
      </x:c>
      <x:c r="L166" s="13" t="str">
        <x:v>P051</x:v>
      </x:c>
      <x:c r="M166" s="13" t="str">
        <x:v>原创命名、造型、品牌与发展路线；地域原料或工艺参考见港口历史备注。</x:v>
      </x:c>
      <x:c r="N166" s="13" t="str"/>
    </x:row>
    <x:row r="167" ht="31" customHeight="1">
      <x:c r="A167" s="15" t="str">
        <x:v>SP052</x:v>
      </x:c>
      <x:c r="B167" s="15" t="str">
        <x:v>摩卡夜玫瑰熟豆</x:v>
      </x:c>
      <x:c r="C167" s="15" t="str">
        <x:v>嗜好品</x:v>
      </x:c>
      <x:c r="D167" s="30" t="n">
        <x:v>680</x:v>
      </x:c>
      <x:c r="E167" s="44" t="n">
        <x:v>1</x:v>
      </x:c>
      <x:c r="F167" s="30" t="n">
        <x:v>300</x:v>
      </x:c>
      <x:c r="G167" s="15" t="str">
        <x:v>R06</x:v>
      </x:c>
      <x:c r="H167" s="15" t="str">
        <x:v>城市消费；礼品；酒馆</x:v>
      </x:c>
      <x:c r="I167" s="15" t="str">
        <x:v>摩卡专属贸易品牌；适用于城市消费、礼品、酒馆订单与海员礼赠。</x:v>
      </x:c>
      <x:c r="J167" s="15" t="str">
        <x:v>精选咖啡分批烘焙，原创品牌以晚风和花果香为核心记忆</x:v>
      </x:c>
      <x:c r="K167" s="45" t="b">
        <x:v>1</x:v>
      </x:c>
      <x:c r="L167" s="15" t="str">
        <x:v>P052</x:v>
      </x:c>
      <x:c r="M167" s="15" t="str">
        <x:v>原创命名、造型、品牌与发展路线；地域原料或工艺参考见港口历史备注。</x:v>
      </x:c>
      <x:c r="N167" s="15" t="str">
        <x:v>WT-H22</x:v>
      </x:c>
    </x:row>
    <x:row r="168" ht="31" customHeight="1">
      <x:c r="A168" s="13" t="str">
        <x:v>SP053</x:v>
      </x:c>
      <x:c r="B168" s="13" t="str">
        <x:v>红海花窗香油</x:v>
      </x:c>
      <x:c r="C168" s="13" t="str">
        <x:v>香料</x:v>
      </x:c>
      <x:c r="D168" s="27" t="n">
        <x:v>820</x:v>
      </x:c>
      <x:c r="E168" s="42" t="n">
        <x:v>1</x:v>
      </x:c>
      <x:c r="F168" s="27" t="n">
        <x:v>0</x:v>
      </x:c>
      <x:c r="G168" s="13" t="str">
        <x:v>R06</x:v>
      </x:c>
      <x:c r="H168" s="13" t="str">
        <x:v>香料工坊；宫廷；礼品</x:v>
      </x:c>
      <x:c r="I168" s="13" t="str">
        <x:v>吉达专属贸易品牌；适用于香料工坊、宫廷、礼品订单与海员礼赠。</x:v>
      </x:c>
      <x:c r="J168" s="13" t="str">
        <x:v>多种转口树脂与花香调成琥珀香油，瓶盖化用本作木格窗构图</x:v>
      </x:c>
      <x:c r="K168" s="36" t="b">
        <x:v>1</x:v>
      </x:c>
      <x:c r="L168" s="13" t="str">
        <x:v>P053</x:v>
      </x:c>
      <x:c r="M168" s="13" t="str">
        <x:v>原创命名、造型、品牌与发展路线；地域原料或工艺参考见港口历史备注。</x:v>
      </x:c>
      <x:c r="N168" s="13" t="str">
        <x:v>WT-H08</x:v>
      </x:c>
    </x:row>
    <x:row r="169" ht="31" customHeight="1">
      <x:c r="A169" s="15" t="str">
        <x:v>SP054</x:v>
      </x:c>
      <x:c r="B169" s="15" t="str">
        <x:v>珊瑚月白贝嵌匣</x:v>
      </x:c>
      <x:c r="C169" s="15" t="str">
        <x:v>工艺品</x:v>
      </x:c>
      <x:c r="D169" s="30" t="n">
        <x:v>590</x:v>
      </x:c>
      <x:c r="E169" s="44" t="n">
        <x:v>1</x:v>
      </x:c>
      <x:c r="F169" s="30" t="n">
        <x:v>0</x:v>
      </x:c>
      <x:c r="G169" s="15" t="str">
        <x:v>R06</x:v>
      </x:c>
      <x:c r="H169" s="15" t="str">
        <x:v>收藏；礼品；宴会</x:v>
      </x:c>
      <x:c r="I169" s="15" t="str">
        <x:v>萨瓦金专属贸易品牌；适用于收藏、礼品、宴会订单与海员礼赠。</x:v>
      </x:c>
      <x:c r="J169" s="15" t="str">
        <x:v>贝片与浅木交错，盖面以圆岛和长栈桥作几何纹样</x:v>
      </x:c>
      <x:c r="K169" s="45" t="b">
        <x:v>1</x:v>
      </x:c>
      <x:c r="L169" s="15" t="str">
        <x:v>P054</x:v>
      </x:c>
      <x:c r="M169" s="15" t="str">
        <x:v>原创命名、造型、品牌与发展路线；地域原料或工艺参考见港口历史备注。</x:v>
      </x:c>
      <x:c r="N169" s="15" t="str"/>
    </x:row>
    <x:row r="170" ht="31" customHeight="1">
      <x:c r="A170" s="13" t="str">
        <x:v>SP055</x:v>
      </x:c>
      <x:c r="B170" s="13" t="str">
        <x:v>岩湾银穗香盒</x:v>
      </x:c>
      <x:c r="C170" s="13" t="str">
        <x:v>奢侈品</x:v>
      </x:c>
      <x:c r="D170" s="27" t="n">
        <x:v>1240</x:v>
      </x:c>
      <x:c r="E170" s="42" t="n">
        <x:v>1</x:v>
      </x:c>
      <x:c r="F170" s="27" t="n">
        <x:v>0</x:v>
      </x:c>
      <x:c r="G170" s="13" t="str">
        <x:v>R06</x:v>
      </x:c>
      <x:c r="H170" s="13" t="str">
        <x:v>宫廷；收藏；礼品</x:v>
      </x:c>
      <x:c r="I170" s="13" t="str">
        <x:v>马斯喀特专属贸易品牌；适用于宫廷、收藏、礼品订单与海员礼赠。</x:v>
      </x:c>
      <x:c r="J170" s="13" t="str">
        <x:v>银盒分出香块、火种与小秤三层，细穗纹借海浪和棕叶创作</x:v>
      </x:c>
      <x:c r="K170" s="36" t="b">
        <x:v>1</x:v>
      </x:c>
      <x:c r="L170" s="13" t="str">
        <x:v>P055</x:v>
      </x:c>
      <x:c r="M170" s="13" t="str">
        <x:v>原创命名、造型、品牌与发展路线；地域原料或工艺参考见港口历史备注。</x:v>
      </x:c>
      <x:c r="N170" s="13" t="str">
        <x:v>WT-H06</x:v>
      </x:c>
    </x:row>
    <x:row r="171" ht="31" customHeight="1">
      <x:c r="A171" s="15" t="str">
        <x:v>SP056</x:v>
      </x:c>
      <x:c r="B171" s="15" t="str">
        <x:v>虹盐山珍珠冠扣</x:v>
      </x:c>
      <x:c r="C171" s="15" t="str">
        <x:v>奢侈品</x:v>
      </x:c>
      <x:c r="D171" s="30" t="n">
        <x:v>1550</x:v>
      </x:c>
      <x:c r="E171" s="44" t="n">
        <x:v>1</x:v>
      </x:c>
      <x:c r="F171" s="30" t="n">
        <x:v>0</x:v>
      </x:c>
      <x:c r="G171" s="15" t="str">
        <x:v>R06</x:v>
      </x:c>
      <x:c r="H171" s="15" t="str">
        <x:v>宫廷；收藏；礼品</x:v>
      </x:c>
      <x:c r="I171" s="15" t="str">
        <x:v>霍尔木兹专属贸易品牌；适用于宫廷、收藏、礼品订单与海员礼赠。</x:v>
      </x:c>
      <x:c r="J171" s="15" t="str">
        <x:v>以彩盐山层理配色的珐琅托住一枚珍珠，造型为原创冠扣</x:v>
      </x:c>
      <x:c r="K171" s="45" t="b">
        <x:v>1</x:v>
      </x:c>
      <x:c r="L171" s="15" t="str">
        <x:v>P056</x:v>
      </x:c>
      <x:c r="M171" s="15" t="str">
        <x:v>原创命名、造型、品牌与发展路线；地域原料或工艺参考见港口历史备注。</x:v>
      </x:c>
      <x:c r="N171" s="15" t="str">
        <x:v>WT-H07</x:v>
      </x:c>
    </x:row>
    <x:row r="172" ht="31" customHeight="1">
      <x:c r="A172" s="13" t="str">
        <x:v>SP057</x:v>
      </x:c>
      <x:c r="B172" s="13" t="str">
        <x:v>孔雀火焰双面锦</x:v>
      </x:c>
      <x:c r="C172" s="13" t="str">
        <x:v>织物</x:v>
      </x:c>
      <x:c r="D172" s="27" t="n">
        <x:v>1170</x:v>
      </x:c>
      <x:c r="E172" s="42" t="n">
        <x:v>1</x:v>
      </x:c>
      <x:c r="F172" s="27" t="n">
        <x:v>0</x:v>
      </x:c>
      <x:c r="G172" s="13" t="str">
        <x:v>R06</x:v>
      </x:c>
      <x:c r="H172" s="13" t="str">
        <x:v>奢华衣料；礼品；收藏</x:v>
      </x:c>
      <x:c r="I172" s="13" t="str">
        <x:v>阿巴斯港专属贸易品牌；适用于奢华衣料、礼品、收藏订单与海员礼赠。</x:v>
      </x:c>
      <x:c r="J172" s="13" t="str">
        <x:v>翠蓝与火铜两面映出不同羽纹，采用转口生丝在港内精织</x:v>
      </x:c>
      <x:c r="K172" s="36" t="b">
        <x:v>1</x:v>
      </x:c>
      <x:c r="L172" s="13" t="str">
        <x:v>P057</x:v>
      </x:c>
      <x:c r="M172" s="13" t="str">
        <x:v>原创命名、造型、品牌与发展路线；地域原料或工艺参考见港口历史备注。</x:v>
      </x:c>
      <x:c r="N172" s="13" t="str"/>
    </x:row>
    <x:row r="173" ht="31" customHeight="1">
      <x:c r="A173" s="15" t="str">
        <x:v>SP058</x:v>
      </x:c>
      <x:c r="B173" s="15" t="str">
        <x:v>双河蜜枣银匣</x:v>
      </x:c>
      <x:c r="C173" s="15" t="str">
        <x:v>食品</x:v>
      </x:c>
      <x:c r="D173" s="30" t="n">
        <x:v>530</x:v>
      </x:c>
      <x:c r="E173" s="44" t="n">
        <x:v>1</x:v>
      </x:c>
      <x:c r="F173" s="30" t="n">
        <x:v>150</x:v>
      </x:c>
      <x:c r="G173" s="15" t="str">
        <x:v>R06</x:v>
      </x:c>
      <x:c r="H173" s="15" t="str">
        <x:v>宴会；远航补给；礼品</x:v>
      </x:c>
      <x:c r="I173" s="15" t="str">
        <x:v>巴士拉专属贸易品牌；适用于宴会、远航补给、礼品订单与海员礼赠。</x:v>
      </x:c>
      <x:c r="J173" s="15" t="str">
        <x:v>夹果仁蜜枣分层排列在可再用薄银色工艺匣中</x:v>
      </x:c>
      <x:c r="K173" s="45" t="b">
        <x:v>1</x:v>
      </x:c>
      <x:c r="L173" s="15" t="str">
        <x:v>P058</x:v>
      </x:c>
      <x:c r="M173" s="15" t="str">
        <x:v>原创命名、造型、品牌与发展路线；地域原料或工艺参考见港口历史备注。</x:v>
      </x:c>
      <x:c r="N173" s="15" t="str">
        <x:v>WT-H07</x:v>
      </x:c>
    </x:row>
    <x:row r="174" ht="31" customHeight="1">
      <x:c r="A174" s="13" t="str">
        <x:v>SP059</x:v>
      </x:c>
      <x:c r="B174" s="13" t="str">
        <x:v>第乌红蓝拼帆毯</x:v>
      </x:c>
      <x:c r="C174" s="13" t="str">
        <x:v>织物</x:v>
      </x:c>
      <x:c r="D174" s="27" t="n">
        <x:v>540</x:v>
      </x:c>
      <x:c r="E174" s="42" t="n">
        <x:v>1</x:v>
      </x:c>
      <x:c r="F174" s="27" t="n">
        <x:v>0</x:v>
      </x:c>
      <x:c r="G174" s="13" t="str">
        <x:v>R07</x:v>
      </x:c>
      <x:c r="H174" s="13" t="str">
        <x:v>奢华衣料；礼品；收藏</x:v>
      </x:c>
      <x:c r="I174" s="13" t="str">
        <x:v>第乌专属贸易品牌；适用于奢华衣料、礼品、收藏订单与海员礼赠。</x:v>
      </x:c>
      <x:c r="J174" s="13" t="str">
        <x:v>棉布拼出斜三角帆纹，可作室内挂毯与商团礼物</x:v>
      </x:c>
      <x:c r="K174" s="36" t="b">
        <x:v>1</x:v>
      </x:c>
      <x:c r="L174" s="13" t="str">
        <x:v>P059</x:v>
      </x:c>
      <x:c r="M174" s="13" t="str">
        <x:v>原创命名、造型、品牌与发展路线；地域原料或工艺参考见港口历史备注。</x:v>
      </x:c>
      <x:c r="N174" s="13" t="str">
        <x:v>WT-H09</x:v>
      </x:c>
    </x:row>
    <x:row r="175" ht="31" customHeight="1">
      <x:c r="A175" s="15" t="str">
        <x:v>SP060</x:v>
      </x:c>
      <x:c r="B175" s="15" t="str">
        <x:v>千雨银星印花棉</x:v>
      </x:c>
      <x:c r="C175" s="15" t="str">
        <x:v>织物</x:v>
      </x:c>
      <x:c r="D175" s="30" t="n">
        <x:v>780</x:v>
      </x:c>
      <x:c r="E175" s="44" t="n">
        <x:v>1</x:v>
      </x:c>
      <x:c r="F175" s="30" t="n">
        <x:v>0</x:v>
      </x:c>
      <x:c r="G175" s="15" t="str">
        <x:v>R07</x:v>
      </x:c>
      <x:c r="H175" s="15" t="str">
        <x:v>奢华衣料；礼品；收藏</x:v>
      </x:c>
      <x:c r="I175" s="15" t="str">
        <x:v>苏拉特专属贸易品牌；适用于奢华衣料、礼品、收藏订单与海员礼赠。</x:v>
      </x:c>
      <x:c r="J175" s="15" t="str">
        <x:v>蓝地上细白点如季风夜雨，金属印模仅压出若隐若现的小星</x:v>
      </x:c>
      <x:c r="K175" s="45" t="b">
        <x:v>1</x:v>
      </x:c>
      <x:c r="L175" s="15" t="str">
        <x:v>P060</x:v>
      </x:c>
      <x:c r="M175" s="15" t="str">
        <x:v>原创命名、造型、品牌与发展路线；地域原料或工艺参考见港口历史备注。</x:v>
      </x:c>
      <x:c r="N175" s="15" t="str">
        <x:v>WT-H09</x:v>
      </x:c>
    </x:row>
    <x:row r="176" ht="31" customHeight="1">
      <x:c r="A176" s="13" t="str">
        <x:v>SP061</x:v>
      </x:c>
      <x:c r="B176" s="13" t="str">
        <x:v>金藤嵌木书箱</x:v>
      </x:c>
      <x:c r="C176" s="13" t="str">
        <x:v>工艺品</x:v>
      </x:c>
      <x:c r="D176" s="27" t="n">
        <x:v>990</x:v>
      </x:c>
      <x:c r="E176" s="42" t="n">
        <x:v>1</x:v>
      </x:c>
      <x:c r="F176" s="27" t="n">
        <x:v>0</x:v>
      </x:c>
      <x:c r="G176" s="13" t="str">
        <x:v>R07</x:v>
      </x:c>
      <x:c r="H176" s="13" t="str">
        <x:v>收藏；礼品；宴会</x:v>
      </x:c>
      <x:c r="I176" s="13" t="str">
        <x:v>果阿专属贸易品牌；适用于收藏、礼品、宴会订单与海员礼赠。</x:v>
      </x:c>
      <x:c r="J176" s="13" t="str">
        <x:v>印度细木嵌条与伊比利亚折页书架结合，打开后成为船舱小书桌</x:v>
      </x:c>
      <x:c r="K176" s="36" t="b">
        <x:v>1</x:v>
      </x:c>
      <x:c r="L176" s="13" t="str">
        <x:v>P061</x:v>
      </x:c>
      <x:c r="M176" s="13" t="str">
        <x:v>原创命名、造型、品牌与发展路线；地域原料或工艺参考见港口历史备注。</x:v>
      </x:c>
      <x:c r="N176" s="13" t="str">
        <x:v>WT-H09</x:v>
      </x:c>
    </x:row>
    <x:row r="177" ht="42" customHeight="1">
      <x:c r="A177" s="15" t="str">
        <x:v>SP062</x:v>
      </x:c>
      <x:c r="B177" s="15" t="str">
        <x:v>黑日重瓣胡椒</x:v>
      </x:c>
      <x:c r="C177" s="15" t="str">
        <x:v>香辛料</x:v>
      </x:c>
      <x:c r="D177" s="30" t="n">
        <x:v>640</x:v>
      </x:c>
      <x:c r="E177" s="44" t="n">
        <x:v>1</x:v>
      </x:c>
      <x:c r="F177" s="30" t="n">
        <x:v>540</x:v>
      </x:c>
      <x:c r="G177" s="15" t="str">
        <x:v>R07</x:v>
      </x:c>
      <x:c r="H177" s="15" t="str">
        <x:v>宴会；药房；香辛料收藏</x:v>
      </x:c>
      <x:c r="I177" s="15" t="str">
        <x:v>卡利卡特专属贸易品牌；适用于宴会、药房、香辛料收藏订单与海员礼赠。</x:v>
      </x:c>
      <x:c r="J177" s="15" t="str">
        <x:v>筛选大粒胡椒并分晒至黑亮，品牌以沉入海面的太阳作记号</x:v>
      </x:c>
      <x:c r="K177" s="45" t="b">
        <x:v>1</x:v>
      </x:c>
      <x:c r="L177" s="15" t="str">
        <x:v>P062</x:v>
      </x:c>
      <x:c r="M177" s="15" t="str">
        <x:v>原创命名、造型、品牌与发展路线；地域原料或工艺参考见港口历史备注。</x:v>
      </x:c>
      <x:c r="N177" s="15" t="str"/>
    </x:row>
    <x:row r="178" ht="31" customHeight="1">
      <x:c r="A178" s="13" t="str">
        <x:v>SP063</x:v>
      </x:c>
      <x:c r="B178" s="13" t="str">
        <x:v>潟湖姜糖帆结</x:v>
      </x:c>
      <x:c r="C178" s="13" t="str">
        <x:v>食品</x:v>
      </x:c>
      <x:c r="D178" s="27" t="n">
        <x:v>375</x:v>
      </x:c>
      <x:c r="E178" s="42" t="n">
        <x:v>1</x:v>
      </x:c>
      <x:c r="F178" s="27" t="n">
        <x:v>150</x:v>
      </x:c>
      <x:c r="G178" s="13" t="str">
        <x:v>R07</x:v>
      </x:c>
      <x:c r="H178" s="13" t="str">
        <x:v>宴会；远航补给；礼品</x:v>
      </x:c>
      <x:c r="I178" s="13" t="str">
        <x:v>柯钦专属贸易品牌；适用于宴会、远航补给、礼品订单与海员礼赠。</x:v>
      </x:c>
      <x:c r="J178" s="13" t="str">
        <x:v>糖渍干姜卷成小帆结状，以细棕叶盒密封</x:v>
      </x:c>
      <x:c r="K178" s="36" t="b">
        <x:v>1</x:v>
      </x:c>
      <x:c r="L178" s="13" t="str">
        <x:v>P063</x:v>
      </x:c>
      <x:c r="M178" s="13" t="str">
        <x:v>原创命名、造型、品牌与发展路线；地域原料或工艺参考见港口历史备注。</x:v>
      </x:c>
      <x:c r="N178" s="13" t="str"/>
    </x:row>
    <x:row r="179" ht="31" customHeight="1">
      <x:c r="A179" s="15" t="str">
        <x:v>SP064</x:v>
      </x:c>
      <x:c r="B179" s="15" t="str">
        <x:v>锡兰月卷细桂</x:v>
      </x:c>
      <x:c r="C179" s="15" t="str">
        <x:v>香辛料</x:v>
      </x:c>
      <x:c r="D179" s="30" t="n">
        <x:v>760</x:v>
      </x:c>
      <x:c r="E179" s="44" t="n">
        <x:v>1</x:v>
      </x:c>
      <x:c r="F179" s="30" t="n">
        <x:v>540</x:v>
      </x:c>
      <x:c r="G179" s="15" t="str">
        <x:v>R07</x:v>
      </x:c>
      <x:c r="H179" s="15" t="str">
        <x:v>宴会；药房；香辛料收藏</x:v>
      </x:c>
      <x:c r="I179" s="15" t="str">
        <x:v>科伦坡专属贸易品牌；适用于宴会、药房、香辛料收藏订单与海员礼赠。</x:v>
      </x:c>
      <x:c r="J179" s="15" t="str">
        <x:v>薄桂皮手工套卷成轻巧长管，截面像一轮又一轮弯月</x:v>
      </x:c>
      <x:c r="K179" s="45" t="b">
        <x:v>1</x:v>
      </x:c>
      <x:c r="L179" s="15" t="str">
        <x:v>P064</x:v>
      </x:c>
      <x:c r="M179" s="15" t="str">
        <x:v>原创命名、造型、品牌与发展路线；地域原料或工艺参考见港口历史备注。</x:v>
      </x:c>
      <x:c r="N179" s="15" t="str"/>
    </x:row>
    <x:row r="180" ht="31" customHeight="1">
      <x:c r="A180" s="13" t="str">
        <x:v>SP065</x:v>
      </x:c>
      <x:c r="B180" s="13" t="str">
        <x:v>海鸟白地彩印布</x:v>
      </x:c>
      <x:c r="C180" s="13" t="str">
        <x:v>织物</x:v>
      </x:c>
      <x:c r="D180" s="27" t="n">
        <x:v>710</x:v>
      </x:c>
      <x:c r="E180" s="42" t="n">
        <x:v>1</x:v>
      </x:c>
      <x:c r="F180" s="27" t="n">
        <x:v>0</x:v>
      </x:c>
      <x:c r="G180" s="13" t="str">
        <x:v>R07</x:v>
      </x:c>
      <x:c r="H180" s="13" t="str">
        <x:v>奢华衣料；礼品；收藏</x:v>
      </x:c>
      <x:c r="I180" s="13" t="str">
        <x:v>马德拉斯专属贸易品牌；适用于奢华衣料、礼品、收藏订单与海员礼赠。</x:v>
      </x:c>
      <x:c r="J180" s="13" t="str">
        <x:v>白底留出大片呼吸感，细红蓝海鸟和开花枝条沿布边飞行</x:v>
      </x:c>
      <x:c r="K180" s="36" t="b">
        <x:v>1</x:v>
      </x:c>
      <x:c r="L180" s="13" t="str">
        <x:v>P065</x:v>
      </x:c>
      <x:c r="M180" s="13" t="str">
        <x:v>原创命名、造型、品牌与发展路线；地域原料或工艺参考见港口历史备注。</x:v>
      </x:c>
      <x:c r="N180" s="13" t="str">
        <x:v>WT-H10</x:v>
      </x:c>
    </x:row>
    <x:row r="181" ht="42" customHeight="1">
      <x:c r="A181" s="15" t="str">
        <x:v>SP066</x:v>
      </x:c>
      <x:c r="B181" s="15" t="str">
        <x:v>孔雀海图卡拉姆布</x:v>
      </x:c>
      <x:c r="C181" s="15" t="str">
        <x:v>织物</x:v>
      </x:c>
      <x:c r="D181" s="30" t="n">
        <x:v>920</x:v>
      </x:c>
      <x:c r="E181" s="44" t="n">
        <x:v>1</x:v>
      </x:c>
      <x:c r="F181" s="30" t="n">
        <x:v>0</x:v>
      </x:c>
      <x:c r="G181" s="15" t="str">
        <x:v>R07</x:v>
      </x:c>
      <x:c r="H181" s="15" t="str">
        <x:v>奢华衣料；礼品；收藏</x:v>
      </x:c>
      <x:c r="I181" s="15" t="str">
        <x:v>马苏利帕特南专属贸易品牌；适用于奢华衣料、礼品、收藏订单与海员礼赠。</x:v>
      </x:c>
      <x:c r="J181" s="15" t="str">
        <x:v>以手绘棉布传统为灵感，将孔雀羽眼与虚构群岛航图融合</x:v>
      </x:c>
      <x:c r="K181" s="45" t="b">
        <x:v>1</x:v>
      </x:c>
      <x:c r="L181" s="15" t="str">
        <x:v>P066</x:v>
      </x:c>
      <x:c r="M181" s="15" t="str">
        <x:v>原创命名、造型、品牌与发展路线；地域原料或工艺参考见港口历史备注。</x:v>
      </x:c>
      <x:c r="N181" s="15" t="str">
        <x:v>WT-H10</x:v>
      </x:c>
    </x:row>
    <x:row r="182" ht="31" customHeight="1">
      <x:c r="A182" s="13" t="str">
        <x:v>SP067</x:v>
      </x:c>
      <x:c r="B182" s="13" t="str">
        <x:v>晨雾七层细纱</x:v>
      </x:c>
      <x:c r="C182" s="13" t="str">
        <x:v>织物</x:v>
      </x:c>
      <x:c r="D182" s="27" t="n">
        <x:v>1160</x:v>
      </x:c>
      <x:c r="E182" s="42" t="n">
        <x:v>1</x:v>
      </x:c>
      <x:c r="F182" s="27" t="n">
        <x:v>0</x:v>
      </x:c>
      <x:c r="G182" s="13" t="str">
        <x:v>R07</x:v>
      </x:c>
      <x:c r="H182" s="13" t="str">
        <x:v>奢华衣料；礼品；收藏</x:v>
      </x:c>
      <x:c r="I182" s="13" t="str">
        <x:v>胡格利专属贸易品牌；适用于奢华衣料、礼品、收藏订单与海员礼赠。</x:v>
      </x:c>
      <x:c r="J182" s="13" t="str">
        <x:v>薄到可透看层叠纹样的细棉纱，以七层不同灰蓝色构成晨雾感</x:v>
      </x:c>
      <x:c r="K182" s="36" t="b">
        <x:v>1</x:v>
      </x:c>
      <x:c r="L182" s="13" t="str">
        <x:v>P067</x:v>
      </x:c>
      <x:c r="M182" s="13" t="str">
        <x:v>原创命名、造型、品牌与发展路线；地域原料或工艺参考见港口历史备注。</x:v>
      </x:c>
      <x:c r="N182" s="13" t="str">
        <x:v>WT-H09</x:v>
      </x:c>
    </x:row>
    <x:row r="183" ht="31" customHeight="1">
      <x:c r="A183" s="15" t="str">
        <x:v>SP068</x:v>
      </x:c>
      <x:c r="B183" s="15" t="str">
        <x:v>青湾柚木拼浪箱</x:v>
      </x:c>
      <x:c r="C183" s="15" t="str">
        <x:v>工艺品</x:v>
      </x:c>
      <x:c r="D183" s="30" t="n">
        <x:v>670</x:v>
      </x:c>
      <x:c r="E183" s="44" t="n">
        <x:v>1</x:v>
      </x:c>
      <x:c r="F183" s="30" t="n">
        <x:v>0</x:v>
      </x:c>
      <x:c r="G183" s="15" t="str">
        <x:v>R07</x:v>
      </x:c>
      <x:c r="H183" s="15" t="str">
        <x:v>收藏；礼品；宴会</x:v>
      </x:c>
      <x:c r="I183" s="15" t="str">
        <x:v>吉大港专属贸易品牌；适用于收藏、礼品、宴会订单与海员礼赠。</x:v>
      </x:c>
      <x:c r="J183" s="15" t="str">
        <x:v>深浅木片拼出河湾纹，箱内隔板可重排为船医或珠宝商用</x:v>
      </x:c>
      <x:c r="K183" s="45" t="b">
        <x:v>1</x:v>
      </x:c>
      <x:c r="L183" s="15" t="str">
        <x:v>P068</x:v>
      </x:c>
      <x:c r="M183" s="15" t="str">
        <x:v>原创命名、造型、品牌与发展路线；地域原料或工艺参考见港口历史备注。</x:v>
      </x:c>
      <x:c r="N183" s="15" t="str"/>
    </x:row>
    <x:row r="184" ht="31" customHeight="1">
      <x:c r="A184" s="13" t="str">
        <x:v>SP069</x:v>
      </x:c>
      <x:c r="B184" s="13" t="str">
        <x:v>三海嵌珠商匣</x:v>
      </x:c>
      <x:c r="C184" s="13" t="str">
        <x:v>工艺品</x:v>
      </x:c>
      <x:c r="D184" s="27" t="n">
        <x:v>1090</x:v>
      </x:c>
      <x:c r="E184" s="42" t="n">
        <x:v>1</x:v>
      </x:c>
      <x:c r="F184" s="27" t="n">
        <x:v>0</x:v>
      </x:c>
      <x:c r="G184" s="13" t="str">
        <x:v>R08</x:v>
      </x:c>
      <x:c r="H184" s="13" t="str">
        <x:v>收藏；礼品；宴会</x:v>
      </x:c>
      <x:c r="I184" s="13" t="str">
        <x:v>马六甲专属贸易品牌；适用于收藏、礼品、宴会订单与海员礼赠。</x:v>
      </x:c>
      <x:c r="J184" s="13" t="str">
        <x:v>以三块不同木色和贝片代表相遇的航海传统，花纹由港内合匠会原创</x:v>
      </x:c>
      <x:c r="K184" s="36" t="b">
        <x:v>1</x:v>
      </x:c>
      <x:c r="L184" s="13" t="str">
        <x:v>P069</x:v>
      </x:c>
      <x:c r="M184" s="13" t="str">
        <x:v>原创命名、造型、品牌与发展路线；地域原料或工艺参考见港口历史备注。</x:v>
      </x:c>
      <x:c r="N184" s="13" t="str">
        <x:v>WT-H11</x:v>
      </x:c>
    </x:row>
    <x:row r="185" ht="31" customHeight="1">
      <x:c r="A185" s="15" t="str">
        <x:v>SP070</x:v>
      </x:c>
      <x:c r="B185" s="15" t="str">
        <x:v>雨枪长穗胡椒</x:v>
      </x:c>
      <x:c r="C185" s="15" t="str">
        <x:v>香辛料</x:v>
      </x:c>
      <x:c r="D185" s="30" t="n">
        <x:v>660</x:v>
      </x:c>
      <x:c r="E185" s="44" t="n">
        <x:v>1</x:v>
      </x:c>
      <x:c r="F185" s="30" t="n">
        <x:v>540</x:v>
      </x:c>
      <x:c r="G185" s="15" t="str">
        <x:v>R08</x:v>
      </x:c>
      <x:c r="H185" s="15" t="str">
        <x:v>宴会；药房；香辛料收藏</x:v>
      </x:c>
      <x:c r="I185" s="15" t="str">
        <x:v>亚齐专属贸易品牌；适用于宴会、药房、香辛料收藏订单与海员礼赠。</x:v>
      </x:c>
      <x:c r="J185" s="15" t="str">
        <x:v>精选长串成熟胡椒，以深绿叶纹编筒分级密封</x:v>
      </x:c>
      <x:c r="K185" s="45" t="b">
        <x:v>1</x:v>
      </x:c>
      <x:c r="L185" s="15" t="str">
        <x:v>P070</x:v>
      </x:c>
      <x:c r="M185" s="15" t="str">
        <x:v>原创命名、造型、品牌与发展路线；地域原料或工艺参考见港口历史备注。</x:v>
      </x:c>
      <x:c r="N185" s="15" t="str"/>
    </x:row>
    <x:row r="186" ht="31" customHeight="1">
      <x:c r="A186" s="13" t="str">
        <x:v>SP071</x:v>
      </x:c>
      <x:c r="B186" s="13" t="str">
        <x:v>万丹夜蓝蜡染卷</x:v>
      </x:c>
      <x:c r="C186" s="13" t="str">
        <x:v>织物</x:v>
      </x:c>
      <x:c r="D186" s="27" t="n">
        <x:v>730</x:v>
      </x:c>
      <x:c r="E186" s="42" t="n">
        <x:v>1</x:v>
      </x:c>
      <x:c r="F186" s="27" t="n">
        <x:v>0</x:v>
      </x:c>
      <x:c r="G186" s="13" t="str">
        <x:v>R08</x:v>
      </x:c>
      <x:c r="H186" s="13" t="str">
        <x:v>奢华衣料；礼品；收藏</x:v>
      </x:c>
      <x:c r="I186" s="13" t="str">
        <x:v>万丹专属贸易品牌；适用于奢华衣料、礼品、收藏订单与海员礼赠。</x:v>
      </x:c>
      <x:c r="J186" s="13" t="str">
        <x:v>深蓝蜡染中浮现小型帆、云和海鸟，卷轴边饰取自原创航路纹</x:v>
      </x:c>
      <x:c r="K186" s="36" t="b">
        <x:v>1</x:v>
      </x:c>
      <x:c r="L186" s="13" t="str">
        <x:v>P071</x:v>
      </x:c>
      <x:c r="M186" s="13" t="str">
        <x:v>原创命名、造型、品牌与发展路线；地域原料或工艺参考见港口历史备注。</x:v>
      </x:c>
      <x:c r="N186" s="13" t="str"/>
    </x:row>
    <x:row r="187" ht="31" customHeight="1">
      <x:c r="A187" s="15" t="str">
        <x:v>SP072</x:v>
      </x:c>
      <x:c r="B187" s="15" t="str">
        <x:v>群岛十三香橱</x:v>
      </x:c>
      <x:c r="C187" s="15" t="str">
        <x:v>奢侈品</x:v>
      </x:c>
      <x:c r="D187" s="30" t="n">
        <x:v>1210</x:v>
      </x:c>
      <x:c r="E187" s="44" t="n">
        <x:v>1</x:v>
      </x:c>
      <x:c r="F187" s="30" t="n">
        <x:v>0</x:v>
      </x:c>
      <x:c r="G187" s="15" t="str">
        <x:v>R08</x:v>
      </x:c>
      <x:c r="H187" s="15" t="str">
        <x:v>宫廷；收藏；礼品</x:v>
      </x:c>
      <x:c r="I187" s="15" t="str">
        <x:v>巴达维亚专属贸易品牌；适用于宫廷、收藏、礼品订单与海员礼赠。</x:v>
      </x:c>
      <x:c r="J187" s="15" t="str">
        <x:v>十三个小抽屉装产自不同航线的香料样包，木柜内侧绘原创群岛图</x:v>
      </x:c>
      <x:c r="K187" s="45" t="b">
        <x:v>1</x:v>
      </x:c>
      <x:c r="L187" s="15" t="str">
        <x:v>P072</x:v>
      </x:c>
      <x:c r="M187" s="15" t="str">
        <x:v>原创命名、造型、品牌与发展路线；地域原料或工艺参考见港口历史备注。</x:v>
      </x:c>
      <x:c r="N187" s="15" t="str"/>
    </x:row>
    <x:row r="188" ht="31" customHeight="1">
      <x:c r="A188" s="13" t="str">
        <x:v>SP073</x:v>
      </x:c>
      <x:c r="B188" s="13" t="str">
        <x:v>穆西金河织锦</x:v>
      </x:c>
      <x:c r="C188" s="13" t="str">
        <x:v>织物</x:v>
      </x:c>
      <x:c r="D188" s="27" t="n">
        <x:v>990</x:v>
      </x:c>
      <x:c r="E188" s="42" t="n">
        <x:v>1</x:v>
      </x:c>
      <x:c r="F188" s="27" t="n">
        <x:v>0</x:v>
      </x:c>
      <x:c r="G188" s="13" t="str">
        <x:v>R08</x:v>
      </x:c>
      <x:c r="H188" s="13" t="str">
        <x:v>奢华衣料；礼品；收藏</x:v>
      </x:c>
      <x:c r="I188" s="13" t="str">
        <x:v>巨港专属贸易品牌；适用于奢华衣料、礼品、收藏订单与海员礼赠。</x:v>
      </x:c>
      <x:c r="J188" s="13" t="str">
        <x:v>深紫棉丝地上穿细金线，河湾轮廓以重复小舟图案表达</x:v>
      </x:c>
      <x:c r="K188" s="36" t="b">
        <x:v>1</x:v>
      </x:c>
      <x:c r="L188" s="13" t="str">
        <x:v>P073</x:v>
      </x:c>
      <x:c r="M188" s="13" t="str">
        <x:v>原创命名、造型、品牌与发展路线；地域原料或工艺参考见港口历史备注。</x:v>
      </x:c>
      <x:c r="N188" s="13" t="str"/>
    </x:row>
    <x:row r="189" ht="31" customHeight="1">
      <x:c r="A189" s="15" t="str">
        <x:v>SP074</x:v>
      </x:c>
      <x:c r="B189" s="15" t="str">
        <x:v>水宫沉纹木屏</x:v>
      </x:c>
      <x:c r="C189" s="15" t="str">
        <x:v>工艺品</x:v>
      </x:c>
      <x:c r="D189" s="30" t="n">
        <x:v>1040</x:v>
      </x:c>
      <x:c r="E189" s="44" t="n">
        <x:v>1</x:v>
      </x:c>
      <x:c r="F189" s="30" t="n">
        <x:v>0</x:v>
      </x:c>
      <x:c r="G189" s="15" t="str">
        <x:v>R08</x:v>
      </x:c>
      <x:c r="H189" s="15" t="str">
        <x:v>收藏；礼品；宴会</x:v>
      </x:c>
      <x:c r="I189" s="15" t="str">
        <x:v>文莱专属贸易品牌；适用于收藏、礼品、宴会订单与海员礼赠。</x:v>
      </x:c>
      <x:c r="J189" s="15" t="str">
        <x:v>层层折屏镂出水村倒影，以不同硬木自然色形成深浅图样</x:v>
      </x:c>
      <x:c r="K189" s="45" t="b">
        <x:v>1</x:v>
      </x:c>
      <x:c r="L189" s="15" t="str">
        <x:v>P074</x:v>
      </x:c>
      <x:c r="M189" s="15" t="str">
        <x:v>原创命名、造型、品牌与发展路线；地域原料或工艺参考见港口历史备注。</x:v>
      </x:c>
      <x:c r="N189" s="15" t="str"/>
    </x:row>
    <x:row r="190" ht="31" customHeight="1">
      <x:c r="A190" s="13" t="str">
        <x:v>SP075</x:v>
      </x:c>
      <x:c r="B190" s="13" t="str">
        <x:v>南十字黑帆布</x:v>
      </x:c>
      <x:c r="C190" s="13" t="str">
        <x:v>织物</x:v>
      </x:c>
      <x:c r="D190" s="27" t="n">
        <x:v>560</x:v>
      </x:c>
      <x:c r="E190" s="42" t="n">
        <x:v>1</x:v>
      </x:c>
      <x:c r="F190" s="27" t="n">
        <x:v>0</x:v>
      </x:c>
      <x:c r="G190" s="13" t="str">
        <x:v>R08</x:v>
      </x:c>
      <x:c r="H190" s="13" t="str">
        <x:v>奢华衣料；礼品；收藏</x:v>
      </x:c>
      <x:c r="I190" s="13" t="str">
        <x:v>望加锡专属贸易品牌；适用于奢华衣料、礼品、收藏订单与海员礼赠。</x:v>
      </x:c>
      <x:c r="J190" s="13" t="str">
        <x:v>炭黑与靛蓝双染的帆布，边角用白色织纹表现南方星座意象</x:v>
      </x:c>
      <x:c r="K190" s="36" t="b">
        <x:v>1</x:v>
      </x:c>
      <x:c r="L190" s="13" t="str">
        <x:v>P075</x:v>
      </x:c>
      <x:c r="M190" s="13" t="str">
        <x:v>原创命名、造型、品牌与发展路线；地域原料或工艺参考见港口历史备注。</x:v>
      </x:c>
      <x:c r="N190" s="13" t="str"/>
    </x:row>
    <x:row r="191" ht="42" customHeight="1">
      <x:c r="A191" s="15" t="str">
        <x:v>SP076</x:v>
      </x:c>
      <x:c r="B191" s="15" t="str">
        <x:v>火山赤蕊丁香</x:v>
      </x:c>
      <x:c r="C191" s="15" t="str">
        <x:v>香辛料</x:v>
      </x:c>
      <x:c r="D191" s="30" t="n">
        <x:v>910</x:v>
      </x:c>
      <x:c r="E191" s="44" t="n">
        <x:v>1</x:v>
      </x:c>
      <x:c r="F191" s="30" t="n">
        <x:v>540</x:v>
      </x:c>
      <x:c r="G191" s="15" t="str">
        <x:v>R08</x:v>
      </x:c>
      <x:c r="H191" s="15" t="str">
        <x:v>宴会；药房；香辛料收藏</x:v>
      </x:c>
      <x:c r="I191" s="15" t="str">
        <x:v>特尔纳特专属贸易品牌；适用于宴会、药房、香辛料收藏订单与海员礼赠。</x:v>
      </x:c>
      <x:c r="J191" s="15" t="str">
        <x:v>花苞分层筛选后呈红褐色，开筒时的香气被用作港口识别记忆</x:v>
      </x:c>
      <x:c r="K191" s="45" t="b">
        <x:v>1</x:v>
      </x:c>
      <x:c r="L191" s="15" t="str">
        <x:v>P076</x:v>
      </x:c>
      <x:c r="M191" s="15" t="str">
        <x:v>原创命名、造型、品牌与发展路线；地域原料或工艺参考见港口历史备注。</x:v>
      </x:c>
      <x:c r="N191" s="15" t="str"/>
    </x:row>
    <x:row r="192" ht="42" customHeight="1">
      <x:c r="A192" s="13" t="str">
        <x:v>SP077</x:v>
      </x:c>
      <x:c r="B192" s="13" t="str">
        <x:v>班达绯冠肉豆蔻花衣</x:v>
      </x:c>
      <x:c r="C192" s="13" t="str">
        <x:v>香辛料</x:v>
      </x:c>
      <x:c r="D192" s="27" t="n">
        <x:v>1020</x:v>
      </x:c>
      <x:c r="E192" s="42" t="n">
        <x:v>1</x:v>
      </x:c>
      <x:c r="F192" s="27" t="n">
        <x:v>540</x:v>
      </x:c>
      <x:c r="G192" s="13" t="str">
        <x:v>R08</x:v>
      </x:c>
      <x:c r="H192" s="13" t="str">
        <x:v>宴会；药房；香辛料收藏</x:v>
      </x:c>
      <x:c r="I192" s="13" t="str">
        <x:v>班达奈拉专属贸易品牌；适用于宴会、药房、香辛料收藏订单与海员礼赠。</x:v>
      </x:c>
      <x:c r="J192" s="13" t="str">
        <x:v>红色网状假种皮干制后像一顶绯色冠冕，独立于普通肉豆蔻出售</x:v>
      </x:c>
      <x:c r="K192" s="36" t="b">
        <x:v>1</x:v>
      </x:c>
      <x:c r="L192" s="13" t="str">
        <x:v>P077</x:v>
      </x:c>
      <x:c r="M192" s="13" t="str">
        <x:v>原创命名、造型、品牌与发展路线；地域原料或工艺参考见港口历史备注。</x:v>
      </x:c>
      <x:c r="N192" s="13" t="str">
        <x:v>WT-H12；WT-H13</x:v>
      </x:c>
    </x:row>
    <x:row r="193" ht="31" customHeight="1">
      <x:c r="A193" s="15" t="str">
        <x:v>SP078</x:v>
      </x:c>
      <x:c r="B193" s="15" t="str">
        <x:v>月贝金光折扇</x:v>
      </x:c>
      <x:c r="C193" s="15" t="str">
        <x:v>工艺品</x:v>
      </x:c>
      <x:c r="D193" s="30" t="n">
        <x:v>980</x:v>
      </x:c>
      <x:c r="E193" s="44" t="n">
        <x:v>1</x:v>
      </x:c>
      <x:c r="F193" s="30" t="n">
        <x:v>0</x:v>
      </x:c>
      <x:c r="G193" s="15" t="str">
        <x:v>R08</x:v>
      </x:c>
      <x:c r="H193" s="15" t="str">
        <x:v>收藏；礼品；宴会</x:v>
      </x:c>
      <x:c r="I193" s="15" t="str">
        <x:v>马尼拉专属贸易品牌；适用于收藏、礼品、宴会订单与海员礼赠。</x:v>
      </x:c>
      <x:c r="J193" s="15" t="str">
        <x:v>薄贝片透出柔金光，扇骨嵌原创海鸟纹，组合亚洲与跨洋工坊技巧</x:v>
      </x:c>
      <x:c r="K193" s="45" t="b">
        <x:v>1</x:v>
      </x:c>
      <x:c r="L193" s="15" t="str">
        <x:v>P078</x:v>
      </x:c>
      <x:c r="M193" s="15" t="str">
        <x:v>原创命名、造型、品牌与发展路线；地域原料或工艺参考见港口历史备注。</x:v>
      </x:c>
      <x:c r="N193" s="15" t="str"/>
    </x:row>
    <x:row r="194" ht="31" customHeight="1">
      <x:c r="A194" s="13" t="str">
        <x:v>SP079</x:v>
      </x:c>
      <x:c r="B194" s="13" t="str">
        <x:v>灯河五色丝灯罩</x:v>
      </x:c>
      <x:c r="C194" s="13" t="str">
        <x:v>工艺品</x:v>
      </x:c>
      <x:c r="D194" s="27" t="n">
        <x:v>780</x:v>
      </x:c>
      <x:c r="E194" s="42" t="n">
        <x:v>1</x:v>
      </x:c>
      <x:c r="F194" s="27" t="n">
        <x:v>0</x:v>
      </x:c>
      <x:c r="G194" s="13" t="str">
        <x:v>R08</x:v>
      </x:c>
      <x:c r="H194" s="13" t="str">
        <x:v>收藏；礼品；宴会</x:v>
      </x:c>
      <x:c r="I194" s="13" t="str">
        <x:v>会安专属贸易品牌；适用于收藏、礼品、宴会订单与海员礼赠。</x:v>
      </x:c>
      <x:c r="J194" s="13" t="str">
        <x:v>可折叠的竹木骨架罩五色丝面，点灯时显出行船云纹</x:v>
      </x:c>
      <x:c r="K194" s="36" t="b">
        <x:v>1</x:v>
      </x:c>
      <x:c r="L194" s="13" t="str">
        <x:v>P079</x:v>
      </x:c>
      <x:c r="M194" s="13" t="str">
        <x:v>原创命名、造型、品牌与发展路线；地域原料或工艺参考见港口历史备注。</x:v>
      </x:c>
      <x:c r="N194" s="13" t="str">
        <x:v>WT-H23</x:v>
      </x:c>
    </x:row>
    <x:row r="195" ht="31" customHeight="1">
      <x:c r="A195" s="15" t="str">
        <x:v>SP080</x:v>
      </x:c>
      <x:c r="B195" s="15" t="str">
        <x:v>三河金叶黑漆盘</x:v>
      </x:c>
      <x:c r="C195" s="15" t="str">
        <x:v>工艺品</x:v>
      </x:c>
      <x:c r="D195" s="30" t="n">
        <x:v>1150</x:v>
      </x:c>
      <x:c r="E195" s="44" t="n">
        <x:v>1</x:v>
      </x:c>
      <x:c r="F195" s="30" t="n">
        <x:v>0</x:v>
      </x:c>
      <x:c r="G195" s="15" t="str">
        <x:v>R08</x:v>
      </x:c>
      <x:c r="H195" s="15" t="str">
        <x:v>收藏；礼品；宴会</x:v>
      </x:c>
      <x:c r="I195" s="15" t="str">
        <x:v>阿瑜陀耶专属贸易品牌；适用于收藏、礼品、宴会订单与海员礼赠。</x:v>
      </x:c>
      <x:c r="J195" s="15" t="str">
        <x:v>黑漆盘面用细金叶铺出三股河流与虚构水鸟，边沿朱红</x:v>
      </x:c>
      <x:c r="K195" s="45" t="b">
        <x:v>1</x:v>
      </x:c>
      <x:c r="L195" s="15" t="str">
        <x:v>P080</x:v>
      </x:c>
      <x:c r="M195" s="15" t="str">
        <x:v>原创命名、造型、品牌与发展路线；地域原料或工艺参考见港口历史备注。</x:v>
      </x:c>
      <x:c r="N195" s="15" t="str"/>
    </x:row>
    <x:row r="196" ht="31" customHeight="1">
      <x:c r="A196" s="13" t="str">
        <x:v>SP081</x:v>
      </x:c>
      <x:c r="B196" s="13" t="str">
        <x:v>珠江百帆广彩匣</x:v>
      </x:c>
      <x:c r="C196" s="13" t="str">
        <x:v>工艺品</x:v>
      </x:c>
      <x:c r="D196" s="27" t="n">
        <x:v>1380</x:v>
      </x:c>
      <x:c r="E196" s="42" t="n">
        <x:v>1</x:v>
      </x:c>
      <x:c r="F196" s="27" t="n">
        <x:v>0</x:v>
      </x:c>
      <x:c r="G196" s="13" t="str">
        <x:v>R09</x:v>
      </x:c>
      <x:c r="H196" s="13" t="str">
        <x:v>收藏；礼品；宴会</x:v>
      </x:c>
      <x:c r="I196" s="13" t="str">
        <x:v>广州专属贸易品牌；适用于收藏、礼品、宴会订单与海员礼赠。</x:v>
      </x:c>
      <x:c r="J196" s="13" t="str">
        <x:v>白瓷匣上绘原创百帆节场景，金红绿彩在海蓝底纹间穿梭</x:v>
      </x:c>
      <x:c r="K196" s="36" t="b">
        <x:v>1</x:v>
      </x:c>
      <x:c r="L196" s="13" t="str">
        <x:v>P081</x:v>
      </x:c>
      <x:c r="M196" s="13" t="str">
        <x:v>原创命名、造型、品牌与发展路线；地域原料或工艺参考见港口历史备注。</x:v>
      </x:c>
      <x:c r="N196" s="13" t="str">
        <x:v>WT-H09</x:v>
      </x:c>
    </x:row>
    <x:row r="197" ht="31" customHeight="1">
      <x:c r="A197" s="15" t="str">
        <x:v>SP082</x:v>
      </x:c>
      <x:c r="B197" s="15" t="str">
        <x:v>刺桐白瓷潮生盏</x:v>
      </x:c>
      <x:c r="C197" s="15" t="str">
        <x:v>工艺品</x:v>
      </x:c>
      <x:c r="D197" s="30" t="n">
        <x:v>880</x:v>
      </x:c>
      <x:c r="E197" s="44" t="n">
        <x:v>1</x:v>
      </x:c>
      <x:c r="F197" s="30" t="n">
        <x:v>0</x:v>
      </x:c>
      <x:c r="G197" s="15" t="str">
        <x:v>R09</x:v>
      </x:c>
      <x:c r="H197" s="15" t="str">
        <x:v>收藏；礼品；宴会</x:v>
      </x:c>
      <x:c r="I197" s="15" t="str">
        <x:v>泉州专属贸易品牌；适用于收藏、礼品、宴会订单与海员礼赠。</x:v>
      </x:c>
      <x:c r="J197" s="15" t="str">
        <x:v>透白釉下暗刻海浪与刺桐花瓣，灯光透过薄壁显出双层纹</x:v>
      </x:c>
      <x:c r="K197" s="45" t="b">
        <x:v>1</x:v>
      </x:c>
      <x:c r="L197" s="15" t="str">
        <x:v>P082</x:v>
      </x:c>
      <x:c r="M197" s="15" t="str">
        <x:v>原创命名、造型、品牌与发展路线；地域原料或工艺参考见港口历史备注。</x:v>
      </x:c>
      <x:c r="N197" s="15" t="str">
        <x:v>WT-H14</x:v>
      </x:c>
    </x:row>
    <x:row r="198" ht="31" customHeight="1">
      <x:c r="A198" s="13" t="str">
        <x:v>SP083</x:v>
      </x:c>
      <x:c r="B198" s="13" t="str">
        <x:v>榕影脱胎漆杯</x:v>
      </x:c>
      <x:c r="C198" s="13" t="str">
        <x:v>工艺品</x:v>
      </x:c>
      <x:c r="D198" s="27" t="n">
        <x:v>1020</x:v>
      </x:c>
      <x:c r="E198" s="42" t="n">
        <x:v>1</x:v>
      </x:c>
      <x:c r="F198" s="27" t="n">
        <x:v>0</x:v>
      </x:c>
      <x:c r="G198" s="13" t="str">
        <x:v>R09</x:v>
      </x:c>
      <x:c r="H198" s="13" t="str">
        <x:v>收藏；礼品；宴会</x:v>
      </x:c>
      <x:c r="I198" s="13" t="str">
        <x:v>福州专属贸易品牌；适用于收藏、礼品、宴会订单与海员礼赠。</x:v>
      </x:c>
      <x:c r="J198" s="13" t="str">
        <x:v>轻薄漆杯以灰绿、朱红两层透纹表现榕叶影，属传统工艺启发的原创款</x:v>
      </x:c>
      <x:c r="K198" s="36" t="b">
        <x:v>1</x:v>
      </x:c>
      <x:c r="L198" s="13" t="str">
        <x:v>P083</x:v>
      </x:c>
      <x:c r="M198" s="13" t="str">
        <x:v>原创命名、造型、品牌与发展路线；地域原料或工艺参考见港口历史备注。</x:v>
      </x:c>
      <x:c r="N198" s="13" t="str"/>
    </x:row>
    <x:row r="199" ht="31" customHeight="1">
      <x:c r="A199" s="15" t="str">
        <x:v>SP084</x:v>
      </x:c>
      <x:c r="B199" s="15" t="str">
        <x:v>甬江青瓷雨线壶</x:v>
      </x:c>
      <x:c r="C199" s="15" t="str">
        <x:v>工艺品</x:v>
      </x:c>
      <x:c r="D199" s="30" t="n">
        <x:v>930</x:v>
      </x:c>
      <x:c r="E199" s="44" t="n">
        <x:v>1</x:v>
      </x:c>
      <x:c r="F199" s="30" t="n">
        <x:v>0</x:v>
      </x:c>
      <x:c r="G199" s="15" t="str">
        <x:v>R09</x:v>
      </x:c>
      <x:c r="H199" s="15" t="str">
        <x:v>收藏；礼品；宴会</x:v>
      </x:c>
      <x:c r="I199" s="15" t="str">
        <x:v>宁波专属贸易品牌；适用于收藏、礼品、宴会订单与海员礼赠。</x:v>
      </x:c>
      <x:c r="J199" s="15" t="str">
        <x:v>青釉壶肩刻密细竖线，注水时像雨从云间落入杯中</x:v>
      </x:c>
      <x:c r="K199" s="45" t="b">
        <x:v>1</x:v>
      </x:c>
      <x:c r="L199" s="15" t="str">
        <x:v>P084</x:v>
      </x:c>
      <x:c r="M199" s="15" t="str">
        <x:v>原创命名、造型、品牌与发展路线；地域原料或工艺参考见港口历史备注。</x:v>
      </x:c>
      <x:c r="N199" s="15" t="str"/>
    </x:row>
    <x:row r="200" ht="31" customHeight="1">
      <x:c r="A200" s="13" t="str">
        <x:v>SP085</x:v>
      </x:c>
      <x:c r="B200" s="13" t="str">
        <x:v>金陵星河云锦</x:v>
      </x:c>
      <x:c r="C200" s="13" t="str">
        <x:v>织物</x:v>
      </x:c>
      <x:c r="D200" s="27" t="n">
        <x:v>1640</x:v>
      </x:c>
      <x:c r="E200" s="42" t="n">
        <x:v>1</x:v>
      </x:c>
      <x:c r="F200" s="27" t="n">
        <x:v>0</x:v>
      </x:c>
      <x:c r="G200" s="13" t="str">
        <x:v>R09</x:v>
      </x:c>
      <x:c r="H200" s="13" t="str">
        <x:v>奢华衣料；礼品；收藏</x:v>
      </x:c>
      <x:c r="I200" s="13" t="str">
        <x:v>南京专属贸易品牌；适用于奢华衣料、礼品、收藏订单与海员礼赠。</x:v>
      </x:c>
      <x:c r="J200" s="13" t="str">
        <x:v>墨蓝地以金银丝织出细密航船与银河，是本作原创庆典锦样</x:v>
      </x:c>
      <x:c r="K200" s="36" t="b">
        <x:v>1</x:v>
      </x:c>
      <x:c r="L200" s="13" t="str">
        <x:v>P085</x:v>
      </x:c>
      <x:c r="M200" s="13" t="str">
        <x:v>原创命名、造型、品牌与发展路线；地域原料或工艺参考见港口历史备注。</x:v>
      </x:c>
      <x:c r="N200" s="13" t="str"/>
    </x:row>
    <x:row r="201" ht="31" customHeight="1">
      <x:c r="A201" s="15" t="str">
        <x:v>SP086</x:v>
      </x:c>
      <x:c r="B201" s="15" t="str">
        <x:v>安平日落蔗晶</x:v>
      </x:c>
      <x:c r="C201" s="15" t="str">
        <x:v>食品</x:v>
      </x:c>
      <x:c r="D201" s="30" t="n">
        <x:v>420</x:v>
      </x:c>
      <x:c r="E201" s="44" t="n">
        <x:v>1</x:v>
      </x:c>
      <x:c r="F201" s="30" t="n">
        <x:v>150</x:v>
      </x:c>
      <x:c r="G201" s="15" t="str">
        <x:v>R09</x:v>
      </x:c>
      <x:c r="H201" s="15" t="str">
        <x:v>宴会；远航补给；礼品</x:v>
      </x:c>
      <x:c r="I201" s="15" t="str">
        <x:v>安平专属贸易品牌；适用于宴会、远航补给、礼品订单与海员礼赠。</x:v>
      </x:c>
      <x:c r="J201" s="15" t="str">
        <x:v>大颗琥珀糖晶装进蓝白陶瓶，透光时像一小罐夕阳</x:v>
      </x:c>
      <x:c r="K201" s="45" t="b">
        <x:v>1</x:v>
      </x:c>
      <x:c r="L201" s="15" t="str">
        <x:v>P086</x:v>
      </x:c>
      <x:c r="M201" s="15" t="str">
        <x:v>原创命名、造型、品牌与发展路线；地域原料或工艺参考见港口历史备注。</x:v>
      </x:c>
      <x:c r="N201" s="15" t="str"/>
    </x:row>
    <x:row r="202" ht="31" customHeight="1">
      <x:c r="A202" s="13" t="str">
        <x:v>SP087</x:v>
      </x:c>
      <x:c r="B202" s="13" t="str">
        <x:v>玄武海纹贝雕盘</x:v>
      </x:c>
      <x:c r="C202" s="13" t="str">
        <x:v>工艺品</x:v>
      </x:c>
      <x:c r="D202" s="27" t="n">
        <x:v>510</x:v>
      </x:c>
      <x:c r="E202" s="42" t="n">
        <x:v>1</x:v>
      </x:c>
      <x:c r="F202" s="27" t="n">
        <x:v>0</x:v>
      </x:c>
      <x:c r="G202" s="13" t="str">
        <x:v>R09</x:v>
      </x:c>
      <x:c r="H202" s="13" t="str">
        <x:v>收藏；礼品；宴会</x:v>
      </x:c>
      <x:c r="I202" s="13" t="str">
        <x:v>马公专属贸易品牌；适用于收藏、礼品、宴会订单与海员礼赠。</x:v>
      </x:c>
      <x:c r="J202" s="13" t="str">
        <x:v>白贝刻片拼嵌在深色底盘，刻出岛间风纹和船尾泡沫</x:v>
      </x:c>
      <x:c r="K202" s="36" t="b">
        <x:v>1</x:v>
      </x:c>
      <x:c r="L202" s="13" t="str">
        <x:v>P087</x:v>
      </x:c>
      <x:c r="M202" s="13" t="str">
        <x:v>原创命名、造型、品牌与发展路线；地域原料或工艺参考见港口历史备注。</x:v>
      </x:c>
      <x:c r="N202" s="13" t="str"/>
    </x:row>
    <x:row r="203" ht="31" customHeight="1">
      <x:c r="A203" s="15" t="str">
        <x:v>SP088</x:v>
      </x:c>
      <x:c r="B203" s="15" t="str">
        <x:v>琉璃潮花红型布</x:v>
      </x:c>
      <x:c r="C203" s="15" t="str">
        <x:v>织物</x:v>
      </x:c>
      <x:c r="D203" s="30" t="n">
        <x:v>1090</x:v>
      </x:c>
      <x:c r="E203" s="44" t="n">
        <x:v>1</x:v>
      </x:c>
      <x:c r="F203" s="30" t="n">
        <x:v>0</x:v>
      </x:c>
      <x:c r="G203" s="15" t="str">
        <x:v>R09</x:v>
      </x:c>
      <x:c r="H203" s="15" t="str">
        <x:v>奢华衣料；礼品；收藏</x:v>
      </x:c>
      <x:c r="I203" s="15" t="str">
        <x:v>那霸专属贸易品牌；适用于奢华衣料、礼品、收藏订单与海员礼赠。</x:v>
      </x:c>
      <x:c r="J203" s="15" t="str">
        <x:v>红黄蓝植物纹在白地上像海边花丛，图样为本作原创染绘</x:v>
      </x:c>
      <x:c r="K203" s="45" t="b">
        <x:v>1</x:v>
      </x:c>
      <x:c r="L203" s="15" t="str">
        <x:v>P088</x:v>
      </x:c>
      <x:c r="M203" s="15" t="str">
        <x:v>原创命名、造型、品牌与发展路线；地域原料或工艺参考见港口历史备注。</x:v>
      </x:c>
      <x:c r="N203" s="15" t="str"/>
    </x:row>
    <x:row r="204" ht="31" customHeight="1">
      <x:c r="A204" s="13" t="str">
        <x:v>SP089</x:v>
      </x:c>
      <x:c r="B204" s="13" t="str">
        <x:v>长崎虹砂玻璃盏</x:v>
      </x:c>
      <x:c r="C204" s="13" t="str">
        <x:v>工艺品</x:v>
      </x:c>
      <x:c r="D204" s="27" t="n">
        <x:v>1160</x:v>
      </x:c>
      <x:c r="E204" s="42" t="n">
        <x:v>1</x:v>
      </x:c>
      <x:c r="F204" s="27" t="n">
        <x:v>0</x:v>
      </x:c>
      <x:c r="G204" s="13" t="str">
        <x:v>R09</x:v>
      </x:c>
      <x:c r="H204" s="13" t="str">
        <x:v>收藏；礼品；宴会</x:v>
      </x:c>
      <x:c r="I204" s="13" t="str">
        <x:v>长崎专属贸易品牌；适用于收藏、礼品、宴会订单与海员礼赠。</x:v>
      </x:c>
      <x:c r="J204" s="13" t="str">
        <x:v>薄玻璃拉出海蓝与蜜金细线，杯足形如一小团浪尖</x:v>
      </x:c>
      <x:c r="K204" s="36" t="b">
        <x:v>1</x:v>
      </x:c>
      <x:c r="L204" s="13" t="str">
        <x:v>P089</x:v>
      </x:c>
      <x:c r="M204" s="13" t="str">
        <x:v>原创命名、造型、品牌与发展路线；地域原料或工艺参考见港口历史备注。</x:v>
      </x:c>
      <x:c r="N204" s="13" t="str"/>
    </x:row>
    <x:row r="205" ht="31" customHeight="1">
      <x:c r="A205" s="15" t="str">
        <x:v>SP090</x:v>
      </x:c>
      <x:c r="B205" s="15" t="str">
        <x:v>堺一叶折锋匠刀</x:v>
      </x:c>
      <x:c r="C205" s="15" t="str">
        <x:v>工业品</x:v>
      </x:c>
      <x:c r="D205" s="30" t="n">
        <x:v>1220</x:v>
      </x:c>
      <x:c r="E205" s="44" t="n">
        <x:v>1</x:v>
      </x:c>
      <x:c r="F205" s="30" t="n">
        <x:v>0</x:v>
      </x:c>
      <x:c r="G205" s="15" t="str">
        <x:v>R09</x:v>
      </x:c>
      <x:c r="H205" s="15" t="str">
        <x:v>船厂；工具工坊；工坊建设</x:v>
      </x:c>
      <x:c r="I205" s="15" t="str">
        <x:v>堺专属贸易品牌；适用于船厂、工具工坊、工坊建设订单与海员礼赠。</x:v>
      </x:c>
      <x:c r="J205" s="15" t="str">
        <x:v>船匠用细工刀组以竹叶形柄和分级刀刃组合，作为工艺工具货而非角色武器</x:v>
      </x:c>
      <x:c r="K205" s="45" t="b">
        <x:v>1</x:v>
      </x:c>
      <x:c r="L205" s="15" t="str">
        <x:v>P090</x:v>
      </x:c>
      <x:c r="M205" s="15" t="str">
        <x:v>原创命名、造型、品牌与发展路线；地域原料或工艺参考见港口历史备注。</x:v>
      </x:c>
      <x:c r="N205" s="15" t="str"/>
    </x:row>
    <x:row r="206" ht="31" customHeight="1">
      <x:c r="A206" s="13" t="str">
        <x:v>SP091</x:v>
      </x:c>
      <x:c r="B206" s="13" t="str">
        <x:v>江户千帆浮世绘册</x:v>
      </x:c>
      <x:c r="C206" s="13" t="str">
        <x:v>奢侈品</x:v>
      </x:c>
      <x:c r="D206" s="27" t="n">
        <x:v>1030</x:v>
      </x:c>
      <x:c r="E206" s="42" t="n">
        <x:v>1</x:v>
      </x:c>
      <x:c r="F206" s="27" t="n">
        <x:v>0</x:v>
      </x:c>
      <x:c r="G206" s="13" t="str">
        <x:v>R09</x:v>
      </x:c>
      <x:c r="H206" s="13" t="str">
        <x:v>宫廷；收藏；礼品</x:v>
      </x:c>
      <x:c r="I206" s="13" t="str">
        <x:v>江户专属贸易品牌；适用于宫廷、收藏、礼品订单与海员礼赠。</x:v>
      </x:c>
      <x:c r="J206" s="13" t="str">
        <x:v>原创海港人物与航船套色版画，册页可在船长舱作为收藏展示</x:v>
      </x:c>
      <x:c r="K206" s="36" t="b">
        <x:v>1</x:v>
      </x:c>
      <x:c r="L206" s="13" t="str">
        <x:v>P091</x:v>
      </x:c>
      <x:c r="M206" s="13" t="str">
        <x:v>原创命名、造型、品牌与发展路线；地域原料或工艺参考见港口历史备注。</x:v>
      </x:c>
      <x:c r="N206" s="13" t="str"/>
    </x:row>
    <x:row r="207" ht="31" customHeight="1">
      <x:c r="A207" s="15" t="str">
        <x:v>SP092</x:v>
      </x:c>
      <x:c r="B207" s="15" t="str">
        <x:v>青潮螺钿文箱</x:v>
      </x:c>
      <x:c r="C207" s="15" t="str">
        <x:v>工艺品</x:v>
      </x:c>
      <x:c r="D207" s="30" t="n">
        <x:v>1050</x:v>
      </x:c>
      <x:c r="E207" s="44" t="n">
        <x:v>1</x:v>
      </x:c>
      <x:c r="F207" s="30" t="n">
        <x:v>0</x:v>
      </x:c>
      <x:c r="G207" s="15" t="str">
        <x:v>R09</x:v>
      </x:c>
      <x:c r="H207" s="15" t="str">
        <x:v>收藏；礼品；宴会</x:v>
      </x:c>
      <x:c r="I207" s="15" t="str">
        <x:v>釜山专属贸易品牌；适用于收藏、礼品、宴会订单与海员礼赠。</x:v>
      </x:c>
      <x:c r="J207" s="15" t="str">
        <x:v>深漆箱面用细贝片排出海浪、芦苇与原创鹤形构图</x:v>
      </x:c>
      <x:c r="K207" s="45" t="b">
        <x:v>1</x:v>
      </x:c>
      <x:c r="L207" s="15" t="str">
        <x:v>P092</x:v>
      </x:c>
      <x:c r="M207" s="15" t="str">
        <x:v>原创命名、造型、品牌与发展路线；地域原料或工艺参考见港口历史备注。</x:v>
      </x:c>
      <x:c r="N207" s="15" t="str"/>
    </x:row>
    <x:row r="208" ht="31" customHeight="1">
      <x:c r="A208" s="13" t="str">
        <x:v>SP093</x:v>
      </x:c>
      <x:c r="B208" s="13" t="str">
        <x:v>黑石海女贝光扣</x:v>
      </x:c>
      <x:c r="C208" s="13" t="str">
        <x:v>工艺品</x:v>
      </x:c>
      <x:c r="D208" s="27" t="n">
        <x:v>650</x:v>
      </x:c>
      <x:c r="E208" s="42" t="n">
        <x:v>1</x:v>
      </x:c>
      <x:c r="F208" s="27" t="n">
        <x:v>0</x:v>
      </x:c>
      <x:c r="G208" s="13" t="str">
        <x:v>R09</x:v>
      </x:c>
      <x:c r="H208" s="13" t="str">
        <x:v>收藏；礼品；宴会</x:v>
      </x:c>
      <x:c r="I208" s="13" t="str">
        <x:v>济州专属贸易品牌；适用于收藏、礼品、宴会订单与海员礼赠。</x:v>
      </x:c>
      <x:c r="J208" s="13" t="str">
        <x:v>贝光拼片嵌入黑色石纹框，表现潜采劳动与海潮的原创工坊饰扣</x:v>
      </x:c>
      <x:c r="K208" s="36" t="b">
        <x:v>1</x:v>
      </x:c>
      <x:c r="L208" s="13" t="str">
        <x:v>P093</x:v>
      </x:c>
      <x:c r="M208" s="13" t="str">
        <x:v>原创命名、造型、品牌与发展路线；地域原料或工艺参考见港口历史备注。</x:v>
      </x:c>
      <x:c r="N208" s="13" t="str"/>
    </x:row>
    <x:row r="209" ht="31" customHeight="1">
      <x:c r="A209" s="15" t="str">
        <x:v>SP094</x:v>
      </x:c>
      <x:c r="B209" s="15" t="str">
        <x:v>北灯昆布结礼带</x:v>
      </x:c>
      <x:c r="C209" s="15" t="str">
        <x:v>食品</x:v>
      </x:c>
      <x:c r="D209" s="30" t="n">
        <x:v>320</x:v>
      </x:c>
      <x:c r="E209" s="44" t="n">
        <x:v>1</x:v>
      </x:c>
      <x:c r="F209" s="30" t="n">
        <x:v>180</x:v>
      </x:c>
      <x:c r="G209" s="15" t="str">
        <x:v>R09</x:v>
      </x:c>
      <x:c r="H209" s="15" t="str">
        <x:v>宴会；远航补给；礼品</x:v>
      </x:c>
      <x:c r="I209" s="15" t="str">
        <x:v>箱馆专属贸易品牌；适用于宴会、远航补给、礼品订单与海员礼赠。</x:v>
      </x:c>
      <x:c r="J209" s="15" t="str">
        <x:v>精选长幅干昆布以细绳结束，包装以冷蓝和雪白形成北境记忆</x:v>
      </x:c>
      <x:c r="K209" s="45" t="b">
        <x:v>1</x:v>
      </x:c>
      <x:c r="L209" s="15" t="str">
        <x:v>P094</x:v>
      </x:c>
      <x:c r="M209" s="15" t="str">
        <x:v>原创命名、造型、品牌与发展路线；地域原料或工艺参考见港口历史备注。</x:v>
      </x:c>
      <x:c r="N209" s="15" t="str"/>
    </x:row>
    <x:row r="210" ht="31" customHeight="1">
      <x:c r="A210" s="13" t="str">
        <x:v>SP095</x:v>
      </x:c>
      <x:c r="B210" s="13" t="str">
        <x:v>哈瓦那绛叶雪茄匣</x:v>
      </x:c>
      <x:c r="C210" s="13" t="str">
        <x:v>嗜好品</x:v>
      </x:c>
      <x:c r="D210" s="27" t="n">
        <x:v>980</x:v>
      </x:c>
      <x:c r="E210" s="42" t="n">
        <x:v>1</x:v>
      </x:c>
      <x:c r="F210" s="27" t="n">
        <x:v>300</x:v>
      </x:c>
      <x:c r="G210" s="13" t="str">
        <x:v>R10</x:v>
      </x:c>
      <x:c r="H210" s="13" t="str">
        <x:v>城市消费；礼品；酒馆</x:v>
      </x:c>
      <x:c r="I210" s="13" t="str">
        <x:v>哈瓦那专属贸易品牌；适用于城市消费、礼品、酒馆订单与海员礼赠。</x:v>
      </x:c>
      <x:c r="J210" s="13" t="str">
        <x:v>深红烟叶分级卷制，木匣上绘原创船队返港庆典</x:v>
      </x:c>
      <x:c r="K210" s="36" t="b">
        <x:v>1</x:v>
      </x:c>
      <x:c r="L210" s="13" t="str">
        <x:v>P095</x:v>
      </x:c>
      <x:c r="M210" s="13" t="str">
        <x:v>原创命名、造型、品牌与发展路线；地域原料或工艺参考见港口历史备注。</x:v>
      </x:c>
      <x:c r="N210" s="13" t="str">
        <x:v>WT-H15</x:v>
      </x:c>
    </x:row>
    <x:row r="211" ht="42" customHeight="1">
      <x:c r="A211" s="15" t="str">
        <x:v>SP096</x:v>
      </x:c>
      <x:c r="B211" s="15" t="str">
        <x:v>铜湾蜜桶朗姆</x:v>
      </x:c>
      <x:c r="C211" s="15" t="str">
        <x:v>酒类</x:v>
      </x:c>
      <x:c r="D211" s="30" t="n">
        <x:v>620</x:v>
      </x:c>
      <x:c r="E211" s="44" t="n">
        <x:v>1</x:v>
      </x:c>
      <x:c r="F211" s="30" t="n">
        <x:v>0</x:v>
      </x:c>
      <x:c r="G211" s="15" t="str">
        <x:v>R10</x:v>
      </x:c>
      <x:c r="H211" s="15" t="str">
        <x:v>酒馆；宴会；礼品</x:v>
      </x:c>
      <x:c r="I211" s="15" t="str">
        <x:v>圣地亚哥德古巴专属贸易品牌；适用于酒馆、宴会、礼品订单与海员礼赠。</x:v>
      </x:c>
      <x:c r="J211" s="15" t="str">
        <x:v>糖蜜蒸馏后在炭烘木桶中熟成，包装铜箔映出山湾线条</x:v>
      </x:c>
      <x:c r="K211" s="45" t="b">
        <x:v>1</x:v>
      </x:c>
      <x:c r="L211" s="15" t="str">
        <x:v>P096</x:v>
      </x:c>
      <x:c r="M211" s="15" t="str">
        <x:v>原创命名、造型、品牌与发展路线；地域原料或工艺参考见港口历史备注。</x:v>
      </x:c>
      <x:c r="N211" s="15" t="str"/>
    </x:row>
    <x:row r="212" ht="31" customHeight="1">
      <x:c r="A212" s="13" t="str">
        <x:v>SP097</x:v>
      </x:c>
      <x:c r="B212" s="13" t="str">
        <x:v>金河可可花砖</x:v>
      </x:c>
      <x:c r="C212" s="13" t="str">
        <x:v>嗜好品</x:v>
      </x:c>
      <x:c r="D212" s="27" t="n">
        <x:v>580</x:v>
      </x:c>
      <x:c r="E212" s="42" t="n">
        <x:v>1</x:v>
      </x:c>
      <x:c r="F212" s="27" t="n">
        <x:v>300</x:v>
      </x:c>
      <x:c r="G212" s="13" t="str">
        <x:v>R10</x:v>
      </x:c>
      <x:c r="H212" s="13" t="str">
        <x:v>城市消费；礼品；酒馆</x:v>
      </x:c>
      <x:c r="I212" s="13" t="str">
        <x:v>圣多明各专属贸易品牌；适用于城市消费、礼品、酒馆订单与海员礼赠。</x:v>
      </x:c>
      <x:c r="J212" s="13" t="str">
        <x:v>可可与蔗糖压成带花朵浅浮雕的饮品砖，花样为原创</x:v>
      </x:c>
      <x:c r="K212" s="36" t="b">
        <x:v>1</x:v>
      </x:c>
      <x:c r="L212" s="13" t="str">
        <x:v>P097</x:v>
      </x:c>
      <x:c r="M212" s="13" t="str">
        <x:v>原创命名、造型、品牌与发展路线；地域原料或工艺参考见港口历史备注。</x:v>
      </x:c>
      <x:c r="N212" s="13" t="str"/>
    </x:row>
    <x:row r="213" ht="31" customHeight="1">
      <x:c r="A213" s="15" t="str">
        <x:v>SP098</x:v>
      </x:c>
      <x:c r="B213" s="15" t="str">
        <x:v>双堡青柑蜜饯</x:v>
      </x:c>
      <x:c r="C213" s="15" t="str">
        <x:v>食品</x:v>
      </x:c>
      <x:c r="D213" s="30" t="n">
        <x:v>390</x:v>
      </x:c>
      <x:c r="E213" s="44" t="n">
        <x:v>1</x:v>
      </x:c>
      <x:c r="F213" s="30" t="n">
        <x:v>150</x:v>
      </x:c>
      <x:c r="G213" s="15" t="str">
        <x:v>R10</x:v>
      </x:c>
      <x:c r="H213" s="15" t="str">
        <x:v>宴会；远航补给；礼品</x:v>
      </x:c>
      <x:c r="I213" s="15" t="str">
        <x:v>圣胡安专属贸易品牌；适用于宴会、远航补给、礼品订单与海员礼赠。</x:v>
      </x:c>
      <x:c r="J213" s="15" t="str">
        <x:v>糖渍柑皮卷成小涡旋，锡色罐顶压出双堡海口图形</x:v>
      </x:c>
      <x:c r="K213" s="45" t="b">
        <x:v>1</x:v>
      </x:c>
      <x:c r="L213" s="15" t="str">
        <x:v>P098</x:v>
      </x:c>
      <x:c r="M213" s="15" t="str">
        <x:v>原创命名、造型、品牌与发展路线；地域原料或工艺参考见港口历史备注。</x:v>
      </x:c>
      <x:c r="N213" s="15" t="str"/>
    </x:row>
    <x:row r="214" ht="31" customHeight="1">
      <x:c r="A214" s="13" t="str">
        <x:v>SP099</x:v>
      </x:c>
      <x:c r="B214" s="13" t="str">
        <x:v>罗亚尔黑帆桶酿</x:v>
      </x:c>
      <x:c r="C214" s="13" t="str">
        <x:v>酒类</x:v>
      </x:c>
      <x:c r="D214" s="27" t="n">
        <x:v>670</x:v>
      </x:c>
      <x:c r="E214" s="42" t="n">
        <x:v>1</x:v>
      </x:c>
      <x:c r="F214" s="27" t="n">
        <x:v>0</x:v>
      </x:c>
      <x:c r="G214" s="13" t="str">
        <x:v>R10</x:v>
      </x:c>
      <x:c r="H214" s="13" t="str">
        <x:v>酒馆；宴会；礼品</x:v>
      </x:c>
      <x:c r="I214" s="13" t="str">
        <x:v>罗亚尔港专属贸易品牌；适用于酒馆、宴会、礼品订单与海员礼赠。</x:v>
      </x:c>
      <x:c r="J214" s="13" t="str">
        <x:v>深色糖蜜酒以可重复封闭的小桶出售，桶箍压出虚构私掠团徽记</x:v>
      </x:c>
      <x:c r="K214" s="36" t="b">
        <x:v>1</x:v>
      </x:c>
      <x:c r="L214" s="13" t="str">
        <x:v>P099</x:v>
      </x:c>
      <x:c r="M214" s="13" t="str">
        <x:v>原创命名、造型、品牌与发展路线；地域原料或工艺参考见港口历史备注。</x:v>
      </x:c>
      <x:c r="N214" s="13" t="str"/>
    </x:row>
    <x:row r="215" ht="31" customHeight="1">
      <x:c r="A215" s="15" t="str">
        <x:v>SP100</x:v>
      </x:c>
      <x:c r="B215" s="15" t="str">
        <x:v>龟岛折潮藏酒盒</x:v>
      </x:c>
      <x:c r="C215" s="15" t="str">
        <x:v>工艺品</x:v>
      </x:c>
      <x:c r="D215" s="30" t="n">
        <x:v>560</x:v>
      </x:c>
      <x:c r="E215" s="44" t="n">
        <x:v>1</x:v>
      </x:c>
      <x:c r="F215" s="30" t="n">
        <x:v>0</x:v>
      </x:c>
      <x:c r="G215" s="15" t="str">
        <x:v>R10</x:v>
      </x:c>
      <x:c r="H215" s="15" t="str">
        <x:v>收藏；礼品；宴会</x:v>
      </x:c>
      <x:c r="I215" s="15" t="str">
        <x:v>托尔图加专属贸易品牌；适用于收藏、礼品、宴会订单与海员礼赠。</x:v>
      </x:c>
      <x:c r="J215" s="15" t="str">
        <x:v>翻转木盒可变成四杯小酒架，龟壳状木片只是造型不使用真龟甲</x:v>
      </x:c>
      <x:c r="K215" s="45" t="b">
        <x:v>1</x:v>
      </x:c>
      <x:c r="L215" s="15" t="str">
        <x:v>P100</x:v>
      </x:c>
      <x:c r="M215" s="15" t="str">
        <x:v>原创命名、造型、品牌与发展路线；地域原料或工艺参考见港口历史备注。</x:v>
      </x:c>
      <x:c r="N215" s="15" t="str"/>
    </x:row>
    <x:row r="216" ht="42" customHeight="1">
      <x:c r="A216" s="13" t="str">
        <x:v>SP101</x:v>
      </x:c>
      <x:c r="B216" s="13" t="str">
        <x:v>胭红太阳染绢盒</x:v>
      </x:c>
      <x:c r="C216" s="13" t="str">
        <x:v>染料</x:v>
      </x:c>
      <x:c r="D216" s="27" t="n">
        <x:v>1520</x:v>
      </x:c>
      <x:c r="E216" s="42" t="n">
        <x:v>1</x:v>
      </x:c>
      <x:c r="F216" s="27" t="n">
        <x:v>0</x:v>
      </x:c>
      <x:c r="G216" s="13" t="str">
        <x:v>R10</x:v>
      </x:c>
      <x:c r="H216" s="13" t="str">
        <x:v>染织工坊；画室；宫廷</x:v>
      </x:c>
      <x:c r="I216" s="13" t="str">
        <x:v>韦拉克鲁斯专属贸易品牌；适用于染织工坊、画室、宫廷订单与海员礼赠。</x:v>
      </x:c>
      <x:c r="J216" s="13" t="str">
        <x:v>高纯虫红与配色样绢一同出售，盒面以原创日轮和浪纹区分批次</x:v>
      </x:c>
      <x:c r="K216" s="36" t="b">
        <x:v>1</x:v>
      </x:c>
      <x:c r="L216" s="13" t="str">
        <x:v>P101</x:v>
      </x:c>
      <x:c r="M216" s="13" t="str">
        <x:v>原创命名、造型、品牌与发展路线；地域原料或工艺参考见港口历史备注。</x:v>
      </x:c>
      <x:c r="N216" s="13" t="str"/>
    </x:row>
    <x:row r="217" ht="42" customHeight="1">
      <x:c r="A217" s="15" t="str">
        <x:v>SP102</x:v>
      </x:c>
      <x:c r="B217" s="15" t="str">
        <x:v>三角洲沼银皮具箱</x:v>
      </x:c>
      <x:c r="C217" s="15" t="str">
        <x:v>工业品</x:v>
      </x:c>
      <x:c r="D217" s="30" t="n">
        <x:v>720</x:v>
      </x:c>
      <x:c r="E217" s="44" t="n">
        <x:v>1</x:v>
      </x:c>
      <x:c r="F217" s="30" t="n">
        <x:v>0</x:v>
      </x:c>
      <x:c r="G217" s="15" t="str">
        <x:v>R10</x:v>
      </x:c>
      <x:c r="H217" s="15" t="str">
        <x:v>船厂；工具工坊；工坊建设</x:v>
      </x:c>
      <x:c r="I217" s="15" t="str">
        <x:v>新奥尔良专属贸易品牌；适用于船厂、工具工坊、工坊建设订单与海员礼赠。</x:v>
      </x:c>
      <x:c r="J217" s="15" t="str">
        <x:v>灰褐防潮皮具配银色扣件，箱底抬脚参考沼地高脚屋结构</x:v>
      </x:c>
      <x:c r="K217" s="45" t="b">
        <x:v>1</x:v>
      </x:c>
      <x:c r="L217" s="15" t="str">
        <x:v>P102</x:v>
      </x:c>
      <x:c r="M217" s="15" t="str">
        <x:v>原创命名、造型、品牌与发展路线；地域原料或工艺参考见港口历史备注。</x:v>
      </x:c>
      <x:c r="N217" s="15" t="str"/>
    </x:row>
    <x:row r="218" ht="31" customHeight="1">
      <x:c r="A218" s="13" t="str">
        <x:v>SP103</x:v>
      </x:c>
      <x:c r="B218" s="13" t="str">
        <x:v>潮田雾蓝靛布</x:v>
      </x:c>
      <x:c r="C218" s="13" t="str">
        <x:v>织物</x:v>
      </x:c>
      <x:c r="D218" s="27" t="n">
        <x:v>690</x:v>
      </x:c>
      <x:c r="E218" s="42" t="n">
        <x:v>1</x:v>
      </x:c>
      <x:c r="F218" s="27" t="n">
        <x:v>0</x:v>
      </x:c>
      <x:c r="G218" s="13" t="str">
        <x:v>R10</x:v>
      </x:c>
      <x:c r="H218" s="13" t="str">
        <x:v>奢华衣料；礼品；收藏</x:v>
      </x:c>
      <x:c r="I218" s="13" t="str">
        <x:v>查尔斯顿专属贸易品牌；适用于奢华衣料、礼品、收藏订单与海员礼赠。</x:v>
      </x:c>
      <x:c r="J218" s="13" t="str">
        <x:v>由浅到深渐染的宽幅棉布，呈现潮田从晨雾到夜色的层次</x:v>
      </x:c>
      <x:c r="K218" s="36" t="b">
        <x:v>1</x:v>
      </x:c>
      <x:c r="L218" s="13" t="str">
        <x:v>P103</x:v>
      </x:c>
      <x:c r="M218" s="13" t="str">
        <x:v>原创命名、造型、品牌与发展路线；地域原料或工艺参考见港口历史备注。</x:v>
      </x:c>
      <x:c r="N218" s="13" t="str"/>
    </x:row>
    <x:row r="219" ht="31" customHeight="1">
      <x:c r="A219" s="15" t="str">
        <x:v>SP104</x:v>
      </x:c>
      <x:c r="B219" s="15" t="str">
        <x:v>波士顿星港铜版图</x:v>
      </x:c>
      <x:c r="C219" s="15" t="str">
        <x:v>奢侈品</x:v>
      </x:c>
      <x:c r="D219" s="30" t="n">
        <x:v>970</x:v>
      </x:c>
      <x:c r="E219" s="44" t="n">
        <x:v>1</x:v>
      </x:c>
      <x:c r="F219" s="30" t="n">
        <x:v>0</x:v>
      </x:c>
      <x:c r="G219" s="15" t="str">
        <x:v>R10</x:v>
      </x:c>
      <x:c r="H219" s="15" t="str">
        <x:v>宫廷；收藏；礼品</x:v>
      </x:c>
      <x:c r="I219" s="15" t="str">
        <x:v>波士顿专属贸易品牌；适用于宫廷、收藏、礼品订单与海员礼赠。</x:v>
      </x:c>
      <x:c r="J219" s="15" t="str">
        <x:v>原创世界航图以铜版细线绘制，图边刻上虚构航海社的研究笔记</x:v>
      </x:c>
      <x:c r="K219" s="45" t="b">
        <x:v>1</x:v>
      </x:c>
      <x:c r="L219" s="15" t="str">
        <x:v>P104</x:v>
      </x:c>
      <x:c r="M219" s="15" t="str">
        <x:v>原创命名、造型、品牌与发展路线；地域原料或工艺参考见港口历史备注。</x:v>
      </x:c>
      <x:c r="N219" s="15" t="str"/>
    </x:row>
    <x:row r="220" ht="31" customHeight="1">
      <x:c r="A220" s="13" t="str">
        <x:v>SP105</x:v>
      </x:c>
      <x:c r="B220" s="13" t="str">
        <x:v>海堡翡翠潮簪</x:v>
      </x:c>
      <x:c r="C220" s="13" t="str">
        <x:v>奢侈品</x:v>
      </x:c>
      <x:c r="D220" s="27" t="n">
        <x:v>1750</x:v>
      </x:c>
      <x:c r="E220" s="42" t="n">
        <x:v>1</x:v>
      </x:c>
      <x:c r="F220" s="27" t="n">
        <x:v>0</x:v>
      </x:c>
      <x:c r="G220" s="13" t="str">
        <x:v>R11</x:v>
      </x:c>
      <x:c r="H220" s="13" t="str">
        <x:v>宫廷；收藏；礼品</x:v>
      </x:c>
      <x:c r="I220" s="13" t="str">
        <x:v>卡塔赫纳专属贸易品牌；适用于宫廷、收藏、礼品订单与海员礼赠。</x:v>
      </x:c>
      <x:c r="J220" s="13" t="str">
        <x:v>原石切成不规则水滴，以细金托连为一枝海潮形发簪</x:v>
      </x:c>
      <x:c r="K220" s="36" t="b">
        <x:v>1</x:v>
      </x:c>
      <x:c r="L220" s="13" t="str">
        <x:v>P105</x:v>
      </x:c>
      <x:c r="M220" s="13" t="str">
        <x:v>原创命名、造型、品牌与发展路线；地域原料或工艺参考见港口历史备注。</x:v>
      </x:c>
      <x:c r="N220" s="13" t="str"/>
    </x:row>
    <x:row r="221" ht="31" customHeight="1">
      <x:c r="A221" s="15" t="str">
        <x:v>SP106</x:v>
      </x:c>
      <x:c r="B221" s="15" t="str">
        <x:v>雨林青翼羽绢</x:v>
      </x:c>
      <x:c r="C221" s="15" t="str">
        <x:v>工艺品</x:v>
      </x:c>
      <x:c r="D221" s="30" t="n">
        <x:v>820</x:v>
      </x:c>
      <x:c r="E221" s="44" t="n">
        <x:v>1</x:v>
      </x:c>
      <x:c r="F221" s="30" t="n">
        <x:v>0</x:v>
      </x:c>
      <x:c r="G221" s="15" t="str">
        <x:v>R11</x:v>
      </x:c>
      <x:c r="H221" s="15" t="str">
        <x:v>收藏；礼品；宴会</x:v>
      </x:c>
      <x:c r="I221" s="15" t="str">
        <x:v>贝伦专属贸易品牌；适用于收藏、礼品、宴会订单与海员礼赠。</x:v>
      </x:c>
      <x:c r="J221" s="15" t="str">
        <x:v>以新制羽片装饰和轻布形成可折扇面，图样为原创非宗教器物复制</x:v>
      </x:c>
      <x:c r="K221" s="45" t="b">
        <x:v>1</x:v>
      </x:c>
      <x:c r="L221" s="15" t="str">
        <x:v>P106</x:v>
      </x:c>
      <x:c r="M221" s="15" t="str">
        <x:v>原创命名、造型、品牌与发展路线；地域原料或工艺参考见港口历史备注。</x:v>
      </x:c>
      <x:c r="N221" s="15" t="str"/>
    </x:row>
    <x:row r="222" ht="31" customHeight="1">
      <x:c r="A222" s="13" t="str">
        <x:v>SP107</x:v>
      </x:c>
      <x:c r="B222" s="13" t="str">
        <x:v>诸圣湾红木乐匣</x:v>
      </x:c>
      <x:c r="C222" s="13" t="str">
        <x:v>工艺品</x:v>
      </x:c>
      <x:c r="D222" s="27" t="n">
        <x:v>1240</x:v>
      </x:c>
      <x:c r="E222" s="42" t="n">
        <x:v>1</x:v>
      </x:c>
      <x:c r="F222" s="27" t="n">
        <x:v>0</x:v>
      </x:c>
      <x:c r="G222" s="13" t="str">
        <x:v>R11</x:v>
      </x:c>
      <x:c r="H222" s="13" t="str">
        <x:v>收藏；礼品；宴会</x:v>
      </x:c>
      <x:c r="I222" s="13" t="str">
        <x:v>萨尔瓦多专属贸易品牌；适用于收藏、礼品、宴会订单与海员礼赠。</x:v>
      </x:c>
      <x:c r="J222" s="13" t="str">
        <x:v>深红木匣打开可显出简洁机械拨片乐器，旋律与形制原创</x:v>
      </x:c>
      <x:c r="K222" s="36" t="b">
        <x:v>1</x:v>
      </x:c>
      <x:c r="L222" s="13" t="str">
        <x:v>P107</x:v>
      </x:c>
      <x:c r="M222" s="13" t="str">
        <x:v>原创命名、造型、品牌与发展路线；地域原料或工艺参考见港口历史备注。</x:v>
      </x:c>
      <x:c r="N222" s="13" t="str"/>
    </x:row>
    <x:row r="223" ht="31" customHeight="1">
      <x:c r="A223" s="15" t="str">
        <x:v>SP108</x:v>
      </x:c>
      <x:c r="B223" s="15" t="str">
        <x:v>瓜纳巴拉金羽胸针</x:v>
      </x:c>
      <x:c r="C223" s="15" t="str">
        <x:v>奢侈品</x:v>
      </x:c>
      <x:c r="D223" s="30" t="n">
        <x:v>1680</x:v>
      </x:c>
      <x:c r="E223" s="44" t="n">
        <x:v>1</x:v>
      </x:c>
      <x:c r="F223" s="30" t="n">
        <x:v>0</x:v>
      </x:c>
      <x:c r="G223" s="15" t="str">
        <x:v>R11</x:v>
      </x:c>
      <x:c r="H223" s="15" t="str">
        <x:v>宫廷；收藏；礼品</x:v>
      </x:c>
      <x:c r="I223" s="15" t="str">
        <x:v>里约热内卢专属贸易品牌；适用于宫廷、收藏、礼品订单与海员礼赠。</x:v>
      </x:c>
      <x:c r="J223" s="15" t="str">
        <x:v>细金线像海湾山峰般起伏，接一枚青色石坠形成抽象飞羽</x:v>
      </x:c>
      <x:c r="K223" s="45" t="b">
        <x:v>1</x:v>
      </x:c>
      <x:c r="L223" s="15" t="str">
        <x:v>P108</x:v>
      </x:c>
      <x:c r="M223" s="15" t="str">
        <x:v>原创命名、造型、品牌与发展路线；地域原料或工艺参考见港口历史备注。</x:v>
      </x:c>
      <x:c r="N223" s="15" t="str"/>
    </x:row>
    <x:row r="224" ht="42" customHeight="1">
      <x:c r="A224" s="13" t="str">
        <x:v>SP109</x:v>
      </x:c>
      <x:c r="B224" s="13" t="str">
        <x:v>草原银扣长靴</x:v>
      </x:c>
      <x:c r="C224" s="13" t="str">
        <x:v>工艺品</x:v>
      </x:c>
      <x:c r="D224" s="27" t="n">
        <x:v>780</x:v>
      </x:c>
      <x:c r="E224" s="42" t="n">
        <x:v>1</x:v>
      </x:c>
      <x:c r="F224" s="27" t="n">
        <x:v>0</x:v>
      </x:c>
      <x:c r="G224" s="13" t="str">
        <x:v>R11</x:v>
      </x:c>
      <x:c r="H224" s="13" t="str">
        <x:v>收藏；礼品；宴会</x:v>
      </x:c>
      <x:c r="I224" s="13" t="str">
        <x:v>布宜诺斯艾利斯专属贸易品牌；适用于收藏、礼品、宴会订单与海员礼赠。</x:v>
      </x:c>
      <x:c r="J224" s="13" t="str">
        <x:v>长靴以柔皮和银色侧扣组合，绣线画出南方风场的原创曲纹</x:v>
      </x:c>
      <x:c r="K224" s="36" t="b">
        <x:v>1</x:v>
      </x:c>
      <x:c r="L224" s="13" t="str">
        <x:v>P109</x:v>
      </x:c>
      <x:c r="M224" s="13" t="str">
        <x:v>原创命名、造型、品牌与发展路线；地域原料或工艺参考见港口历史备注。</x:v>
      </x:c>
      <x:c r="N224" s="13" t="str"/>
    </x:row>
    <x:row r="225" ht="42" customHeight="1">
      <x:c r="A225" s="15" t="str">
        <x:v>SP110</x:v>
      </x:c>
      <x:c r="B225" s="15" t="str">
        <x:v>南十字烘香马黛</x:v>
      </x:c>
      <x:c r="C225" s="15" t="str">
        <x:v>嗜好品</x:v>
      </x:c>
      <x:c r="D225" s="30" t="n">
        <x:v>490</x:v>
      </x:c>
      <x:c r="E225" s="44" t="n">
        <x:v>1</x:v>
      </x:c>
      <x:c r="F225" s="30" t="n">
        <x:v>300</x:v>
      </x:c>
      <x:c r="G225" s="15" t="str">
        <x:v>R11</x:v>
      </x:c>
      <x:c r="H225" s="15" t="str">
        <x:v>城市消费；礼品；酒馆</x:v>
      </x:c>
      <x:c r="I225" s="15" t="str">
        <x:v>蒙得维的亚专属贸易品牌；适用于城市消费、礼品、酒馆订单与海员礼赠。</x:v>
      </x:c>
      <x:c r="J225" s="15" t="str">
        <x:v>分火候烘香的马黛叶配木制量勺，袋口缝出原创星座符号</x:v>
      </x:c>
      <x:c r="K225" s="45" t="b">
        <x:v>1</x:v>
      </x:c>
      <x:c r="L225" s="15" t="str">
        <x:v>P110</x:v>
      </x:c>
      <x:c r="M225" s="15" t="str">
        <x:v>原创命名、造型、品牌与发展路线；地域原料或工艺参考见港口历史备注。</x:v>
      </x:c>
      <x:c r="N225" s="15" t="str"/>
    </x:row>
    <x:row r="226" ht="31" customHeight="1">
      <x:c r="A226" s="13" t="str">
        <x:v>SP111</x:v>
      </x:c>
      <x:c r="B226" s="13" t="str">
        <x:v>安第斯风弦铜铃</x:v>
      </x:c>
      <x:c r="C226" s="13" t="str">
        <x:v>工艺品</x:v>
      </x:c>
      <x:c r="D226" s="27" t="n">
        <x:v>750</x:v>
      </x:c>
      <x:c r="E226" s="42" t="n">
        <x:v>1</x:v>
      </x:c>
      <x:c r="F226" s="27" t="n">
        <x:v>0</x:v>
      </x:c>
      <x:c r="G226" s="13" t="str">
        <x:v>R11</x:v>
      </x:c>
      <x:c r="H226" s="13" t="str">
        <x:v>收藏；礼品；宴会</x:v>
      </x:c>
      <x:c r="I226" s="13" t="str">
        <x:v>瓦尔帕莱索专属贸易品牌；适用于收藏、礼品、宴会订单与海员礼赠。</x:v>
      </x:c>
      <x:c r="J226" s="13" t="str">
        <x:v>薄铜片装成折叠风铃，铃面以海岸山脊纹表现干燥长风</x:v>
      </x:c>
      <x:c r="K226" s="36" t="b">
        <x:v>1</x:v>
      </x:c>
      <x:c r="L226" s="13" t="str">
        <x:v>P111</x:v>
      </x:c>
      <x:c r="M226" s="13" t="str">
        <x:v>原创命名、造型、品牌与发展路线；地域原料或工艺参考见港口历史备注。</x:v>
      </x:c>
      <x:c r="N226" s="13" t="str"/>
    </x:row>
    <x:row r="227" ht="31" customHeight="1">
      <x:c r="A227" s="15" t="str">
        <x:v>SP112</x:v>
      </x:c>
      <x:c r="B227" s="15" t="str">
        <x:v>银山潮纹茶盏</x:v>
      </x:c>
      <x:c r="C227" s="15" t="str">
        <x:v>工艺品</x:v>
      </x:c>
      <x:c r="D227" s="30" t="n">
        <x:v>1450</x:v>
      </x:c>
      <x:c r="E227" s="44" t="n">
        <x:v>1</x:v>
      </x:c>
      <x:c r="F227" s="30" t="n">
        <x:v>0</x:v>
      </x:c>
      <x:c r="G227" s="15" t="str">
        <x:v>R11</x:v>
      </x:c>
      <x:c r="H227" s="15" t="str">
        <x:v>收藏；礼品；宴会</x:v>
      </x:c>
      <x:c r="I227" s="15" t="str">
        <x:v>卡亚俄专属贸易品牌；适用于收藏、礼品、宴会订单与海员礼赠。</x:v>
      </x:c>
      <x:c r="J227" s="15" t="str">
        <x:v>薄银盏内刻山脊，外壁锤出浪纹，安第斯银业与跨太平洋饮茶灵感在本作汇合</x:v>
      </x:c>
      <x:c r="K227" s="45" t="b">
        <x:v>1</x:v>
      </x:c>
      <x:c r="L227" s="15" t="str">
        <x:v>P112</x:v>
      </x:c>
      <x:c r="M227" s="15" t="str">
        <x:v>原创命名、造型、品牌与发展路线；地域原料或工艺参考见港口历史备注。</x:v>
      </x:c>
      <x:c r="N227" s="15" t="str">
        <x:v>WT-H16</x:v>
      </x:c>
    </x:row>
    <x:row r="228" ht="31" customHeight="1">
      <x:c r="A228" s="13" t="str">
        <x:v>SP113</x:v>
      </x:c>
      <x:c r="B228" s="13" t="str">
        <x:v>帝汶暮金檀香绳</x:v>
      </x:c>
      <x:c r="C228" s="13" t="str">
        <x:v>香料</x:v>
      </x:c>
      <x:c r="D228" s="27" t="n">
        <x:v>860</x:v>
      </x:c>
      <x:c r="E228" s="42" t="n">
        <x:v>1</x:v>
      </x:c>
      <x:c r="F228" s="27" t="n">
        <x:v>0</x:v>
      </x:c>
      <x:c r="G228" s="13" t="str">
        <x:v>R12</x:v>
      </x:c>
      <x:c r="H228" s="13" t="str">
        <x:v>香料工坊；宫廷；礼品</x:v>
      </x:c>
      <x:c r="I228" s="13" t="str">
        <x:v>帝力专属贸易品牌；适用于香料工坊、宫廷、礼品订单与海员礼赠。</x:v>
      </x:c>
      <x:c r="J228" s="13" t="str">
        <x:v>细削檀香木与树纤维编成香绳，编结与品牌为本作原创</x:v>
      </x:c>
      <x:c r="K228" s="36" t="b">
        <x:v>1</x:v>
      </x:c>
      <x:c r="L228" s="13" t="str">
        <x:v>P113</x:v>
      </x:c>
      <x:c r="M228" s="13" t="str">
        <x:v>原创命名、造型、品牌与发展路线；地域原料或工艺参考见港口历史备注。</x:v>
      </x:c>
      <x:c r="N228" s="13" t="str"/>
    </x:row>
    <x:row r="229" ht="31" customHeight="1">
      <x:c r="A229" s="15" t="str">
        <x:v>SP114</x:v>
      </x:c>
      <x:c r="B229" s="15" t="str">
        <x:v>古邦海阶伊卡特布</x:v>
      </x:c>
      <x:c r="C229" s="15" t="str">
        <x:v>织物</x:v>
      </x:c>
      <x:c r="D229" s="30" t="n">
        <x:v>710</x:v>
      </x:c>
      <x:c r="E229" s="44" t="n">
        <x:v>1</x:v>
      </x:c>
      <x:c r="F229" s="30" t="n">
        <x:v>0</x:v>
      </x:c>
      <x:c r="G229" s="15" t="str">
        <x:v>R12</x:v>
      </x:c>
      <x:c r="H229" s="15" t="str">
        <x:v>奢华衣料；礼品；收藏</x:v>
      </x:c>
      <x:c r="I229" s="15" t="str">
        <x:v>古邦专属贸易品牌；适用于奢华衣料、礼品、收藏订单与海员礼赠。</x:v>
      </x:c>
      <x:c r="J229" s="15" t="str">
        <x:v>经线扎染形成层层白褐海阶纹，交织出轻微羽化的图案边缘</x:v>
      </x:c>
      <x:c r="K229" s="45" t="b">
        <x:v>1</x:v>
      </x:c>
      <x:c r="L229" s="15" t="str">
        <x:v>P114</x:v>
      </x:c>
      <x:c r="M229" s="15" t="str">
        <x:v>原创命名、造型、品牌与发展路线；地域原料或工艺参考见港口历史备注。</x:v>
      </x:c>
      <x:c r="N229" s="15" t="str"/>
    </x:row>
    <x:row r="230" ht="42" customHeight="1">
      <x:c r="A230" s="13" t="str">
        <x:v>SP115</x:v>
      </x:c>
      <x:c r="B230" s="13" t="str">
        <x:v>桉影赤金树脂漆</x:v>
      </x:c>
      <x:c r="C230" s="13" t="str">
        <x:v>工业品</x:v>
      </x:c>
      <x:c r="D230" s="27" t="n">
        <x:v>610</x:v>
      </x:c>
      <x:c r="E230" s="42" t="n">
        <x:v>1</x:v>
      </x:c>
      <x:c r="F230" s="27" t="n">
        <x:v>0</x:v>
      </x:c>
      <x:c r="G230" s="13" t="str">
        <x:v>R12</x:v>
      </x:c>
      <x:c r="H230" s="13" t="str">
        <x:v>船厂；工具工坊；工坊建设</x:v>
      </x:c>
      <x:c r="I230" s="13" t="str">
        <x:v>杰克逊湾专属贸易品牌；适用于船厂、工具工坊、工坊建设订单与海员礼赠。</x:v>
      </x:c>
      <x:c r="J230" s="13" t="str">
        <x:v>将本地树脂色感与来访工坊的制漆技术结合，配方及贸易规模为架空设定</x:v>
      </x:c>
      <x:c r="K230" s="36" t="b">
        <x:v>1</x:v>
      </x:c>
      <x:c r="L230" s="13" t="str">
        <x:v>P115</x:v>
      </x:c>
      <x:c r="M230" s="13" t="str">
        <x:v>原创命名、造型、品牌与发展路线；地域原料或工艺参考见港口历史备注。</x:v>
      </x:c>
      <x:c r="N230" s="13" t="str"/>
    </x:row>
    <x:row r="231" ht="42" customHeight="1">
      <x:c r="A231" s="15" t="str">
        <x:v>SP116</x:v>
      </x:c>
      <x:c r="B231" s="15" t="str">
        <x:v>双湾青石浪坠</x:v>
      </x:c>
      <x:c r="C231" s="15" t="str">
        <x:v>宝石</x:v>
      </x:c>
      <x:c r="D231" s="30" t="n">
        <x:v>1180</x:v>
      </x:c>
      <x:c r="E231" s="44" t="n">
        <x:v>1</x:v>
      </x:c>
      <x:c r="F231" s="30" t="n">
        <x:v>0</x:v>
      </x:c>
      <x:c r="G231" s="15" t="str">
        <x:v>R12</x:v>
      </x:c>
      <x:c r="H231" s="15" t="str">
        <x:v>珠宝工坊；宫廷；收藏</x:v>
      </x:c>
      <x:c r="I231" s="15" t="str">
        <x:v>怀特马塔湾专属贸易品牌；适用于珠宝工坊、宫廷、收藏订单与海员礼赠。</x:v>
      </x:c>
      <x:c r="J231" s="15" t="str">
        <x:v>经岛内交换取得青石，由新制工坊雕成原创抽象浪形；不作为传统圣物原件出售</x:v>
      </x:c>
      <x:c r="K231" s="45" t="b">
        <x:v>1</x:v>
      </x:c>
      <x:c r="L231" s="15" t="str">
        <x:v>P116</x:v>
      </x:c>
      <x:c r="M231" s="15" t="str">
        <x:v>原创命名、造型、品牌与发展路线；地域原料或工艺参考见港口历史备注。</x:v>
      </x:c>
      <x:c r="N231" s="15" t="str">
        <x:v>WT-H17</x:v>
      </x:c>
    </x:row>
    <x:row r="232" ht="42" customHeight="1">
      <x:c r="A232" s="13" t="str">
        <x:v>SP117</x:v>
      </x:c>
      <x:c r="B232" s="13" t="str">
        <x:v>白浪晨星树皮绢</x:v>
      </x:c>
      <x:c r="C232" s="13" t="str">
        <x:v>织物</x:v>
      </x:c>
      <x:c r="D232" s="27" t="n">
        <x:v>960</x:v>
      </x:c>
      <x:c r="E232" s="42" t="n">
        <x:v>1</x:v>
      </x:c>
      <x:c r="F232" s="27" t="n">
        <x:v>0</x:v>
      </x:c>
      <x:c r="G232" s="13" t="str">
        <x:v>R12</x:v>
      </x:c>
      <x:c r="H232" s="13" t="str">
        <x:v>奢华衣料；礼品；收藏</x:v>
      </x:c>
      <x:c r="I232" s="13" t="str">
        <x:v>马塔瓦伊湾专属贸易品牌；适用于奢华衣料、礼品、收藏订单与海员礼赠。</x:v>
      </x:c>
      <x:c r="J232" s="13" t="str">
        <x:v>以树皮布工艺为基础，原创白浪、星点与宽留白构成一整张海上夜空</x:v>
      </x:c>
      <x:c r="K232" s="36" t="b">
        <x:v>1</x:v>
      </x:c>
      <x:c r="L232" s="13" t="str">
        <x:v>P117</x:v>
      </x:c>
      <x:c r="M232" s="13" t="str">
        <x:v>原创命名、造型、品牌与发展路线；地域原料或工艺参考见港口历史备注。</x:v>
      </x:c>
      <x:c r="N232" s="13" t="str">
        <x:v>WT-H17；WT-H18</x:v>
      </x:c>
    </x:row>
    <x:row r="233" ht="31" customHeight="1">
      <x:c r="A233" s="15" t="str">
        <x:v>SP118</x:v>
      </x:c>
      <x:c r="B233" s="15" t="str">
        <x:v>金羽航星肩饰</x:v>
      </x:c>
      <x:c r="C233" s="15" t="str">
        <x:v>工艺品</x:v>
      </x:c>
      <x:c r="D233" s="30" t="n">
        <x:v>1370</x:v>
      </x:c>
      <x:c r="E233" s="44" t="n">
        <x:v>1</x:v>
      </x:c>
      <x:c r="F233" s="30" t="n">
        <x:v>0</x:v>
      </x:c>
      <x:c r="G233" s="15" t="str">
        <x:v>R12</x:v>
      </x:c>
      <x:c r="H233" s="15" t="str">
        <x:v>收藏；礼品；宴会</x:v>
      </x:c>
      <x:c r="I233" s="15" t="str">
        <x:v>科乌港专属贸易品牌；适用于收藏、礼品、宴会订单与海员礼赠。</x:v>
      </x:c>
      <x:c r="J233" s="15" t="str">
        <x:v>原创肩饰以轻羽片、树皮布和细绳组成展开海鸟的形态</x:v>
      </x:c>
      <x:c r="K233" s="45" t="b">
        <x:v>1</x:v>
      </x:c>
      <x:c r="L233" s="15" t="str">
        <x:v>P118</x:v>
      </x:c>
      <x:c r="M233" s="15" t="str">
        <x:v>原创命名、造型、品牌与发展路线；地域原料或工艺参考见港口历史备注。</x:v>
      </x:c>
      <x:c r="N233" s="15" t="str">
        <x:v>WT-H17；WT-H18</x:v>
      </x:c>
    </x:row>
    <x:row r="234" ht="31" customHeight="1">
      <x:c r="A234" s="13" t="str">
        <x:v>SP119</x:v>
      </x:c>
      <x:c r="B234" s="13" t="str">
        <x:v>飞帆月贝耳坠</x:v>
      </x:c>
      <x:c r="C234" s="13" t="str">
        <x:v>工艺品</x:v>
      </x:c>
      <x:c r="D234" s="27" t="n">
        <x:v>790</x:v>
      </x:c>
      <x:c r="E234" s="42" t="n">
        <x:v>1</x:v>
      </x:c>
      <x:c r="F234" s="27" t="n">
        <x:v>0</x:v>
      </x:c>
      <x:c r="G234" s="13" t="str">
        <x:v>R12</x:v>
      </x:c>
      <x:c r="H234" s="13" t="str">
        <x:v>收藏；礼品；宴会</x:v>
      </x:c>
      <x:c r="I234" s="13" t="str">
        <x:v>哈加特纳专属贸易品牌；适用于收藏、礼品、宴会订单与海员礼赠。</x:v>
      </x:c>
      <x:c r="J234" s="13" t="str">
        <x:v>两片半透明贝片配成不对称帆形，绳结颜色区分原创工坊系列</x:v>
      </x:c>
      <x:c r="K234" s="36" t="b">
        <x:v>1</x:v>
      </x:c>
      <x:c r="L234" s="13" t="str">
        <x:v>P119</x:v>
      </x:c>
      <x:c r="M234" s="13" t="str">
        <x:v>原创命名、造型、品牌与发展路线；地域原料或工艺参考见港口历史备注。</x:v>
      </x:c>
      <x:c r="N234" s="13" t="str">
        <x:v>WT-H17</x:v>
      </x:c>
    </x:row>
    <x:row r="235" ht="31" customHeight="1">
      <x:c r="A235" s="16" t="str">
        <x:v>SP120</x:v>
      </x:c>
      <x:c r="B235" s="16" t="str">
        <x:v>黑海鸟纹石印</x:v>
      </x:c>
      <x:c r="C235" s="16" t="str">
        <x:v>工艺品</x:v>
      </x:c>
      <x:c r="D235" s="32" t="n">
        <x:v>940</x:v>
      </x:c>
      <x:c r="E235" s="46" t="n">
        <x:v>1</x:v>
      </x:c>
      <x:c r="F235" s="32" t="n">
        <x:v>0</x:v>
      </x:c>
      <x:c r="G235" s="16" t="str">
        <x:v>R12</x:v>
      </x:c>
      <x:c r="H235" s="16" t="str">
        <x:v>收藏；礼品；宴会</x:v>
      </x:c>
      <x:c r="I235" s="16" t="str">
        <x:v>汉加罗阿专属贸易品牌；适用于收藏、礼品、宴会订单与海员礼赠。</x:v>
      </x:c>
      <x:c r="J235" s="16" t="str">
        <x:v>新制小石印雕原创海鸟与浪线，作为当代港内匠人的作品而非搬走遗迹</x:v>
      </x:c>
      <x:c r="K235" s="47" t="b">
        <x:v>1</x:v>
      </x:c>
      <x:c r="L235" s="16" t="str">
        <x:v>P120</x:v>
      </x:c>
      <x:c r="M235" s="16" t="str">
        <x:v>原创命名、造型、品牌与发展路线；地域原料或工艺参考见港口历史备注。</x:v>
      </x:c>
      <x:c r="N235" s="16" t="str">
        <x:v>WT-H17</x:v>
      </x:c>
    </x:row>
    <x:row r="236">
      <x:c r="A236" s="2"/>
      <x:c r="B236" s="2"/>
      <x:c r="C236" s="2"/>
      <x:c r="D236" s="2"/>
      <x:c r="E236" s="2"/>
      <x:c r="F236" s="2"/>
      <x:c r="G236" s="2"/>
      <x:c r="H236" s="2"/>
      <x:c r="I236" s="2"/>
      <x:c r="J236" s="2"/>
      <x:c r="K236" s="2"/>
      <x:c r="L236" s="2"/>
      <x:c r="M236" s="2"/>
      <x:c r="N236" s="2"/>
    </x:row>
  </x:sheetData>
  <x:pageMargins left="0.7" right="0.7" top="0.75" bottom="0.75" header="0.3" footer="0.3"/>
  <x:tableParts count="1">
    <x:tablePart xmlns:r="http://schemas.openxmlformats.org/officeDocument/2006/relationships" r:id="Rf05fb5f132b945ba"/>
  </x:tableParts>
</x:worksheet>
</file>

<file path=xl/worksheets/sheet5.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20" hidden="0" customWidth="1"/>
    <x:col min="3" max="3" width="13" hidden="0" customWidth="1"/>
    <x:col min="4" max="4" width="28" hidden="0" customWidth="1"/>
    <x:col min="5" max="5" width="15" hidden="0" customWidth="1"/>
    <x:col min="6" max="6" width="17" hidden="0" customWidth="1"/>
    <x:col min="7" max="7" width="17" hidden="0" customWidth="1"/>
    <x:col min="8" max="8" width="16" hidden="0" customWidth="1"/>
    <x:col min="9" max="9" width="23" hidden="0" customWidth="1"/>
    <x:col min="10" max="10" width="47" hidden="0" customWidth="1"/>
    <x:col min="11" max="11" width="66" hidden="0" customWidth="1"/>
    <x:col min="12" max="12" width="61" hidden="0" customWidth="1"/>
  </x:cols>
  <x:sheetData>
    <x:row r="1">
      <x:c r="A1" s="2"/>
      <x:c r="B1" s="2"/>
      <x:c r="C1" s="2"/>
      <x:c r="D1" s="2"/>
      <x:c r="E1" s="2"/>
      <x:c r="F1" s="2"/>
      <x:c r="G1" s="2"/>
      <x:c r="H1" s="2"/>
      <x:c r="I1" s="2"/>
      <x:c r="J1" s="2"/>
      <x:c r="K1" s="2"/>
      <x:c r="L1" s="2"/>
    </x:row>
    <x:row r="2" ht="28" customHeight="1">
      <x:c r="A2" s="3" t="str">
        <x:v>港口商品与发展度解锁</x:v>
      </x:c>
      <x:c r="B2" s="2"/>
      <x:c r="C2" s="2"/>
      <x:c r="D2" s="2"/>
      <x:c r="E2" s="2"/>
      <x:c r="F2" s="2"/>
      <x:c r="G2" s="2"/>
      <x:c r="H2" s="2"/>
      <x:c r="I2" s="2"/>
      <x:c r="J2" s="2"/>
      <x:c r="K2" s="2"/>
      <x:c r="L2" s="2"/>
    </x:row>
    <x:row r="3">
      <x:c r="A3" s="5" t="str">
        <x:v>周供给与库存以货载单位计；发展度解锁商品，武装度不代替发展度。</x:v>
      </x:c>
      <x:c r="B3" s="2"/>
      <x:c r="C3" s="2"/>
      <x:c r="D3" s="2"/>
      <x:c r="E3" s="2"/>
      <x:c r="F3" s="2"/>
      <x:c r="G3" s="2"/>
      <x:c r="H3" s="2"/>
      <x:c r="I3" s="2"/>
      <x:c r="J3" s="2"/>
      <x:c r="K3" s="2"/>
      <x:c r="L3" s="2"/>
    </x:row>
    <x:row r="4">
      <x:c r="A4" s="2"/>
      <x:c r="B4" s="2"/>
      <x:c r="C4" s="2"/>
      <x:c r="D4" s="2"/>
      <x:c r="E4" s="2"/>
      <x:c r="F4" s="2"/>
      <x:c r="G4" s="2"/>
      <x:c r="H4" s="2"/>
      <x:c r="I4" s="2"/>
      <x:c r="J4" s="2"/>
      <x:c r="K4" s="2"/>
      <x:c r="L4" s="2"/>
    </x:row>
    <x:row r="5" ht="34" customHeight="1">
      <x:c r="A5" s="10" t="str">
        <x:v>港口ID</x:v>
      </x:c>
      <x:c r="B5" s="10" t="str">
        <x:v>港口</x:v>
      </x:c>
      <x:c r="C5" s="10" t="str">
        <x:v>商品ID</x:v>
      </x:c>
      <x:c r="D5" s="10" t="str">
        <x:v>商品</x:v>
      </x:c>
      <x:c r="E5" s="10" t="str">
        <x:v>D解锁等级</x:v>
      </x:c>
      <x:c r="F5" s="10" t="str">
        <x:v>商品基础价</x:v>
      </x:c>
      <x:c r="G5" s="10" t="str">
        <x:v>基础周供给</x:v>
      </x:c>
      <x:c r="H5" s="10" t="str">
        <x:v>基础库存</x:v>
      </x:c>
      <x:c r="I5" s="10" t="str">
        <x:v>当地长期价系数L</x:v>
      </x:c>
      <x:c r="J5" s="10" t="str">
        <x:v>供货方式</x:v>
      </x:c>
      <x:c r="K5" s="10" t="str">
        <x:v>补货与原产说明</x:v>
      </x:c>
      <x:c r="L5" s="10" t="str">
        <x:v>解锁条件</x:v>
      </x:c>
    </x:row>
    <x:row r="6" ht="42" customHeight="1">
      <x:c r="A6" s="12" t="str">
        <x:v>P001</x:v>
      </x:c>
      <x:c r="B6" s="12" t="str">
        <x:v>伦敦</x:v>
      </x:c>
      <x:c r="C6" s="12" t="str">
        <x:v>G008</x:v>
      </x:c>
      <x:c r="D6" s="12" t="str">
        <x:v>燕麦</x:v>
      </x:c>
      <x:c r="E6" s="26" t="n">
        <x:v>0</x:v>
      </x:c>
      <x:c r="F6" s="26" t="n">
        <x:v>32</x:v>
      </x:c>
      <x:c r="G6" s="26" t="n">
        <x:v>250</x:v>
      </x:c>
      <x:c r="H6" s="26" t="n">
        <x:v>750</x:v>
      </x:c>
      <x:c r="I6" s="51" t="n">
        <x:v>0.74</x:v>
      </x:c>
      <x:c r="J6" s="12" t="str">
        <x:v>本港生产/腹地集散/港内加工</x:v>
      </x:c>
      <x:c r="K6" s="12" t="str">
        <x:v>每7个游戏日补充250货载单位。本地、所属岛链或相连腹地供货；成品由港内工坊加工，贸易规模是本作设计。</x:v>
      </x:c>
      <x:c r="L6" s="12" t="str">
        <x:v>港口发展度达到D0（≥0点）；不要求武装度。</x:v>
      </x:c>
    </x:row>
    <x:row r="7" ht="42" customHeight="1">
      <x:c r="A7" s="15" t="str">
        <x:v>P001</x:v>
      </x:c>
      <x:c r="B7" s="15" t="str">
        <x:v>伦敦</x:v>
      </x:c>
      <x:c r="C7" s="15" t="str">
        <x:v>G018</x:v>
      </x:c>
      <x:c r="D7" s="15" t="str">
        <x:v>咸牛肉</x:v>
      </x:c>
      <x:c r="E7" s="30" t="n">
        <x:v>0</x:v>
      </x:c>
      <x:c r="F7" s="30" t="n">
        <x:v>82</x:v>
      </x:c>
      <x:c r="G7" s="30" t="n">
        <x:v>195</x:v>
      </x:c>
      <x:c r="H7" s="30" t="n">
        <x:v>585</x:v>
      </x:c>
      <x:c r="I7" s="54" t="n">
        <x:v>0.74</x:v>
      </x:c>
      <x:c r="J7" s="15" t="str">
        <x:v>本港生产/腹地集散/港内加工</x:v>
      </x:c>
      <x:c r="K7" s="15" t="str">
        <x:v>每7个游戏日补充195货载单位。本地、所属岛链或相连腹地供货；成品由港内工坊加工，贸易规模是本作设计。</x:v>
      </x:c>
      <x:c r="L7" s="15" t="str">
        <x:v>港口发展度达到D0（≥0点）；不要求武装度。</x:v>
      </x:c>
    </x:row>
    <x:row r="8" ht="42" customHeight="1">
      <x:c r="A8" s="13" t="str">
        <x:v>P001</x:v>
      </x:c>
      <x:c r="B8" s="13" t="str">
        <x:v>伦敦</x:v>
      </x:c>
      <x:c r="C8" s="13" t="str">
        <x:v>G039</x:v>
      </x:c>
      <x:c r="D8" s="13" t="str">
        <x:v>羊毛</x:v>
      </x:c>
      <x:c r="E8" s="27" t="n">
        <x:v>1</x:v>
      </x:c>
      <x:c r="F8" s="27" t="n">
        <x:v>100</x:v>
      </x:c>
      <x:c r="G8" s="27" t="n">
        <x:v>158</x:v>
      </x:c>
      <x:c r="H8" s="27" t="n">
        <x:v>474</x:v>
      </x:c>
      <x:c r="I8" s="52" t="n">
        <x:v>0.74</x:v>
      </x:c>
      <x:c r="J8" s="13" t="str">
        <x:v>本港生产/腹地集散/港内加工</x:v>
      </x:c>
      <x:c r="K8" s="13" t="str">
        <x:v>每7个游戏日补充158货载单位。本地、所属岛链或相连腹地供货；成品由港内工坊加工，贸易规模是本作设计。</x:v>
      </x:c>
      <x:c r="L8" s="13" t="str">
        <x:v>港口发展度达到D1（≥100点）；不要求武装度。</x:v>
      </x:c>
    </x:row>
    <x:row r="9" ht="42" customHeight="1">
      <x:c r="A9" s="15" t="str">
        <x:v>P001</x:v>
      </x:c>
      <x:c r="B9" s="15" t="str">
        <x:v>伦敦</x:v>
      </x:c>
      <x:c r="C9" s="15" t="str">
        <x:v>G056</x:v>
      </x:c>
      <x:c r="D9" s="15" t="str">
        <x:v>橡木</x:v>
      </x:c>
      <x:c r="E9" s="30" t="n">
        <x:v>1</x:v>
      </x:c>
      <x:c r="F9" s="30" t="n">
        <x:v>90</x:v>
      </x:c>
      <x:c r="G9" s="30" t="n">
        <x:v>145</x:v>
      </x:c>
      <x:c r="H9" s="30" t="n">
        <x:v>435</x:v>
      </x:c>
      <x:c r="I9" s="54" t="n">
        <x:v>0.74</x:v>
      </x:c>
      <x:c r="J9" s="15" t="str">
        <x:v>本港生产/腹地集散/港内加工</x:v>
      </x:c>
      <x:c r="K9" s="15" t="str">
        <x:v>每7个游戏日补充145货载单位。本地、所属岛链或相连腹地供货；成品由港内工坊加工，贸易规模是本作设计。</x:v>
      </x:c>
      <x:c r="L9" s="15" t="str">
        <x:v>港口发展度达到D1（≥100点）；不要求武装度。</x:v>
      </x:c>
    </x:row>
    <x:row r="10" ht="42" customHeight="1">
      <x:c r="A10" s="13" t="str">
        <x:v>P001</x:v>
      </x:c>
      <x:c r="B10" s="13" t="str">
        <x:v>伦敦</x:v>
      </x:c>
      <x:c r="C10" s="13" t="str">
        <x:v>G045</x:v>
      </x:c>
      <x:c r="D10" s="13" t="str">
        <x:v>毛呢</x:v>
      </x:c>
      <x:c r="E10" s="27" t="n">
        <x:v>2</x:v>
      </x:c>
      <x:c r="F10" s="27" t="n">
        <x:v>260</x:v>
      </x:c>
      <x:c r="G10" s="27" t="n">
        <x:v>83</x:v>
      </x:c>
      <x:c r="H10" s="27" t="n">
        <x:v>249</x:v>
      </x:c>
      <x:c r="I10" s="52" t="n">
        <x:v>0.8</x:v>
      </x:c>
      <x:c r="J10" s="13" t="str">
        <x:v>本港生产/腹地集散/港内加工</x:v>
      </x:c>
      <x:c r="K10" s="13" t="str">
        <x:v>每7个游戏日补充83货载单位。本地、所属岛链或相连腹地供货；成品由港内工坊加工，贸易规模是本作设计。</x:v>
      </x:c>
      <x:c r="L10" s="13" t="str">
        <x:v>港口发展度达到D2（≥250点）；不要求武装度。</x:v>
      </x:c>
    </x:row>
    <x:row r="11" ht="42" customHeight="1">
      <x:c r="A11" s="15" t="str">
        <x:v>P001</x:v>
      </x:c>
      <x:c r="B11" s="15" t="str">
        <x:v>伦敦</x:v>
      </x:c>
      <x:c r="C11" s="15" t="str">
        <x:v>G060</x:v>
      </x:c>
      <x:c r="D11" s="15" t="str">
        <x:v>锡锭</x:v>
      </x:c>
      <x:c r="E11" s="30" t="n">
        <x:v>3</x:v>
      </x:c>
      <x:c r="F11" s="30" t="n">
        <x:v>220</x:v>
      </x:c>
      <x:c r="G11" s="30" t="n">
        <x:v>40</x:v>
      </x:c>
      <x:c r="H11" s="30" t="n">
        <x:v>120</x:v>
      </x:c>
      <x:c r="I11" s="54" t="n">
        <x:v>0.8</x:v>
      </x:c>
      <x:c r="J11" s="15" t="str">
        <x:v>本港生产/腹地集散/港内加工</x:v>
      </x:c>
      <x:c r="K11" s="15" t="str">
        <x:v>每7个游戏日补充40货载单位。本地、所属岛链或相连腹地供货；成品由港内工坊加工，贸易规模是本作设计。</x:v>
      </x:c>
      <x:c r="L11" s="15" t="str">
        <x:v>港口发展度达到D3（≥450点）；不要求武装度。</x:v>
      </x:c>
    </x:row>
    <x:row r="12" ht="42" customHeight="1">
      <x:c r="A12" s="13" t="str">
        <x:v>P001</x:v>
      </x:c>
      <x:c r="B12" s="13" t="str">
        <x:v>伦敦</x:v>
      </x:c>
      <x:c r="C12" s="13" t="str">
        <x:v>G098</x:v>
      </x:c>
      <x:c r="D12" s="13" t="str">
        <x:v>书籍</x:v>
      </x:c>
      <x:c r="E12" s="27" t="n">
        <x:v>4</x:v>
      </x:c>
      <x:c r="F12" s="27" t="n">
        <x:v>280</x:v>
      </x:c>
      <x:c r="G12" s="27" t="n">
        <x:v>10</x:v>
      </x:c>
      <x:c r="H12" s="27" t="n">
        <x:v>30</x:v>
      </x:c>
      <x:c r="I12" s="52" t="n">
        <x:v>0.87</x:v>
      </x:c>
      <x:c r="J12" s="13" t="str">
        <x:v>本港生产/腹地集散/港内加工</x:v>
      </x:c>
      <x:c r="K12" s="13" t="str">
        <x:v>每7个游戏日补充10货载单位。本地、所属岛链或相连腹地供货；成品由港内工坊加工，贸易规模是本作设计。</x:v>
      </x:c>
      <x:c r="L12" s="13" t="str">
        <x:v>港口发展度达到D4（≥700点）；不要求武装度。</x:v>
      </x:c>
    </x:row>
    <x:row r="13" ht="42" customHeight="1">
      <x:c r="A13" s="15" t="str">
        <x:v>P001</x:v>
      </x:c>
      <x:c r="B13" s="15" t="str">
        <x:v>伦敦</x:v>
      </x:c>
      <x:c r="C13" s="15" t="str">
        <x:v>G100</x:v>
      </x:c>
      <x:c r="D13" s="15" t="str">
        <x:v>钟表</x:v>
      </x:c>
      <x:c r="E13" s="30" t="n">
        <x:v>5</x:v>
      </x:c>
      <x:c r="F13" s="30" t="n">
        <x:v>900</x:v>
      </x:c>
      <x:c r="G13" s="30" t="n">
        <x:v>9</x:v>
      </x:c>
      <x:c r="H13" s="30" t="n">
        <x:v>27</x:v>
      </x:c>
      <x:c r="I13" s="54" t="n">
        <x:v>0.87</x:v>
      </x:c>
      <x:c r="J13" s="15" t="str">
        <x:v>本港生产/腹地集散/港内加工</x:v>
      </x:c>
      <x:c r="K13" s="15" t="str">
        <x:v>每7个游戏日补充9货载单位。本地、所属岛链或相连腹地供货；成品由港内工坊加工，贸易规模是本作设计。</x:v>
      </x:c>
      <x:c r="L13" s="15" t="str">
        <x:v>港口发展度达到D5（≥1000点）；不要求武装度。</x:v>
      </x:c>
    </x:row>
    <x:row r="14" ht="42" customHeight="1">
      <x:c r="A14" s="13" t="str">
        <x:v>P001</x:v>
      </x:c>
      <x:c r="B14" s="13" t="str">
        <x:v>伦敦</x:v>
      </x:c>
      <x:c r="C14" s="13" t="str">
        <x:v>SP001</x:v>
      </x:c>
      <x:c r="D14" s="13" t="str">
        <x:v>雾钟双盘航海表</x:v>
      </x:c>
      <x:c r="E14" s="27" t="n">
        <x:v>4</x:v>
      </x:c>
      <x:c r="F14" s="27" t="n">
        <x:v>1680</x:v>
      </x:c>
      <x:c r="G14" s="27" t="n">
        <x:v>8</x:v>
      </x:c>
      <x:c r="H14" s="27" t="n">
        <x:v>16</x:v>
      </x:c>
      <x:c r="I14" s="52" t="n">
        <x:v>0.78</x:v>
      </x:c>
      <x:c r="J14" s="13" t="str">
        <x:v>港口独占原创工坊特产</x:v>
      </x:c>
      <x:c r="K14" s="13" t="str">
        <x:v>每7个游戏日由「河岸计时工坊」交货8货载；只在本港形成稳定产源。</x:v>
      </x:c>
      <x:c r="L14" s="13" t="str">
        <x:v>港口发展度达到D4（≥700点）时，投资项目「河岸计时工坊」自动完工；不要求武装度。</x:v>
      </x:c>
    </x:row>
    <x:row r="15" ht="42" customHeight="1">
      <x:c r="A15" s="15" t="str">
        <x:v>P002</x:v>
      </x:c>
      <x:c r="B15" s="15" t="str">
        <x:v>阿姆斯特丹</x:v>
      </x:c>
      <x:c r="C15" s="15" t="str">
        <x:v>G009</x:v>
      </x:c>
      <x:c r="D15" s="15" t="str">
        <x:v>盐</x:v>
      </x:c>
      <x:c r="E15" s="30" t="n">
        <x:v>0</x:v>
      </x:c>
      <x:c r="F15" s="30" t="n">
        <x:v>28</x:v>
      </x:c>
      <x:c r="G15" s="30" t="n">
        <x:v>106</x:v>
      </x:c>
      <x:c r="H15" s="30" t="n">
        <x:v>318</x:v>
      </x:c>
      <x:c r="I15" s="54" t="n">
        <x:v>1.08</x:v>
      </x:c>
      <x:c r="J15" s="15" t="str">
        <x:v>进口/区域转口</x:v>
      </x:c>
      <x:c r="K15" s="15" t="str">
        <x:v>每7个游戏日补充106货载单位。由区域商队或NPC货船带入；为港口转售供货，不改变商品的原产地区。</x:v>
      </x:c>
      <x:c r="L15" s="15" t="str">
        <x:v>港口发展度达到D0（≥0点）；不要求武装度。</x:v>
      </x:c>
    </x:row>
    <x:row r="16" ht="42" customHeight="1">
      <x:c r="A16" s="13" t="str">
        <x:v>P002</x:v>
      </x:c>
      <x:c r="B16" s="13" t="str">
        <x:v>阿姆斯特丹</x:v>
      </x:c>
      <x:c r="C16" s="13" t="str">
        <x:v>G017</x:v>
      </x:c>
      <x:c r="D16" s="13" t="str">
        <x:v>烟熏鲱鱼</x:v>
      </x:c>
      <x:c r="E16" s="27" t="n">
        <x:v>0</x:v>
      </x:c>
      <x:c r="F16" s="27" t="n">
        <x:v>72</x:v>
      </x:c>
      <x:c r="G16" s="27" t="n">
        <x:v>203</x:v>
      </x:c>
      <x:c r="H16" s="27" t="n">
        <x:v>609</x:v>
      </x:c>
      <x:c r="I16" s="52" t="n">
        <x:v>0.74</x:v>
      </x:c>
      <x:c r="J16" s="13" t="str">
        <x:v>本港生产/腹地集散/港内加工</x:v>
      </x:c>
      <x:c r="K16" s="13" t="str">
        <x:v>每7个游戏日补充203货载单位。本地、所属岛链或相连腹地供货；成品由港内工坊加工，贸易规模是本作设计。</x:v>
      </x:c>
      <x:c r="L16" s="13" t="str">
        <x:v>港口发展度达到D0（≥0点）；不要求武装度。</x:v>
      </x:c>
    </x:row>
    <x:row r="17" ht="42" customHeight="1">
      <x:c r="A17" s="15" t="str">
        <x:v>P002</x:v>
      </x:c>
      <x:c r="B17" s="15" t="str">
        <x:v>阿姆斯特丹</x:v>
      </x:c>
      <x:c r="C17" s="15" t="str">
        <x:v>G060</x:v>
      </x:c>
      <x:c r="D17" s="15" t="str">
        <x:v>锡锭</x:v>
      </x:c>
      <x:c r="E17" s="30" t="n">
        <x:v>1</x:v>
      </x:c>
      <x:c r="F17" s="30" t="n">
        <x:v>220</x:v>
      </x:c>
      <x:c r="G17" s="30" t="n">
        <x:v>29</x:v>
      </x:c>
      <x:c r="H17" s="30" t="n">
        <x:v>87</x:v>
      </x:c>
      <x:c r="I17" s="54" t="n">
        <x:v>1.08</x:v>
      </x:c>
      <x:c r="J17" s="15" t="str">
        <x:v>进口/区域转口</x:v>
      </x:c>
      <x:c r="K17" s="15" t="str">
        <x:v>每7个游戏日补充29货载单位。由区域商队或NPC货船带入；为港口转售供货，不改变商品的原产地区。</x:v>
      </x:c>
      <x:c r="L17" s="15" t="str">
        <x:v>港口发展度达到D1（≥100点）；不要求武装度。</x:v>
      </x:c>
    </x:row>
    <x:row r="18" ht="42" customHeight="1">
      <x:c r="A18" s="13" t="str">
        <x:v>P002</x:v>
      </x:c>
      <x:c r="B18" s="13" t="str">
        <x:v>阿姆斯特丹</x:v>
      </x:c>
      <x:c r="C18" s="13" t="str">
        <x:v>G024</x:v>
      </x:c>
      <x:c r="D18" s="13" t="str">
        <x:v>烈酒</x:v>
      </x:c>
      <x:c r="E18" s="27" t="n">
        <x:v>1</x:v>
      </x:c>
      <x:c r="F18" s="27" t="n">
        <x:v>135</x:v>
      </x:c>
      <x:c r="G18" s="27" t="n">
        <x:v>99</x:v>
      </x:c>
      <x:c r="H18" s="27" t="n">
        <x:v>297</x:v>
      </x:c>
      <x:c r="I18" s="52" t="n">
        <x:v>0.74</x:v>
      </x:c>
      <x:c r="J18" s="13" t="str">
        <x:v>本港生产/腹地集散/港内加工</x:v>
      </x:c>
      <x:c r="K18" s="13" t="str">
        <x:v>每7个游戏日补充99货载单位。本地、所属岛链或相连腹地供货；成品由港内工坊加工，贸易规模是本作设计。</x:v>
      </x:c>
      <x:c r="L18" s="13" t="str">
        <x:v>港口发展度达到D1（≥100点）；不要求武装度。</x:v>
      </x:c>
    </x:row>
    <x:row r="19" ht="42" customHeight="1">
      <x:c r="A19" s="15" t="str">
        <x:v>P002</x:v>
      </x:c>
      <x:c r="B19" s="15" t="str">
        <x:v>阿姆斯特丹</x:v>
      </x:c>
      <x:c r="C19" s="15" t="str">
        <x:v>G049</x:v>
      </x:c>
      <x:c r="D19" s="15" t="str">
        <x:v>靛蓝</x:v>
      </x:c>
      <x:c r="E19" s="30" t="n">
        <x:v>2</x:v>
      </x:c>
      <x:c r="F19" s="30" t="n">
        <x:v>280</x:v>
      </x:c>
      <x:c r="G19" s="30" t="n">
        <x:v>21</x:v>
      </x:c>
      <x:c r="H19" s="30" t="n">
        <x:v>63</x:v>
      </x:c>
      <x:c r="I19" s="54" t="n">
        <x:v>1.08</x:v>
      </x:c>
      <x:c r="J19" s="15" t="str">
        <x:v>进口/区域转口</x:v>
      </x:c>
      <x:c r="K19" s="15" t="str">
        <x:v>每7个游戏日补充21货载单位。由区域商队或NPC货船带入；为港口转售供货，不改变商品的原产地区。</x:v>
      </x:c>
      <x:c r="L19" s="15" t="str">
        <x:v>港口发展度达到D2（≥250点）；不要求武装度。</x:v>
      </x:c>
    </x:row>
    <x:row r="20" ht="42" customHeight="1">
      <x:c r="A20" s="13" t="str">
        <x:v>P002</x:v>
      </x:c>
      <x:c r="B20" s="13" t="str">
        <x:v>阿姆斯特丹</x:v>
      </x:c>
      <x:c r="C20" s="13" t="str">
        <x:v>G029</x:v>
      </x:c>
      <x:c r="D20" s="13" t="str">
        <x:v>胡椒</x:v>
      </x:c>
      <x:c r="E20" s="27" t="n">
        <x:v>3</x:v>
      </x:c>
      <x:c r="F20" s="27" t="n">
        <x:v>260</x:v>
      </x:c>
      <x:c r="G20" s="27" t="n">
        <x:v>17</x:v>
      </x:c>
      <x:c r="H20" s="27" t="n">
        <x:v>51</x:v>
      </x:c>
      <x:c r="I20" s="52" t="n">
        <x:v>1.14</x:v>
      </x:c>
      <x:c r="J20" s="13" t="str">
        <x:v>进口/区域转口</x:v>
      </x:c>
      <x:c r="K20" s="13" t="str">
        <x:v>每7个游戏日补充17货载单位。由区域商队或NPC货船带入；为港口转售供货，不改变商品的原产地区。</x:v>
      </x:c>
      <x:c r="L20" s="13" t="str">
        <x:v>港口发展度达到D3（≥450点）；不要求武装度。</x:v>
      </x:c>
    </x:row>
    <x:row r="21" ht="42" customHeight="1">
      <x:c r="A21" s="15" t="str">
        <x:v>P002</x:v>
      </x:c>
      <x:c r="B21" s="15" t="str">
        <x:v>阿姆斯特丹</x:v>
      </x:c>
      <x:c r="C21" s="15" t="str">
        <x:v>G070</x:v>
      </x:c>
      <x:c r="D21" s="15" t="str">
        <x:v>瓷器</x:v>
      </x:c>
      <x:c r="E21" s="30" t="n">
        <x:v>4</x:v>
      </x:c>
      <x:c r="F21" s="30" t="n">
        <x:v>370</x:v>
      </x:c>
      <x:c r="G21" s="30" t="n">
        <x:v>14</x:v>
      </x:c>
      <x:c r="H21" s="30" t="n">
        <x:v>42</x:v>
      </x:c>
      <x:c r="I21" s="54" t="n">
        <x:v>1.14</x:v>
      </x:c>
      <x:c r="J21" s="15" t="str">
        <x:v>进口/区域转口</x:v>
      </x:c>
      <x:c r="K21" s="15" t="str">
        <x:v>每7个游戏日补充14货载单位。由区域商队或NPC货船带入；为港口转售供货，不改变商品的原产地区。</x:v>
      </x:c>
      <x:c r="L21" s="15" t="str">
        <x:v>港口发展度达到D4（≥700点）；不要求武装度。</x:v>
      </x:c>
    </x:row>
    <x:row r="22" ht="42" customHeight="1">
      <x:c r="A22" s="13" t="str">
        <x:v>P002</x:v>
      </x:c>
      <x:c r="B22" s="13" t="str">
        <x:v>阿姆斯特丹</x:v>
      </x:c>
      <x:c r="C22" s="13" t="str">
        <x:v>G099</x:v>
      </x:c>
      <x:c r="D22" s="13" t="str">
        <x:v>航海仪器</x:v>
      </x:c>
      <x:c r="E22" s="27" t="n">
        <x:v>5</x:v>
      </x:c>
      <x:c r="F22" s="27" t="n">
        <x:v>650</x:v>
      </x:c>
      <x:c r="G22" s="27" t="n">
        <x:v>9</x:v>
      </x:c>
      <x:c r="H22" s="27" t="n">
        <x:v>27</x:v>
      </x:c>
      <x:c r="I22" s="52" t="n">
        <x:v>0.87</x:v>
      </x:c>
      <x:c r="J22" s="13" t="str">
        <x:v>本港生产/腹地集散/港内加工</x:v>
      </x:c>
      <x:c r="K22" s="13" t="str">
        <x:v>每7个游戏日补充9货载单位。本地、所属岛链或相连腹地供货；成品由港内工坊加工，贸易规模是本作设计。</x:v>
      </x:c>
      <x:c r="L22" s="13" t="str">
        <x:v>港口发展度达到D5（≥1000点）；不要求武装度。</x:v>
      </x:c>
    </x:row>
    <x:row r="23" ht="42" customHeight="1">
      <x:c r="A23" s="15" t="str">
        <x:v>P002</x:v>
      </x:c>
      <x:c r="B23" s="15" t="str">
        <x:v>阿姆斯特丹</x:v>
      </x:c>
      <x:c r="C23" s="15" t="str">
        <x:v>SP002</x:v>
      </x:c>
      <x:c r="D23" s="15" t="str">
        <x:v>蓝釉远洋药柜</x:v>
      </x:c>
      <x:c r="E23" s="30" t="n">
        <x:v>3</x:v>
      </x:c>
      <x:c r="F23" s="30" t="n">
        <x:v>890</x:v>
      </x:c>
      <x:c r="G23" s="30" t="n">
        <x:v>11</x:v>
      </x:c>
      <x:c r="H23" s="30" t="n">
        <x:v>22</x:v>
      </x:c>
      <x:c r="I23" s="54" t="n">
        <x:v>0.78</x:v>
      </x:c>
      <x:c r="J23" s="15" t="str">
        <x:v>港口独占原创工坊特产</x:v>
      </x:c>
      <x:c r="K23" s="15" t="str">
        <x:v>每7个游戏日由「蓝釉与箱匠联合作坊」交货11货载；只在本港形成稳定产源。</x:v>
      </x:c>
      <x:c r="L23" s="15" t="str">
        <x:v>港口发展度达到D3（≥450点）时，投资项目「蓝釉与箱匠联合作坊」自动完工；不要求武装度。</x:v>
      </x:c>
    </x:row>
    <x:row r="24" ht="42" customHeight="1">
      <x:c r="A24" s="13" t="str">
        <x:v>P003</x:v>
      </x:c>
      <x:c r="B24" s="13" t="str">
        <x:v>汉堡</x:v>
      </x:c>
      <x:c r="C24" s="13" t="str">
        <x:v>G001</x:v>
      </x:c>
      <x:c r="D24" s="13" t="str">
        <x:v>小麦</x:v>
      </x:c>
      <x:c r="E24" s="27" t="n">
        <x:v>0</x:v>
      </x:c>
      <x:c r="F24" s="27" t="n">
        <x:v>45</x:v>
      </x:c>
      <x:c r="G24" s="27" t="n">
        <x:v>221</x:v>
      </x:c>
      <x:c r="H24" s="27" t="n">
        <x:v>663</x:v>
      </x:c>
      <x:c r="I24" s="52" t="n">
        <x:v>0.74</x:v>
      </x:c>
      <x:c r="J24" s="13" t="str">
        <x:v>本港生产/腹地集散/港内加工</x:v>
      </x:c>
      <x:c r="K24" s="13" t="str">
        <x:v>每7个游戏日补充221货载单位。本地、所属岛链或相连腹地供货；成品由港内工坊加工，贸易规模是本作设计。</x:v>
      </x:c>
      <x:c r="L24" s="13" t="str">
        <x:v>港口发展度达到D0（≥0点）；不要求武装度。</x:v>
      </x:c>
    </x:row>
    <x:row r="25" ht="42" customHeight="1">
      <x:c r="A25" s="15" t="str">
        <x:v>P003</x:v>
      </x:c>
      <x:c r="B25" s="15" t="str">
        <x:v>汉堡</x:v>
      </x:c>
      <x:c r="C25" s="15" t="str">
        <x:v>G026</x:v>
      </x:c>
      <x:c r="D25" s="15" t="str">
        <x:v>啤酒</x:v>
      </x:c>
      <x:c r="E25" s="30" t="n">
        <x:v>0</x:v>
      </x:c>
      <x:c r="F25" s="30" t="n">
        <x:v>78</x:v>
      </x:c>
      <x:c r="G25" s="30" t="n">
        <x:v>89</x:v>
      </x:c>
      <x:c r="H25" s="30" t="n">
        <x:v>267</x:v>
      </x:c>
      <x:c r="I25" s="54" t="n">
        <x:v>0.74</x:v>
      </x:c>
      <x:c r="J25" s="15" t="str">
        <x:v>本港生产/腹地集散/港内加工</x:v>
      </x:c>
      <x:c r="K25" s="15" t="str">
        <x:v>每7个游戏日补充89货载单位。本地、所属岛链或相连腹地供货；成品由港内工坊加工，贸易规模是本作设计。</x:v>
      </x:c>
      <x:c r="L25" s="15" t="str">
        <x:v>港口发展度达到D0（≥0点）；不要求武装度。</x:v>
      </x:c>
    </x:row>
    <x:row r="26" ht="42" customHeight="1">
      <x:c r="A26" s="13" t="str">
        <x:v>P003</x:v>
      </x:c>
      <x:c r="B26" s="13" t="str">
        <x:v>汉堡</x:v>
      </x:c>
      <x:c r="C26" s="13" t="str">
        <x:v>G003</x:v>
      </x:c>
      <x:c r="D26" s="13" t="str">
        <x:v>黑麦</x:v>
      </x:c>
      <x:c r="E26" s="27" t="n">
        <x:v>1</x:v>
      </x:c>
      <x:c r="F26" s="27" t="n">
        <x:v>38</x:v>
      </x:c>
      <x:c r="G26" s="27" t="n">
        <x:v>210</x:v>
      </x:c>
      <x:c r="H26" s="27" t="n">
        <x:v>630</x:v>
      </x:c>
      <x:c r="I26" s="52" t="n">
        <x:v>0.74</x:v>
      </x:c>
      <x:c r="J26" s="13" t="str">
        <x:v>本港生产/腹地集散/港内加工</x:v>
      </x:c>
      <x:c r="K26" s="13" t="str">
        <x:v>每7个游戏日补充210货载单位。本地、所属岛链或相连腹地供货；成品由港内工坊加工，贸易规模是本作设计。</x:v>
      </x:c>
      <x:c r="L26" s="13" t="str">
        <x:v>港口发展度达到D1（≥100点）；不要求武装度。</x:v>
      </x:c>
    </x:row>
    <x:row r="27" ht="42" customHeight="1">
      <x:c r="A27" s="15" t="str">
        <x:v>P003</x:v>
      </x:c>
      <x:c r="B27" s="15" t="str">
        <x:v>汉堡</x:v>
      </x:c>
      <x:c r="C27" s="15" t="str">
        <x:v>G040</x:v>
      </x:c>
      <x:c r="D27" s="15" t="str">
        <x:v>亚麻</x:v>
      </x:c>
      <x:c r="E27" s="30" t="n">
        <x:v>1</x:v>
      </x:c>
      <x:c r="F27" s="30" t="n">
        <x:v>85</x:v>
      </x:c>
      <x:c r="G27" s="30" t="n">
        <x:v>140</x:v>
      </x:c>
      <x:c r="H27" s="30" t="n">
        <x:v>420</x:v>
      </x:c>
      <x:c r="I27" s="54" t="n">
        <x:v>0.74</x:v>
      </x:c>
      <x:c r="J27" s="15" t="str">
        <x:v>本港生产/腹地集散/港内加工</x:v>
      </x:c>
      <x:c r="K27" s="15" t="str">
        <x:v>每7个游戏日补充140货载单位。本地、所属岛链或相连腹地供货；成品由港内工坊加工，贸易规模是本作设计。</x:v>
      </x:c>
      <x:c r="L27" s="15" t="str">
        <x:v>港口发展度达到D1（≥100点）；不要求武装度。</x:v>
      </x:c>
    </x:row>
    <x:row r="28" ht="42" customHeight="1">
      <x:c r="A28" s="13" t="str">
        <x:v>P003</x:v>
      </x:c>
      <x:c r="B28" s="13" t="str">
        <x:v>汉堡</x:v>
      </x:c>
      <x:c r="C28" s="13" t="str">
        <x:v>G058</x:v>
      </x:c>
      <x:c r="D28" s="13" t="str">
        <x:v>铁锭</x:v>
      </x:c>
      <x:c r="E28" s="27" t="n">
        <x:v>2</x:v>
      </x:c>
      <x:c r="F28" s="27" t="n">
        <x:v>120</x:v>
      </x:c>
      <x:c r="G28" s="27" t="n">
        <x:v>22</x:v>
      </x:c>
      <x:c r="H28" s="27" t="n">
        <x:v>66</x:v>
      </x:c>
      <x:c r="I28" s="52" t="n">
        <x:v>1.08</x:v>
      </x:c>
      <x:c r="J28" s="13" t="str">
        <x:v>进口/区域转口</x:v>
      </x:c>
      <x:c r="K28" s="13" t="str">
        <x:v>每7个游戏日补充22货载单位。由区域商队或NPC货船带入；为港口转售供货，不改变商品的原产地区。</x:v>
      </x:c>
      <x:c r="L28" s="13" t="str">
        <x:v>港口发展度达到D2（≥250点）；不要求武装度。</x:v>
      </x:c>
    </x:row>
    <x:row r="29" ht="42" customHeight="1">
      <x:c r="A29" s="15" t="str">
        <x:v>P003</x:v>
      </x:c>
      <x:c r="B29" s="15" t="str">
        <x:v>汉堡</x:v>
      </x:c>
      <x:c r="C29" s="15" t="str">
        <x:v>G044</x:v>
      </x:c>
      <x:c r="D29" s="15" t="str">
        <x:v>麻布</x:v>
      </x:c>
      <x:c r="E29" s="30" t="n">
        <x:v>3</x:v>
      </x:c>
      <x:c r="F29" s="30" t="n">
        <x:v>145</x:v>
      </x:c>
      <x:c r="G29" s="30" t="n">
        <x:v>62</x:v>
      </x:c>
      <x:c r="H29" s="30" t="n">
        <x:v>186</x:v>
      </x:c>
      <x:c r="I29" s="54" t="n">
        <x:v>0.8</x:v>
      </x:c>
      <x:c r="J29" s="15" t="str">
        <x:v>本港生产/腹地集散/港内加工</x:v>
      </x:c>
      <x:c r="K29" s="15" t="str">
        <x:v>每7个游戏日补充62货载单位。本地、所属岛链或相连腹地供货；成品由港内工坊加工，贸易规模是本作设计。</x:v>
      </x:c>
      <x:c r="L29" s="15" t="str">
        <x:v>港口发展度达到D3（≥450点）；不要求武装度。</x:v>
      </x:c>
    </x:row>
    <x:row r="30" ht="42" customHeight="1">
      <x:c r="A30" s="13" t="str">
        <x:v>P003</x:v>
      </x:c>
      <x:c r="B30" s="13" t="str">
        <x:v>汉堡</x:v>
      </x:c>
      <x:c r="C30" s="13" t="str">
        <x:v>G068</x:v>
      </x:c>
      <x:c r="D30" s="13" t="str">
        <x:v>铁工具</x:v>
      </x:c>
      <x:c r="E30" s="27" t="n">
        <x:v>4</x:v>
      </x:c>
      <x:c r="F30" s="27" t="n">
        <x:v>190</x:v>
      </x:c>
      <x:c r="G30" s="27" t="n">
        <x:v>53</x:v>
      </x:c>
      <x:c r="H30" s="27" t="n">
        <x:v>159</x:v>
      </x:c>
      <x:c r="I30" s="52" t="n">
        <x:v>0.87</x:v>
      </x:c>
      <x:c r="J30" s="13" t="str">
        <x:v>本港生产/腹地集散/港内加工</x:v>
      </x:c>
      <x:c r="K30" s="13" t="str">
        <x:v>每7个游戏日补充53货载单位。本地、所属岛链或相连腹地供货；成品由港内工坊加工，贸易规模是本作设计。</x:v>
      </x:c>
      <x:c r="L30" s="13" t="str">
        <x:v>港口发展度达到D4（≥700点）；不要求武装度。</x:v>
      </x:c>
    </x:row>
    <x:row r="31" ht="42" customHeight="1">
      <x:c r="A31" s="15" t="str">
        <x:v>P003</x:v>
      </x:c>
      <x:c r="B31" s="15" t="str">
        <x:v>汉堡</x:v>
      </x:c>
      <x:c r="C31" s="15" t="str">
        <x:v>G071</x:v>
      </x:c>
      <x:c r="D31" s="15" t="str">
        <x:v>玻璃器皿</x:v>
      </x:c>
      <x:c r="E31" s="30" t="n">
        <x:v>5</x:v>
      </x:c>
      <x:c r="F31" s="30" t="n">
        <x:v>310</x:v>
      </x:c>
      <x:c r="G31" s="30" t="n">
        <x:v>19</x:v>
      </x:c>
      <x:c r="H31" s="30" t="n">
        <x:v>57</x:v>
      </x:c>
      <x:c r="I31" s="54" t="n">
        <x:v>0.87</x:v>
      </x:c>
      <x:c r="J31" s="15" t="str">
        <x:v>本港生产/腹地集散/港内加工</x:v>
      </x:c>
      <x:c r="K31" s="15" t="str">
        <x:v>每7个游戏日补充19货载单位。本地、所属岛链或相连腹地供货；成品由港内工坊加工，贸易规模是本作设计。</x:v>
      </x:c>
      <x:c r="L31" s="15" t="str">
        <x:v>港口发展度达到D5（≥1000点）；不要求武装度。</x:v>
      </x:c>
    </x:row>
    <x:row r="32" ht="42" customHeight="1">
      <x:c r="A32" s="13" t="str">
        <x:v>P003</x:v>
      </x:c>
      <x:c r="B32" s="13" t="str">
        <x:v>汉堡</x:v>
      </x:c>
      <x:c r="C32" s="13" t="str">
        <x:v>SP003</x:v>
      </x:c>
      <x:c r="D32" s="13" t="str">
        <x:v>易北铜箍航海桶</x:v>
      </x:c>
      <x:c r="E32" s="27" t="n">
        <x:v>3</x:v>
      </x:c>
      <x:c r="F32" s="27" t="n">
        <x:v>360</x:v>
      </x:c>
      <x:c r="G32" s="27" t="n">
        <x:v>10</x:v>
      </x:c>
      <x:c r="H32" s="27" t="n">
        <x:v>20</x:v>
      </x:c>
      <x:c r="I32" s="52" t="n">
        <x:v>0.78</x:v>
      </x:c>
      <x:c r="J32" s="13" t="str">
        <x:v>港口独占原创工坊特产</x:v>
      </x:c>
      <x:c r="K32" s="13" t="str">
        <x:v>每7个游戏日由「河闸桶匠公所」交货10货载；只在本港形成稳定产源。</x:v>
      </x:c>
      <x:c r="L32" s="13" t="str">
        <x:v>港口发展度达到D3（≥450点）时，投资项目「河闸桶匠公所」自动完工；不要求武装度。</x:v>
      </x:c>
    </x:row>
    <x:row r="33" ht="42" customHeight="1">
      <x:c r="A33" s="15" t="str">
        <x:v>P004</x:v>
      </x:c>
      <x:c r="B33" s="15" t="str">
        <x:v>吕贝克</x:v>
      </x:c>
      <x:c r="C33" s="15" t="str">
        <x:v>G009</x:v>
      </x:c>
      <x:c r="D33" s="15" t="str">
        <x:v>盐</x:v>
      </x:c>
      <x:c r="E33" s="30" t="n">
        <x:v>0</x:v>
      </x:c>
      <x:c r="F33" s="30" t="n">
        <x:v>28</x:v>
      </x:c>
      <x:c r="G33" s="30" t="n">
        <x:v>169</x:v>
      </x:c>
      <x:c r="H33" s="30" t="n">
        <x:v>507</x:v>
      </x:c>
      <x:c r="I33" s="54" t="n">
        <x:v>0.74</x:v>
      </x:c>
      <x:c r="J33" s="15" t="str">
        <x:v>本港生产/腹地集散/港内加工</x:v>
      </x:c>
      <x:c r="K33" s="15" t="str">
        <x:v>每7个游戏日补充169货载单位。本地、所属岛链或相连腹地供货；成品由港内工坊加工，贸易规模是本作设计。</x:v>
      </x:c>
      <x:c r="L33" s="15" t="str">
        <x:v>港口发展度达到D0（≥0点）；不要求武装度。</x:v>
      </x:c>
    </x:row>
    <x:row r="34" ht="42" customHeight="1">
      <x:c r="A34" s="13" t="str">
        <x:v>P004</x:v>
      </x:c>
      <x:c r="B34" s="13" t="str">
        <x:v>吕贝克</x:v>
      </x:c>
      <x:c r="C34" s="13" t="str">
        <x:v>G003</x:v>
      </x:c>
      <x:c r="D34" s="13" t="str">
        <x:v>黑麦</x:v>
      </x:c>
      <x:c r="E34" s="27" t="n">
        <x:v>0</x:v>
      </x:c>
      <x:c r="F34" s="27" t="n">
        <x:v>38</x:v>
      </x:c>
      <x:c r="G34" s="27" t="n">
        <x:v>218</x:v>
      </x:c>
      <x:c r="H34" s="27" t="n">
        <x:v>654</x:v>
      </x:c>
      <x:c r="I34" s="52" t="n">
        <x:v>0.74</x:v>
      </x:c>
      <x:c r="J34" s="13" t="str">
        <x:v>本港生产/腹地集散/港内加工</x:v>
      </x:c>
      <x:c r="K34" s="13" t="str">
        <x:v>每7个游戏日补充218货载单位。本地、所属岛链或相连腹地供货；成品由港内工坊加工，贸易规模是本作设计。</x:v>
      </x:c>
      <x:c r="L34" s="13" t="str">
        <x:v>港口发展度达到D0（≥0点）；不要求武装度。</x:v>
      </x:c>
    </x:row>
    <x:row r="35" ht="42" customHeight="1">
      <x:c r="A35" s="15" t="str">
        <x:v>P004</x:v>
      </x:c>
      <x:c r="B35" s="15" t="str">
        <x:v>吕贝克</x:v>
      </x:c>
      <x:c r="C35" s="15" t="str">
        <x:v>G017</x:v>
      </x:c>
      <x:c r="D35" s="15" t="str">
        <x:v>烟熏鲱鱼</x:v>
      </x:c>
      <x:c r="E35" s="30" t="n">
        <x:v>1</x:v>
      </x:c>
      <x:c r="F35" s="30" t="n">
        <x:v>72</x:v>
      </x:c>
      <x:c r="G35" s="30" t="n">
        <x:v>161</x:v>
      </x:c>
      <x:c r="H35" s="30" t="n">
        <x:v>483</x:v>
      </x:c>
      <x:c r="I35" s="54" t="n">
        <x:v>0.74</x:v>
      </x:c>
      <x:c r="J35" s="15" t="str">
        <x:v>本港生产/腹地集散/港内加工</x:v>
      </x:c>
      <x:c r="K35" s="15" t="str">
        <x:v>每7个游戏日补充161货载单位。本地、所属岛链或相连腹地供货；成品由港内工坊加工，贸易规模是本作设计。</x:v>
      </x:c>
      <x:c r="L35" s="15" t="str">
        <x:v>港口发展度达到D1（≥100点）；不要求武装度。</x:v>
      </x:c>
    </x:row>
    <x:row r="36" ht="42" customHeight="1">
      <x:c r="A36" s="13" t="str">
        <x:v>P004</x:v>
      </x:c>
      <x:c r="B36" s="13" t="str">
        <x:v>吕贝克</x:v>
      </x:c>
      <x:c r="C36" s="13" t="str">
        <x:v>G040</x:v>
      </x:c>
      <x:c r="D36" s="13" t="str">
        <x:v>亚麻</x:v>
      </x:c>
      <x:c r="E36" s="27" t="n">
        <x:v>1</x:v>
      </x:c>
      <x:c r="F36" s="27" t="n">
        <x:v>85</x:v>
      </x:c>
      <x:c r="G36" s="27" t="n">
        <x:v>138</x:v>
      </x:c>
      <x:c r="H36" s="27" t="n">
        <x:v>414</x:v>
      </x:c>
      <x:c r="I36" s="52" t="n">
        <x:v>0.74</x:v>
      </x:c>
      <x:c r="J36" s="13" t="str">
        <x:v>本港生产/腹地集散/港内加工</x:v>
      </x:c>
      <x:c r="K36" s="13" t="str">
        <x:v>每7个游戏日补充138货载单位。本地、所属岛链或相连腹地供货；成品由港内工坊加工，贸易规模是本作设计。</x:v>
      </x:c>
      <x:c r="L36" s="13" t="str">
        <x:v>港口发展度达到D1（≥100点）；不要求武装度。</x:v>
      </x:c>
    </x:row>
    <x:row r="37" ht="42" customHeight="1">
      <x:c r="A37" s="15" t="str">
        <x:v>P004</x:v>
      </x:c>
      <x:c r="B37" s="15" t="str">
        <x:v>吕贝克</x:v>
      </x:c>
      <x:c r="C37" s="15" t="str">
        <x:v>G088</x:v>
      </x:c>
      <x:c r="D37" s="15" t="str">
        <x:v>蜂蜡</x:v>
      </x:c>
      <x:c r="E37" s="30" t="n">
        <x:v>2</x:v>
      </x:c>
      <x:c r="F37" s="30" t="n">
        <x:v>110</x:v>
      </x:c>
      <x:c r="G37" s="30" t="n">
        <x:v>72</x:v>
      </x:c>
      <x:c r="H37" s="30" t="n">
        <x:v>216</x:v>
      </x:c>
      <x:c r="I37" s="54" t="n">
        <x:v>0.8</x:v>
      </x:c>
      <x:c r="J37" s="15" t="str">
        <x:v>本港生产/腹地集散/港内加工</x:v>
      </x:c>
      <x:c r="K37" s="15" t="str">
        <x:v>每7个游戏日补充72货载单位。本地、所属岛链或相连腹地供货；成品由港内工坊加工，贸易规模是本作设计。</x:v>
      </x:c>
      <x:c r="L37" s="15" t="str">
        <x:v>港口发展度达到D2（≥250点）；不要求武装度。</x:v>
      </x:c>
    </x:row>
    <x:row r="38" ht="42" customHeight="1">
      <x:c r="A38" s="13" t="str">
        <x:v>P004</x:v>
      </x:c>
      <x:c r="B38" s="13" t="str">
        <x:v>吕贝克</x:v>
      </x:c>
      <x:c r="C38" s="13" t="str">
        <x:v>G045</x:v>
      </x:c>
      <x:c r="D38" s="13" t="str">
        <x:v>毛呢</x:v>
      </x:c>
      <x:c r="E38" s="27" t="n">
        <x:v>3</x:v>
      </x:c>
      <x:c r="F38" s="27" t="n">
        <x:v>260</x:v>
      </x:c>
      <x:c r="G38" s="27" t="n">
        <x:v>32</x:v>
      </x:c>
      <x:c r="H38" s="27" t="n">
        <x:v>96</x:v>
      </x:c>
      <x:c r="I38" s="52" t="n">
        <x:v>1.14</x:v>
      </x:c>
      <x:c r="J38" s="13" t="str">
        <x:v>进口/区域转口</x:v>
      </x:c>
      <x:c r="K38" s="13" t="str">
        <x:v>每7个游戏日补充32货载单位。由区域商队或NPC货船带入；为港口转售供货，不改变商品的原产地区。</x:v>
      </x:c>
      <x:c r="L38" s="13" t="str">
        <x:v>港口发展度达到D3（≥450点）；不要求武装度。</x:v>
      </x:c>
    </x:row>
    <x:row r="39" ht="42" customHeight="1">
      <x:c r="A39" s="15" t="str">
        <x:v>P004</x:v>
      </x:c>
      <x:c r="B39" s="15" t="str">
        <x:v>吕贝克</x:v>
      </x:c>
      <x:c r="C39" s="15" t="str">
        <x:v>G076</x:v>
      </x:c>
      <x:c r="D39" s="15" t="str">
        <x:v>琥珀</x:v>
      </x:c>
      <x:c r="E39" s="30" t="n">
        <x:v>4</x:v>
      </x:c>
      <x:c r="F39" s="30" t="n">
        <x:v>390</x:v>
      </x:c>
      <x:c r="G39" s="30" t="n">
        <x:v>3</x:v>
      </x:c>
      <x:c r="H39" s="30" t="n">
        <x:v>9</x:v>
      </x:c>
      <x:c r="I39" s="54" t="n">
        <x:v>1.14</x:v>
      </x:c>
      <x:c r="J39" s="15" t="str">
        <x:v>进口/区域转口</x:v>
      </x:c>
      <x:c r="K39" s="15" t="str">
        <x:v>每7个游戏日补充3货载单位。由区域商队或NPC货船带入；为港口转售供货，不改变商品的原产地区。</x:v>
      </x:c>
      <x:c r="L39" s="15" t="str">
        <x:v>港口发展度达到D4（≥700点）；不要求武装度。</x:v>
      </x:c>
    </x:row>
    <x:row r="40" ht="42" customHeight="1">
      <x:c r="A40" s="13" t="str">
        <x:v>P004</x:v>
      </x:c>
      <x:c r="B40" s="13" t="str">
        <x:v>吕贝克</x:v>
      </x:c>
      <x:c r="C40" s="13" t="str">
        <x:v>G098</x:v>
      </x:c>
      <x:c r="D40" s="13" t="str">
        <x:v>书籍</x:v>
      </x:c>
      <x:c r="E40" s="27" t="n">
        <x:v>5</x:v>
      </x:c>
      <x:c r="F40" s="27" t="n">
        <x:v>280</x:v>
      </x:c>
      <x:c r="G40" s="27" t="n">
        <x:v>8</x:v>
      </x:c>
      <x:c r="H40" s="27" t="n">
        <x:v>24</x:v>
      </x:c>
      <x:c r="I40" s="52" t="n">
        <x:v>0.87</x:v>
      </x:c>
      <x:c r="J40" s="13" t="str">
        <x:v>本港生产/腹地集散/港内加工</x:v>
      </x:c>
      <x:c r="K40" s="13" t="str">
        <x:v>每7个游戏日补充8货载单位。本地、所属岛链或相连腹地供货；成品由港内工坊加工，贸易规模是本作设计。</x:v>
      </x:c>
      <x:c r="L40" s="13" t="str">
        <x:v>港口发展度达到D5（≥1000点）；不要求武装度。</x:v>
      </x:c>
    </x:row>
    <x:row r="41" ht="42" customHeight="1">
      <x:c r="A41" s="15" t="str">
        <x:v>P004</x:v>
      </x:c>
      <x:c r="B41" s="15" t="str">
        <x:v>吕贝克</x:v>
      </x:c>
      <x:c r="C41" s="15" t="str">
        <x:v>SP004</x:v>
      </x:c>
      <x:c r="D41" s="15" t="str">
        <x:v>七港封蜡匣</x:v>
      </x:c>
      <x:c r="E41" s="30" t="n">
        <x:v>3</x:v>
      </x:c>
      <x:c r="F41" s="30" t="n">
        <x:v>420</x:v>
      </x:c>
      <x:c r="G41" s="30" t="n">
        <x:v>10</x:v>
      </x:c>
      <x:c r="H41" s="30" t="n">
        <x:v>20</x:v>
      </x:c>
      <x:c r="I41" s="54" t="n">
        <x:v>0.78</x:v>
      </x:c>
      <x:c r="J41" s="15" t="str">
        <x:v>港口独占原创工坊特产</x:v>
      </x:c>
      <x:c r="K41" s="15" t="str">
        <x:v>每7个游戏日由「商印与蜂蜡工坊」交货10货载；只在本港形成稳定产源。</x:v>
      </x:c>
      <x:c r="L41" s="15" t="str">
        <x:v>港口发展度达到D3（≥450点）时，投资项目「商印与蜂蜡工坊」自动完工；不要求武装度。</x:v>
      </x:c>
    </x:row>
    <x:row r="42" ht="42" customHeight="1">
      <x:c r="A42" s="13" t="str">
        <x:v>P005</x:v>
      </x:c>
      <x:c r="B42" s="13" t="str">
        <x:v>卑尔根</x:v>
      </x:c>
      <x:c r="C42" s="13" t="str">
        <x:v>G016</x:v>
      </x:c>
      <x:c r="D42" s="13" t="str">
        <x:v>干鳕鱼</x:v>
      </x:c>
      <x:c r="E42" s="27" t="n">
        <x:v>0</x:v>
      </x:c>
      <x:c r="F42" s="27" t="n">
        <x:v>98</x:v>
      </x:c>
      <x:c r="G42" s="27" t="n">
        <x:v>147</x:v>
      </x:c>
      <x:c r="H42" s="27" t="n">
        <x:v>441</x:v>
      </x:c>
      <x:c r="I42" s="52" t="n">
        <x:v>0.74</x:v>
      </x:c>
      <x:c r="J42" s="13" t="str">
        <x:v>本港生产/腹地集散/港内加工</x:v>
      </x:c>
      <x:c r="K42" s="13" t="str">
        <x:v>每7个游戏日补充147货载单位。本地、所属岛链或相连腹地供货；成品由港内工坊加工，贸易规模是本作设计。</x:v>
      </x:c>
      <x:c r="L42" s="13" t="str">
        <x:v>港口发展度达到D0（≥0点）；不要求武装度。</x:v>
      </x:c>
    </x:row>
    <x:row r="43" ht="42" customHeight="1">
      <x:c r="A43" s="15" t="str">
        <x:v>P005</x:v>
      </x:c>
      <x:c r="B43" s="15" t="str">
        <x:v>卑尔根</x:v>
      </x:c>
      <x:c r="C43" s="15" t="str">
        <x:v>G091</x:v>
      </x:c>
      <x:c r="D43" s="15" t="str">
        <x:v>鱼油</x:v>
      </x:c>
      <x:c r="E43" s="30" t="n">
        <x:v>0</x:v>
      </x:c>
      <x:c r="F43" s="30" t="n">
        <x:v>80</x:v>
      </x:c>
      <x:c r="G43" s="30" t="n">
        <x:v>74</x:v>
      </x:c>
      <x:c r="H43" s="30" t="n">
        <x:v>222</x:v>
      </x:c>
      <x:c r="I43" s="54" t="n">
        <x:v>0.74</x:v>
      </x:c>
      <x:c r="J43" s="15" t="str">
        <x:v>本港生产/腹地集散/港内加工</x:v>
      </x:c>
      <x:c r="K43" s="15" t="str">
        <x:v>每7个游戏日补充74货载单位。本地、所属岛链或相连腹地供货；成品由港内工坊加工，贸易规模是本作设计。</x:v>
      </x:c>
      <x:c r="L43" s="15" t="str">
        <x:v>港口发展度达到D0（≥0点）；不要求武装度。</x:v>
      </x:c>
    </x:row>
    <x:row r="44" ht="42" customHeight="1">
      <x:c r="A44" s="13" t="str">
        <x:v>P005</x:v>
      </x:c>
      <x:c r="B44" s="13" t="str">
        <x:v>卑尔根</x:v>
      </x:c>
      <x:c r="C44" s="13" t="str">
        <x:v>G057</x:v>
      </x:c>
      <x:c r="D44" s="13" t="str">
        <x:v>松木</x:v>
      </x:c>
      <x:c r="E44" s="27" t="n">
        <x:v>1</x:v>
      </x:c>
      <x:c r="F44" s="27" t="n">
        <x:v>70</x:v>
      </x:c>
      <x:c r="G44" s="27" t="n">
        <x:v>110</x:v>
      </x:c>
      <x:c r="H44" s="27" t="n">
        <x:v>330</x:v>
      </x:c>
      <x:c r="I44" s="52" t="n">
        <x:v>0.74</x:v>
      </x:c>
      <x:c r="J44" s="13" t="str">
        <x:v>本港生产/腹地集散/港内加工</x:v>
      </x:c>
      <x:c r="K44" s="13" t="str">
        <x:v>每7个游戏日补充110货载单位。本地、所属岛链或相连腹地供货；成品由港内工坊加工，贸易规模是本作设计。</x:v>
      </x:c>
      <x:c r="L44" s="13" t="str">
        <x:v>港口发展度达到D1（≥100点）；不要求武装度。</x:v>
      </x:c>
    </x:row>
    <x:row r="45" ht="42" customHeight="1">
      <x:c r="A45" s="15" t="str">
        <x:v>P005</x:v>
      </x:c>
      <x:c r="B45" s="15" t="str">
        <x:v>卑尔根</x:v>
      </x:c>
      <x:c r="C45" s="15" t="str">
        <x:v>G017</x:v>
      </x:c>
      <x:c r="D45" s="15" t="str">
        <x:v>烟熏鲱鱼</x:v>
      </x:c>
      <x:c r="E45" s="30" t="n">
        <x:v>1</x:v>
      </x:c>
      <x:c r="F45" s="30" t="n">
        <x:v>72</x:v>
      </x:c>
      <x:c r="G45" s="30" t="n">
        <x:v>140</x:v>
      </x:c>
      <x:c r="H45" s="30" t="n">
        <x:v>420</x:v>
      </x:c>
      <x:c r="I45" s="54" t="n">
        <x:v>0.74</x:v>
      </x:c>
      <x:c r="J45" s="15" t="str">
        <x:v>本港生产/腹地集散/港内加工</x:v>
      </x:c>
      <x:c r="K45" s="15" t="str">
        <x:v>每7个游戏日补充140货载单位。本地、所属岛链或相连腹地供货；成品由港内工坊加工，贸易规模是本作设计。</x:v>
      </x:c>
      <x:c r="L45" s="15" t="str">
        <x:v>港口发展度达到D1（≥100点）；不要求武装度。</x:v>
      </x:c>
    </x:row>
    <x:row r="46" ht="42" customHeight="1">
      <x:c r="A46" s="13" t="str">
        <x:v>P005</x:v>
      </x:c>
      <x:c r="B46" s="13" t="str">
        <x:v>卑尔根</x:v>
      </x:c>
      <x:c r="C46" s="13" t="str">
        <x:v>G090</x:v>
      </x:c>
      <x:c r="D46" s="13" t="str">
        <x:v>树脂</x:v>
      </x:c>
      <x:c r="E46" s="27" t="n">
        <x:v>2</x:v>
      </x:c>
      <x:c r="F46" s="27" t="n">
        <x:v>95</x:v>
      </x:c>
      <x:c r="G46" s="27" t="n">
        <x:v>62</x:v>
      </x:c>
      <x:c r="H46" s="27" t="n">
        <x:v>186</x:v>
      </x:c>
      <x:c r="I46" s="52" t="n">
        <x:v>0.8</x:v>
      </x:c>
      <x:c r="J46" s="13" t="str">
        <x:v>本港生产/腹地集散/港内加工</x:v>
      </x:c>
      <x:c r="K46" s="13" t="str">
        <x:v>每7个游戏日补充62货载单位。本地、所属岛链或相连腹地供货；成品由港内工坊加工，贸易规模是本作设计。</x:v>
      </x:c>
      <x:c r="L46" s="13" t="str">
        <x:v>港口发展度达到D2（≥250点）；不要求武装度。</x:v>
      </x:c>
    </x:row>
    <x:row r="47" ht="42" customHeight="1">
      <x:c r="A47" s="15" t="str">
        <x:v>P005</x:v>
      </x:c>
      <x:c r="B47" s="15" t="str">
        <x:v>卑尔根</x:v>
      </x:c>
      <x:c r="C47" s="15" t="str">
        <x:v>G080</x:v>
      </x:c>
      <x:c r="D47" s="15" t="str">
        <x:v>毛皮</x:v>
      </x:c>
      <x:c r="E47" s="30" t="n">
        <x:v>3</x:v>
      </x:c>
      <x:c r="F47" s="30" t="n">
        <x:v>240</x:v>
      </x:c>
      <x:c r="G47" s="30" t="n">
        <x:v>9</x:v>
      </x:c>
      <x:c r="H47" s="30" t="n">
        <x:v>27</x:v>
      </x:c>
      <x:c r="I47" s="54" t="n">
        <x:v>0.8</x:v>
      </x:c>
      <x:c r="J47" s="15" t="str">
        <x:v>本港生产/腹地集散/港内加工</x:v>
      </x:c>
      <x:c r="K47" s="15" t="str">
        <x:v>每7个游戏日补充9货载单位。本地、所属岛链或相连腹地供货；成品由港内工坊加工，贸易规模是本作设计。</x:v>
      </x:c>
      <x:c r="L47" s="15" t="str">
        <x:v>港口发展度达到D3（≥450点）；不要求武装度。</x:v>
      </x:c>
    </x:row>
    <x:row r="48" ht="42" customHeight="1">
      <x:c r="A48" s="13" t="str">
        <x:v>P005</x:v>
      </x:c>
      <x:c r="B48" s="13" t="str">
        <x:v>卑尔根</x:v>
      </x:c>
      <x:c r="C48" s="13" t="str">
        <x:v>G068</x:v>
      </x:c>
      <x:c r="D48" s="13" t="str">
        <x:v>铁工具</x:v>
      </x:c>
      <x:c r="E48" s="27" t="n">
        <x:v>4</x:v>
      </x:c>
      <x:c r="F48" s="27" t="n">
        <x:v>190</x:v>
      </x:c>
      <x:c r="G48" s="27" t="n">
        <x:v>24</x:v>
      </x:c>
      <x:c r="H48" s="27" t="n">
        <x:v>72</x:v>
      </x:c>
      <x:c r="I48" s="52" t="n">
        <x:v>1.14</x:v>
      </x:c>
      <x:c r="J48" s="13" t="str">
        <x:v>进口/区域转口</x:v>
      </x:c>
      <x:c r="K48" s="13" t="str">
        <x:v>每7个游戏日补充24货载单位。由区域商队或NPC货船带入；为港口转售供货，不改变商品的原产地区。</x:v>
      </x:c>
      <x:c r="L48" s="13" t="str">
        <x:v>港口发展度达到D4（≥700点）；不要求武装度。</x:v>
      </x:c>
    </x:row>
    <x:row r="49" ht="42" customHeight="1">
      <x:c r="A49" s="15" t="str">
        <x:v>P005</x:v>
      </x:c>
      <x:c r="B49" s="15" t="str">
        <x:v>卑尔根</x:v>
      </x:c>
      <x:c r="C49" s="15" t="str">
        <x:v>G099</x:v>
      </x:c>
      <x:c r="D49" s="15" t="str">
        <x:v>航海仪器</x:v>
      </x:c>
      <x:c r="E49" s="30" t="n">
        <x:v>5</x:v>
      </x:c>
      <x:c r="F49" s="30" t="n">
        <x:v>650</x:v>
      </x:c>
      <x:c r="G49" s="30" t="n">
        <x:v>3</x:v>
      </x:c>
      <x:c r="H49" s="30" t="n">
        <x:v>9</x:v>
      </x:c>
      <x:c r="I49" s="54" t="n">
        <x:v>1.14</x:v>
      </x:c>
      <x:c r="J49" s="15" t="str">
        <x:v>进口/区域转口</x:v>
      </x:c>
      <x:c r="K49" s="15" t="str">
        <x:v>每7个游戏日补充3货载单位。由区域商队或NPC货船带入；为港口转售供货，不改变商品的原产地区。</x:v>
      </x:c>
      <x:c r="L49" s="15" t="str">
        <x:v>港口发展度达到D5（≥1000点）；不要求武装度。</x:v>
      </x:c>
    </x:row>
    <x:row r="50" ht="42" customHeight="1">
      <x:c r="A50" s="13" t="str">
        <x:v>P005</x:v>
      </x:c>
      <x:c r="B50" s="13" t="str">
        <x:v>卑尔根</x:v>
      </x:c>
      <x:c r="C50" s="13" t="str">
        <x:v>SP005</x:v>
      </x:c>
      <x:c r="D50" s="13" t="str">
        <x:v>极昼白鳕礼匣</x:v>
      </x:c>
      <x:c r="E50" s="27" t="n">
        <x:v>3</x:v>
      </x:c>
      <x:c r="F50" s="27" t="n">
        <x:v>285</x:v>
      </x:c>
      <x:c r="G50" s="27" t="n">
        <x:v>9</x:v>
      </x:c>
      <x:c r="H50" s="27" t="n">
        <x:v>18</x:v>
      </x:c>
      <x:c r="I50" s="52" t="n">
        <x:v>0.78</x:v>
      </x:c>
      <x:c r="J50" s="13" t="str">
        <x:v>港口独占原创工坊特产</x:v>
      </x:c>
      <x:c r="K50" s="13" t="str">
        <x:v>每7个游戏日由「高架风干场」交货9货载；只在本港形成稳定产源。</x:v>
      </x:c>
      <x:c r="L50" s="13" t="str">
        <x:v>港口发展度达到D3（≥450点）时，投资项目「高架风干场」自动完工；不要求武装度。</x:v>
      </x:c>
    </x:row>
    <x:row r="51" ht="42" customHeight="1">
      <x:c r="A51" s="15" t="str">
        <x:v>P006</x:v>
      </x:c>
      <x:c r="B51" s="15" t="str">
        <x:v>哥本哈根</x:v>
      </x:c>
      <x:c r="C51" s="15" t="str">
        <x:v>G002</x:v>
      </x:c>
      <x:c r="D51" s="15" t="str">
        <x:v>大麦</x:v>
      </x:c>
      <x:c r="E51" s="30" t="n">
        <x:v>0</x:v>
      </x:c>
      <x:c r="F51" s="30" t="n">
        <x:v>35</x:v>
      </x:c>
      <x:c r="G51" s="30" t="n">
        <x:v>225</x:v>
      </x:c>
      <x:c r="H51" s="30" t="n">
        <x:v>675</x:v>
      </x:c>
      <x:c r="I51" s="54" t="n">
        <x:v>0.74</x:v>
      </x:c>
      <x:c r="J51" s="15" t="str">
        <x:v>本港生产/腹地集散/港内加工</x:v>
      </x:c>
      <x:c r="K51" s="15" t="str">
        <x:v>每7个游戏日补充225货载单位。本地、所属岛链或相连腹地供货；成品由港内工坊加工，贸易规模是本作设计。</x:v>
      </x:c>
      <x:c r="L51" s="15" t="str">
        <x:v>港口发展度达到D0（≥0点）；不要求武装度。</x:v>
      </x:c>
    </x:row>
    <x:row r="52" ht="42" customHeight="1">
      <x:c r="A52" s="13" t="str">
        <x:v>P006</x:v>
      </x:c>
      <x:c r="B52" s="13" t="str">
        <x:v>哥本哈根</x:v>
      </x:c>
      <x:c r="C52" s="13" t="str">
        <x:v>G015</x:v>
      </x:c>
      <x:c r="D52" s="13" t="str">
        <x:v>咸鱼</x:v>
      </x:c>
      <x:c r="E52" s="27" t="n">
        <x:v>0</x:v>
      </x:c>
      <x:c r="F52" s="27" t="n">
        <x:v>65</x:v>
      </x:c>
      <x:c r="G52" s="27" t="n">
        <x:v>175</x:v>
      </x:c>
      <x:c r="H52" s="27" t="n">
        <x:v>525</x:v>
      </x:c>
      <x:c r="I52" s="52" t="n">
        <x:v>0.74</x:v>
      </x:c>
      <x:c r="J52" s="13" t="str">
        <x:v>本港生产/腹地集散/港内加工</x:v>
      </x:c>
      <x:c r="K52" s="13" t="str">
        <x:v>每7个游戏日补充175货载单位。本地、所属岛链或相连腹地供货；成品由港内工坊加工，贸易规模是本作设计。</x:v>
      </x:c>
      <x:c r="L52" s="13" t="str">
        <x:v>港口发展度达到D0（≥0点）；不要求武装度。</x:v>
      </x:c>
    </x:row>
    <x:row r="53" ht="42" customHeight="1">
      <x:c r="A53" s="15" t="str">
        <x:v>P006</x:v>
      </x:c>
      <x:c r="B53" s="15" t="str">
        <x:v>哥本哈根</x:v>
      </x:c>
      <x:c r="C53" s="15" t="str">
        <x:v>G026</x:v>
      </x:c>
      <x:c r="D53" s="15" t="str">
        <x:v>啤酒</x:v>
      </x:c>
      <x:c r="E53" s="30" t="n">
        <x:v>1</x:v>
      </x:c>
      <x:c r="F53" s="30" t="n">
        <x:v>78</x:v>
      </x:c>
      <x:c r="G53" s="30" t="n">
        <x:v>86</x:v>
      </x:c>
      <x:c r="H53" s="30" t="n">
        <x:v>258</x:v>
      </x:c>
      <x:c r="I53" s="54" t="n">
        <x:v>0.74</x:v>
      </x:c>
      <x:c r="J53" s="15" t="str">
        <x:v>本港生产/腹地集散/港内加工</x:v>
      </x:c>
      <x:c r="K53" s="15" t="str">
        <x:v>每7个游戏日补充86货载单位。本地、所属岛链或相连腹地供货；成品由港内工坊加工，贸易规模是本作设计。</x:v>
      </x:c>
      <x:c r="L53" s="15" t="str">
        <x:v>港口发展度达到D1（≥100点）；不要求武装度。</x:v>
      </x:c>
    </x:row>
    <x:row r="54" ht="42" customHeight="1">
      <x:c r="A54" s="13" t="str">
        <x:v>P006</x:v>
      </x:c>
      <x:c r="B54" s="13" t="str">
        <x:v>哥本哈根</x:v>
      </x:c>
      <x:c r="C54" s="13" t="str">
        <x:v>G056</x:v>
      </x:c>
      <x:c r="D54" s="13" t="str">
        <x:v>橡木</x:v>
      </x:c>
      <x:c r="E54" s="27" t="n">
        <x:v>1</x:v>
      </x:c>
      <x:c r="F54" s="27" t="n">
        <x:v>90</x:v>
      </x:c>
      <x:c r="G54" s="27" t="n">
        <x:v>131</x:v>
      </x:c>
      <x:c r="H54" s="27" t="n">
        <x:v>393</x:v>
      </x:c>
      <x:c r="I54" s="52" t="n">
        <x:v>0.74</x:v>
      </x:c>
      <x:c r="J54" s="13" t="str">
        <x:v>本港生产/腹地集散/港内加工</x:v>
      </x:c>
      <x:c r="K54" s="13" t="str">
        <x:v>每7个游戏日补充131货载单位。本地、所属岛链或相连腹地供货；成品由港内工坊加工，贸易规模是本作设计。</x:v>
      </x:c>
      <x:c r="L54" s="13" t="str">
        <x:v>港口发展度达到D1（≥100点）；不要求武装度。</x:v>
      </x:c>
    </x:row>
    <x:row r="55" ht="42" customHeight="1">
      <x:c r="A55" s="15" t="str">
        <x:v>P006</x:v>
      </x:c>
      <x:c r="B55" s="15" t="str">
        <x:v>哥本哈根</x:v>
      </x:c>
      <x:c r="C55" s="15" t="str">
        <x:v>G041</x:v>
      </x:c>
      <x:c r="D55" s="15" t="str">
        <x:v>大麻纤维</x:v>
      </x:c>
      <x:c r="E55" s="30" t="n">
        <x:v>2</x:v>
      </x:c>
      <x:c r="F55" s="30" t="n">
        <x:v>70</x:v>
      </x:c>
      <x:c r="G55" s="30" t="n">
        <x:v>66</x:v>
      </x:c>
      <x:c r="H55" s="30" t="n">
        <x:v>198</x:v>
      </x:c>
      <x:c r="I55" s="54" t="n">
        <x:v>1.08</x:v>
      </x:c>
      <x:c r="J55" s="15" t="str">
        <x:v>进口/区域转口</x:v>
      </x:c>
      <x:c r="K55" s="15" t="str">
        <x:v>每7个游戏日补充66货载单位。由区域商队或NPC货船带入；为港口转售供货，不改变商品的原产地区。</x:v>
      </x:c>
      <x:c r="L55" s="15" t="str">
        <x:v>港口发展度达到D2（≥250点）；不要求武装度。</x:v>
      </x:c>
    </x:row>
    <x:row r="56" ht="42" customHeight="1">
      <x:c r="A56" s="13" t="str">
        <x:v>P006</x:v>
      </x:c>
      <x:c r="B56" s="13" t="str">
        <x:v>哥本哈根</x:v>
      </x:c>
      <x:c r="C56" s="13" t="str">
        <x:v>G045</x:v>
      </x:c>
      <x:c r="D56" s="13" t="str">
        <x:v>毛呢</x:v>
      </x:c>
      <x:c r="E56" s="27" t="n">
        <x:v>3</x:v>
      </x:c>
      <x:c r="F56" s="27" t="n">
        <x:v>260</x:v>
      </x:c>
      <x:c r="G56" s="27" t="n">
        <x:v>33</x:v>
      </x:c>
      <x:c r="H56" s="27" t="n">
        <x:v>99</x:v>
      </x:c>
      <x:c r="I56" s="52" t="n">
        <x:v>1.14</x:v>
      </x:c>
      <x:c r="J56" s="13" t="str">
        <x:v>进口/区域转口</x:v>
      </x:c>
      <x:c r="K56" s="13" t="str">
        <x:v>每7个游戏日补充33货载单位。由区域商队或NPC货船带入；为港口转售供货，不改变商品的原产地区。</x:v>
      </x:c>
      <x:c r="L56" s="13" t="str">
        <x:v>港口发展度达到D3（≥450点）；不要求武装度。</x:v>
      </x:c>
    </x:row>
    <x:row r="57" ht="42" customHeight="1">
      <x:c r="A57" s="15" t="str">
        <x:v>P006</x:v>
      </x:c>
      <x:c r="B57" s="15" t="str">
        <x:v>哥本哈根</x:v>
      </x:c>
      <x:c r="C57" s="15" t="str">
        <x:v>G067</x:v>
      </x:c>
      <x:c r="D57" s="15" t="str">
        <x:v>火药</x:v>
      </x:c>
      <x:c r="E57" s="30" t="n">
        <x:v>4</x:v>
      </x:c>
      <x:c r="F57" s="30" t="n">
        <x:v>265</x:v>
      </x:c>
      <x:c r="G57" s="30" t="n">
        <x:v>54</x:v>
      </x:c>
      <x:c r="H57" s="30" t="n">
        <x:v>162</x:v>
      </x:c>
      <x:c r="I57" s="54" t="n">
        <x:v>0.87</x:v>
      </x:c>
      <x:c r="J57" s="15" t="str">
        <x:v>本港生产/腹地集散/港内加工</x:v>
      </x:c>
      <x:c r="K57" s="15" t="str">
        <x:v>每7个游戏日补充54货载单位。本地、所属岛链或相连腹地供货；成品由港内工坊加工，贸易规模是本作设计。</x:v>
      </x:c>
      <x:c r="L57" s="15" t="str">
        <x:v>港口发展度达到D4（≥700点）；不要求武装度。</x:v>
      </x:c>
    </x:row>
    <x:row r="58" ht="42" customHeight="1">
      <x:c r="A58" s="13" t="str">
        <x:v>P006</x:v>
      </x:c>
      <x:c r="B58" s="13" t="str">
        <x:v>哥本哈根</x:v>
      </x:c>
      <x:c r="C58" s="13" t="str">
        <x:v>G099</x:v>
      </x:c>
      <x:c r="D58" s="13" t="str">
        <x:v>航海仪器</x:v>
      </x:c>
      <x:c r="E58" s="27" t="n">
        <x:v>5</x:v>
      </x:c>
      <x:c r="F58" s="27" t="n">
        <x:v>650</x:v>
      </x:c>
      <x:c r="G58" s="27" t="n">
        <x:v>8</x:v>
      </x:c>
      <x:c r="H58" s="27" t="n">
        <x:v>24</x:v>
      </x:c>
      <x:c r="I58" s="52" t="n">
        <x:v>0.87</x:v>
      </x:c>
      <x:c r="J58" s="13" t="str">
        <x:v>本港生产/腹地集散/港内加工</x:v>
      </x:c>
      <x:c r="K58" s="13" t="str">
        <x:v>每7个游戏日补充8货载单位。本地、所属岛链或相连腹地供货；成品由港内工坊加工，贸易规模是本作设计。</x:v>
      </x:c>
      <x:c r="L58" s="13" t="str">
        <x:v>港口发展度达到D5（≥1000点）；不要求武装度。</x:v>
      </x:c>
    </x:row>
    <x:row r="59" ht="42" customHeight="1">
      <x:c r="A59" s="15" t="str">
        <x:v>P006</x:v>
      </x:c>
      <x:c r="B59" s="15" t="str">
        <x:v>哥本哈根</x:v>
      </x:c>
      <x:c r="C59" s="15" t="str">
        <x:v>SP006</x:v>
      </x:c>
      <x:c r="D59" s="15" t="str">
        <x:v>双狮黄铜分规</x:v>
      </x:c>
      <x:c r="E59" s="30" t="n">
        <x:v>4</x:v>
      </x:c>
      <x:c r="F59" s="30" t="n">
        <x:v>840</x:v>
      </x:c>
      <x:c r="G59" s="30" t="n">
        <x:v>8</x:v>
      </x:c>
      <x:c r="H59" s="30" t="n">
        <x:v>16</x:v>
      </x:c>
      <x:c r="I59" s="54" t="n">
        <x:v>0.78</x:v>
      </x:c>
      <x:c r="J59" s="15" t="str">
        <x:v>港口独占原创工坊特产</x:v>
      </x:c>
      <x:c r="K59" s="15" t="str">
        <x:v>每7个游戏日由「海峡量具工坊」交货8货载；只在本港形成稳定产源。</x:v>
      </x:c>
      <x:c r="L59" s="15" t="str">
        <x:v>港口发展度达到D4（≥700点）时，投资项目「海峡量具工坊」自动完工；不要求武装度。</x:v>
      </x:c>
    </x:row>
    <x:row r="60" ht="42" customHeight="1">
      <x:c r="A60" s="13" t="str">
        <x:v>P007</x:v>
      </x:c>
      <x:c r="B60" s="13" t="str">
        <x:v>斯德哥尔摩</x:v>
      </x:c>
      <x:c r="C60" s="13" t="str">
        <x:v>G057</x:v>
      </x:c>
      <x:c r="D60" s="13" t="str">
        <x:v>松木</x:v>
      </x:c>
      <x:c r="E60" s="27" t="n">
        <x:v>0</x:v>
      </x:c>
      <x:c r="F60" s="27" t="n">
        <x:v>70</x:v>
      </x:c>
      <x:c r="G60" s="27" t="n">
        <x:v>142</x:v>
      </x:c>
      <x:c r="H60" s="27" t="n">
        <x:v>426</x:v>
      </x:c>
      <x:c r="I60" s="52" t="n">
        <x:v>0.74</x:v>
      </x:c>
      <x:c r="J60" s="13" t="str">
        <x:v>本港生产/腹地集散/港内加工</x:v>
      </x:c>
      <x:c r="K60" s="13" t="str">
        <x:v>每7个游戏日补充142货载单位。本地、所属岛链或相连腹地供货；成品由港内工坊加工，贸易规模是本作设计。</x:v>
      </x:c>
      <x:c r="L60" s="13" t="str">
        <x:v>港口发展度达到D0（≥0点）；不要求武装度。</x:v>
      </x:c>
    </x:row>
    <x:row r="61" ht="42" customHeight="1">
      <x:c r="A61" s="15" t="str">
        <x:v>P007</x:v>
      </x:c>
      <x:c r="B61" s="15" t="str">
        <x:v>斯德哥尔摩</x:v>
      </x:c>
      <x:c r="C61" s="15" t="str">
        <x:v>G015</x:v>
      </x:c>
      <x:c r="D61" s="15" t="str">
        <x:v>咸鱼</x:v>
      </x:c>
      <x:c r="E61" s="30" t="n">
        <x:v>0</x:v>
      </x:c>
      <x:c r="F61" s="30" t="n">
        <x:v>65</x:v>
      </x:c>
      <x:c r="G61" s="30" t="n">
        <x:v>181</x:v>
      </x:c>
      <x:c r="H61" s="30" t="n">
        <x:v>543</x:v>
      </x:c>
      <x:c r="I61" s="54" t="n">
        <x:v>0.74</x:v>
      </x:c>
      <x:c r="J61" s="15" t="str">
        <x:v>本港生产/腹地集散/港内加工</x:v>
      </x:c>
      <x:c r="K61" s="15" t="str">
        <x:v>每7个游戏日补充181货载单位。本地、所属岛链或相连腹地供货；成品由港内工坊加工，贸易规模是本作设计。</x:v>
      </x:c>
      <x:c r="L61" s="15" t="str">
        <x:v>港口发展度达到D0（≥0点）；不要求武装度。</x:v>
      </x:c>
    </x:row>
    <x:row r="62" ht="42" customHeight="1">
      <x:c r="A62" s="13" t="str">
        <x:v>P007</x:v>
      </x:c>
      <x:c r="B62" s="13" t="str">
        <x:v>斯德哥尔摩</x:v>
      </x:c>
      <x:c r="C62" s="13" t="str">
        <x:v>G058</x:v>
      </x:c>
      <x:c r="D62" s="13" t="str">
        <x:v>铁锭</x:v>
      </x:c>
      <x:c r="E62" s="27" t="n">
        <x:v>1</x:v>
      </x:c>
      <x:c r="F62" s="27" t="n">
        <x:v>120</x:v>
      </x:c>
      <x:c r="G62" s="27" t="n">
        <x:v>49</x:v>
      </x:c>
      <x:c r="H62" s="27" t="n">
        <x:v>147</x:v>
      </x:c>
      <x:c r="I62" s="52" t="n">
        <x:v>0.74</x:v>
      </x:c>
      <x:c r="J62" s="13" t="str">
        <x:v>本港生产/腹地集散/港内加工</x:v>
      </x:c>
      <x:c r="K62" s="13" t="str">
        <x:v>每7个游戏日补充49货载单位。本地、所属岛链或相连腹地供货；成品由港内工坊加工，贸易规模是本作设计。</x:v>
      </x:c>
      <x:c r="L62" s="13" t="str">
        <x:v>港口发展度达到D1（≥100点）；不要求武装度。</x:v>
      </x:c>
    </x:row>
    <x:row r="63" ht="42" customHeight="1">
      <x:c r="A63" s="15" t="str">
        <x:v>P007</x:v>
      </x:c>
      <x:c r="B63" s="15" t="str">
        <x:v>斯德哥尔摩</x:v>
      </x:c>
      <x:c r="C63" s="15" t="str">
        <x:v>G059</x:v>
      </x:c>
      <x:c r="D63" s="15" t="str">
        <x:v>铜锭</x:v>
      </x:c>
      <x:c r="E63" s="30" t="n">
        <x:v>1</x:v>
      </x:c>
      <x:c r="F63" s="30" t="n">
        <x:v>185</x:v>
      </x:c>
      <x:c r="G63" s="30" t="n">
        <x:v>49</x:v>
      </x:c>
      <x:c r="H63" s="30" t="n">
        <x:v>147</x:v>
      </x:c>
      <x:c r="I63" s="54" t="n">
        <x:v>0.74</x:v>
      </x:c>
      <x:c r="J63" s="15" t="str">
        <x:v>本港生产/腹地集散/港内加工</x:v>
      </x:c>
      <x:c r="K63" s="15" t="str">
        <x:v>每7个游戏日补充49货载单位。本地、所属岛链或相连腹地供货；成品由港内工坊加工，贸易规模是本作设计。</x:v>
      </x:c>
      <x:c r="L63" s="15" t="str">
        <x:v>港口发展度达到D1（≥100点）；不要求武装度。</x:v>
      </x:c>
    </x:row>
    <x:row r="64" ht="42" customHeight="1">
      <x:c r="A64" s="13" t="str">
        <x:v>P007</x:v>
      </x:c>
      <x:c r="B64" s="13" t="str">
        <x:v>斯德哥尔摩</x:v>
      </x:c>
      <x:c r="C64" s="13" t="str">
        <x:v>G090</x:v>
      </x:c>
      <x:c r="D64" s="13" t="str">
        <x:v>树脂</x:v>
      </x:c>
      <x:c r="E64" s="27" t="n">
        <x:v>2</x:v>
      </x:c>
      <x:c r="F64" s="27" t="n">
        <x:v>95</x:v>
      </x:c>
      <x:c r="G64" s="27" t="n">
        <x:v>77</x:v>
      </x:c>
      <x:c r="H64" s="27" t="n">
        <x:v>231</x:v>
      </x:c>
      <x:c r="I64" s="52" t="n">
        <x:v>0.8</x:v>
      </x:c>
      <x:c r="J64" s="13" t="str">
        <x:v>本港生产/腹地集散/港内加工</x:v>
      </x:c>
      <x:c r="K64" s="13" t="str">
        <x:v>每7个游戏日补充77货载单位。本地、所属岛链或相连腹地供货；成品由港内工坊加工，贸易规模是本作设计。</x:v>
      </x:c>
      <x:c r="L64" s="13" t="str">
        <x:v>港口发展度达到D2（≥250点）；不要求武装度。</x:v>
      </x:c>
    </x:row>
    <x:row r="65" ht="42" customHeight="1">
      <x:c r="A65" s="15" t="str">
        <x:v>P007</x:v>
      </x:c>
      <x:c r="B65" s="15" t="str">
        <x:v>斯德哥尔摩</x:v>
      </x:c>
      <x:c r="C65" s="15" t="str">
        <x:v>G088</x:v>
      </x:c>
      <x:c r="D65" s="15" t="str">
        <x:v>蜂蜡</x:v>
      </x:c>
      <x:c r="E65" s="30" t="n">
        <x:v>3</x:v>
      </x:c>
      <x:c r="F65" s="30" t="n">
        <x:v>110</x:v>
      </x:c>
      <x:c r="G65" s="30" t="n">
        <x:v>65</x:v>
      </x:c>
      <x:c r="H65" s="30" t="n">
        <x:v>195</x:v>
      </x:c>
      <x:c r="I65" s="54" t="n">
        <x:v>0.8</x:v>
      </x:c>
      <x:c r="J65" s="15" t="str">
        <x:v>本港生产/腹地集散/港内加工</x:v>
      </x:c>
      <x:c r="K65" s="15" t="str">
        <x:v>每7个游戏日补充65货载单位。本地、所属岛链或相连腹地供货；成品由港内工坊加工，贸易规模是本作设计。</x:v>
      </x:c>
      <x:c r="L65" s="15" t="str">
        <x:v>港口发展度达到D3（≥450点）；不要求武装度。</x:v>
      </x:c>
    </x:row>
    <x:row r="66" ht="42" customHeight="1">
      <x:c r="A66" s="13" t="str">
        <x:v>P007</x:v>
      </x:c>
      <x:c r="B66" s="13" t="str">
        <x:v>斯德哥尔摩</x:v>
      </x:c>
      <x:c r="C66" s="13" t="str">
        <x:v>G068</x:v>
      </x:c>
      <x:c r="D66" s="13" t="str">
        <x:v>铁工具</x:v>
      </x:c>
      <x:c r="E66" s="27" t="n">
        <x:v>4</x:v>
      </x:c>
      <x:c r="F66" s="27" t="n">
        <x:v>190</x:v>
      </x:c>
      <x:c r="G66" s="27" t="n">
        <x:v>56</x:v>
      </x:c>
      <x:c r="H66" s="27" t="n">
        <x:v>168</x:v>
      </x:c>
      <x:c r="I66" s="52" t="n">
        <x:v>0.87</x:v>
      </x:c>
      <x:c r="J66" s="13" t="str">
        <x:v>本港生产/腹地集散/港内加工</x:v>
      </x:c>
      <x:c r="K66" s="13" t="str">
        <x:v>每7个游戏日补充56货载单位。本地、所属岛链或相连腹地供货；成品由港内工坊加工，贸易规模是本作设计。</x:v>
      </x:c>
      <x:c r="L66" s="13" t="str">
        <x:v>港口发展度达到D4（≥700点）；不要求武装度。</x:v>
      </x:c>
    </x:row>
    <x:row r="67" ht="42" customHeight="1">
      <x:c r="A67" s="15" t="str">
        <x:v>P007</x:v>
      </x:c>
      <x:c r="B67" s="15" t="str">
        <x:v>斯德哥尔摩</x:v>
      </x:c>
      <x:c r="C67" s="15" t="str">
        <x:v>G100</x:v>
      </x:c>
      <x:c r="D67" s="15" t="str">
        <x:v>钟表</x:v>
      </x:c>
      <x:c r="E67" s="30" t="n">
        <x:v>5</x:v>
      </x:c>
      <x:c r="F67" s="30" t="n">
        <x:v>900</x:v>
      </x:c>
      <x:c r="G67" s="30" t="n">
        <x:v>8</x:v>
      </x:c>
      <x:c r="H67" s="30" t="n">
        <x:v>24</x:v>
      </x:c>
      <x:c r="I67" s="54" t="n">
        <x:v>0.87</x:v>
      </x:c>
      <x:c r="J67" s="15" t="str">
        <x:v>本港生产/腹地集散/港内加工</x:v>
      </x:c>
      <x:c r="K67" s="15" t="str">
        <x:v>每7个游戏日补充8货载单位。本地、所属岛链或相连腹地供货；成品由港内工坊加工，贸易规模是本作设计。</x:v>
      </x:c>
      <x:c r="L67" s="15" t="str">
        <x:v>港口发展度达到D5（≥1000点）；不要求武装度。</x:v>
      </x:c>
    </x:row>
    <x:row r="68" ht="42" customHeight="1">
      <x:c r="A68" s="13" t="str">
        <x:v>P007</x:v>
      </x:c>
      <x:c r="B68" s="13" t="str">
        <x:v>斯德哥尔摩</x:v>
      </x:c>
      <x:c r="C68" s="13" t="str">
        <x:v>SP007</x:v>
      </x:c>
      <x:c r="D68" s="13" t="str">
        <x:v>铜冠折影烛台</x:v>
      </x:c>
      <x:c r="E68" s="27" t="n">
        <x:v>3</x:v>
      </x:c>
      <x:c r="F68" s="27" t="n">
        <x:v>620</x:v>
      </x:c>
      <x:c r="G68" s="27" t="n">
        <x:v>10</x:v>
      </x:c>
      <x:c r="H68" s="27" t="n">
        <x:v>20</x:v>
      </x:c>
      <x:c r="I68" s="52" t="n">
        <x:v>0.78</x:v>
      </x:c>
      <x:c r="J68" s="13" t="str">
        <x:v>港口独占原创工坊特产</x:v>
      </x:c>
      <x:c r="K68" s="13" t="str">
        <x:v>每7个游戏日由「群岛铜器工坊」交货10货载；只在本港形成稳定产源。</x:v>
      </x:c>
      <x:c r="L68" s="13" t="str">
        <x:v>港口发展度达到D3（≥450点）时，投资项目「群岛铜器工坊」自动完工；不要求武装度。</x:v>
      </x:c>
    </x:row>
    <x:row r="69" ht="42" customHeight="1">
      <x:c r="A69" s="15" t="str">
        <x:v>P008</x:v>
      </x:c>
      <x:c r="B69" s="15" t="str">
        <x:v>但泽</x:v>
      </x:c>
      <x:c r="C69" s="15" t="str">
        <x:v>G001</x:v>
      </x:c>
      <x:c r="D69" s="15" t="str">
        <x:v>小麦</x:v>
      </x:c>
      <x:c r="E69" s="30" t="n">
        <x:v>0</x:v>
      </x:c>
      <x:c r="F69" s="30" t="n">
        <x:v>45</x:v>
      </x:c>
      <x:c r="G69" s="30" t="n">
        <x:v>211</x:v>
      </x:c>
      <x:c r="H69" s="30" t="n">
        <x:v>633</x:v>
      </x:c>
      <x:c r="I69" s="54" t="n">
        <x:v>0.74</x:v>
      </x:c>
      <x:c r="J69" s="15" t="str">
        <x:v>本港生产/腹地集散/港内加工</x:v>
      </x:c>
      <x:c r="K69" s="15" t="str">
        <x:v>每7个游戏日补充211货载单位。本地、所属岛链或相连腹地供货；成品由港内工坊加工，贸易规模是本作设计。</x:v>
      </x:c>
      <x:c r="L69" s="15" t="str">
        <x:v>港口发展度达到D0（≥0点）；不要求武装度。</x:v>
      </x:c>
    </x:row>
    <x:row r="70" ht="42" customHeight="1">
      <x:c r="A70" s="13" t="str">
        <x:v>P008</x:v>
      </x:c>
      <x:c r="B70" s="13" t="str">
        <x:v>但泽</x:v>
      </x:c>
      <x:c r="C70" s="13" t="str">
        <x:v>G003</x:v>
      </x:c>
      <x:c r="D70" s="13" t="str">
        <x:v>黑麦</x:v>
      </x:c>
      <x:c r="E70" s="27" t="n">
        <x:v>0</x:v>
      </x:c>
      <x:c r="F70" s="27" t="n">
        <x:v>38</x:v>
      </x:c>
      <x:c r="G70" s="27" t="n">
        <x:v>211</x:v>
      </x:c>
      <x:c r="H70" s="27" t="n">
        <x:v>633</x:v>
      </x:c>
      <x:c r="I70" s="52" t="n">
        <x:v>0.74</x:v>
      </x:c>
      <x:c r="J70" s="13" t="str">
        <x:v>本港生产/腹地集散/港内加工</x:v>
      </x:c>
      <x:c r="K70" s="13" t="str">
        <x:v>每7个游戏日补充211货载单位。本地、所属岛链或相连腹地供货；成品由港内工坊加工，贸易规模是本作设计。</x:v>
      </x:c>
      <x:c r="L70" s="13" t="str">
        <x:v>港口发展度达到D0（≥0点）；不要求武装度。</x:v>
      </x:c>
    </x:row>
    <x:row r="71" ht="42" customHeight="1">
      <x:c r="A71" s="15" t="str">
        <x:v>P008</x:v>
      </x:c>
      <x:c r="B71" s="15" t="str">
        <x:v>但泽</x:v>
      </x:c>
      <x:c r="C71" s="15" t="str">
        <x:v>G056</x:v>
      </x:c>
      <x:c r="D71" s="15" t="str">
        <x:v>橡木</x:v>
      </x:c>
      <x:c r="E71" s="30" t="n">
        <x:v>1</x:v>
      </x:c>
      <x:c r="F71" s="30" t="n">
        <x:v>90</x:v>
      </x:c>
      <x:c r="G71" s="30" t="n">
        <x:v>122</x:v>
      </x:c>
      <x:c r="H71" s="30" t="n">
        <x:v>366</x:v>
      </x:c>
      <x:c r="I71" s="54" t="n">
        <x:v>0.74</x:v>
      </x:c>
      <x:c r="J71" s="15" t="str">
        <x:v>本港生产/腹地集散/港内加工</x:v>
      </x:c>
      <x:c r="K71" s="15" t="str">
        <x:v>每7个游戏日补充122货载单位。本地、所属岛链或相连腹地供货；成品由港内工坊加工，贸易规模是本作设计。</x:v>
      </x:c>
      <x:c r="L71" s="15" t="str">
        <x:v>港口发展度达到D1（≥100点）；不要求武装度。</x:v>
      </x:c>
    </x:row>
    <x:row r="72" ht="42" customHeight="1">
      <x:c r="A72" s="13" t="str">
        <x:v>P008</x:v>
      </x:c>
      <x:c r="B72" s="13" t="str">
        <x:v>但泽</x:v>
      </x:c>
      <x:c r="C72" s="13" t="str">
        <x:v>G040</x:v>
      </x:c>
      <x:c r="D72" s="13" t="str">
        <x:v>亚麻</x:v>
      </x:c>
      <x:c r="E72" s="27" t="n">
        <x:v>1</x:v>
      </x:c>
      <x:c r="F72" s="27" t="n">
        <x:v>85</x:v>
      </x:c>
      <x:c r="G72" s="27" t="n">
        <x:v>133</x:v>
      </x:c>
      <x:c r="H72" s="27" t="n">
        <x:v>399</x:v>
      </x:c>
      <x:c r="I72" s="52" t="n">
        <x:v>0.74</x:v>
      </x:c>
      <x:c r="J72" s="13" t="str">
        <x:v>本港生产/腹地集散/港内加工</x:v>
      </x:c>
      <x:c r="K72" s="13" t="str">
        <x:v>每7个游戏日补充133货载单位。本地、所属岛链或相连腹地供货；成品由港内工坊加工，贸易规模是本作设计。</x:v>
      </x:c>
      <x:c r="L72" s="13" t="str">
        <x:v>港口发展度达到D1（≥100点）；不要求武装度。</x:v>
      </x:c>
    </x:row>
    <x:row r="73" ht="42" customHeight="1">
      <x:c r="A73" s="15" t="str">
        <x:v>P008</x:v>
      </x:c>
      <x:c r="B73" s="15" t="str">
        <x:v>但泽</x:v>
      </x:c>
      <x:c r="C73" s="15" t="str">
        <x:v>G041</x:v>
      </x:c>
      <x:c r="D73" s="15" t="str">
        <x:v>大麻纤维</x:v>
      </x:c>
      <x:c r="E73" s="30" t="n">
        <x:v>2</x:v>
      </x:c>
      <x:c r="F73" s="30" t="n">
        <x:v>70</x:v>
      </x:c>
      <x:c r="G73" s="30" t="n">
        <x:v>119</x:v>
      </x:c>
      <x:c r="H73" s="30" t="n">
        <x:v>357</x:v>
      </x:c>
      <x:c r="I73" s="54" t="n">
        <x:v>0.8</x:v>
      </x:c>
      <x:c r="J73" s="15" t="str">
        <x:v>本港生产/腹地集散/港内加工</x:v>
      </x:c>
      <x:c r="K73" s="15" t="str">
        <x:v>每7个游戏日补充119货载单位。本地、所属岛链或相连腹地供货；成品由港内工坊加工，贸易规模是本作设计。</x:v>
      </x:c>
      <x:c r="L73" s="15" t="str">
        <x:v>港口发展度达到D2（≥250点）；不要求武装度。</x:v>
      </x:c>
    </x:row>
    <x:row r="74" ht="42" customHeight="1">
      <x:c r="A74" s="13" t="str">
        <x:v>P008</x:v>
      </x:c>
      <x:c r="B74" s="13" t="str">
        <x:v>但泽</x:v>
      </x:c>
      <x:c r="C74" s="13" t="str">
        <x:v>G076</x:v>
      </x:c>
      <x:c r="D74" s="13" t="str">
        <x:v>琥珀</x:v>
      </x:c>
      <x:c r="E74" s="27" t="n">
        <x:v>3</x:v>
      </x:c>
      <x:c r="F74" s="27" t="n">
        <x:v>390</x:v>
      </x:c>
      <x:c r="G74" s="27" t="n">
        <x:v>7</x:v>
      </x:c>
      <x:c r="H74" s="27" t="n">
        <x:v>21</x:v>
      </x:c>
      <x:c r="I74" s="52" t="n">
        <x:v>0.8</x:v>
      </x:c>
      <x:c r="J74" s="13" t="str">
        <x:v>本港生产/腹地集散/港内加工</x:v>
      </x:c>
      <x:c r="K74" s="13" t="str">
        <x:v>每7个游戏日补充7货载单位。本地、所属岛链或相连腹地供货；成品由港内工坊加工，贸易规模是本作设计。</x:v>
      </x:c>
      <x:c r="L74" s="13" t="str">
        <x:v>港口发展度达到D3（≥450点）；不要求武装度。</x:v>
      </x:c>
    </x:row>
    <x:row r="75" ht="42" customHeight="1">
      <x:c r="A75" s="15" t="str">
        <x:v>P008</x:v>
      </x:c>
      <x:c r="B75" s="15" t="str">
        <x:v>但泽</x:v>
      </x:c>
      <x:c r="C75" s="15" t="str">
        <x:v>G044</x:v>
      </x:c>
      <x:c r="D75" s="15" t="str">
        <x:v>麻布</x:v>
      </x:c>
      <x:c r="E75" s="30" t="n">
        <x:v>4</x:v>
      </x:c>
      <x:c r="F75" s="30" t="n">
        <x:v>145</x:v>
      </x:c>
      <x:c r="G75" s="30" t="n">
        <x:v>51</x:v>
      </x:c>
      <x:c r="H75" s="30" t="n">
        <x:v>153</x:v>
      </x:c>
      <x:c r="I75" s="54" t="n">
        <x:v>0.87</x:v>
      </x:c>
      <x:c r="J75" s="15" t="str">
        <x:v>本港生产/腹地集散/港内加工</x:v>
      </x:c>
      <x:c r="K75" s="15" t="str">
        <x:v>每7个游戏日补充51货载单位。本地、所属岛链或相连腹地供货；成品由港内工坊加工，贸易规模是本作设计。</x:v>
      </x:c>
      <x:c r="L75" s="15" t="str">
        <x:v>港口发展度达到D4（≥700点）；不要求武装度。</x:v>
      </x:c>
    </x:row>
    <x:row r="76" ht="42" customHeight="1">
      <x:c r="A76" s="13" t="str">
        <x:v>P008</x:v>
      </x:c>
      <x:c r="B76" s="13" t="str">
        <x:v>但泽</x:v>
      </x:c>
      <x:c r="C76" s="13" t="str">
        <x:v>G073</x:v>
      </x:c>
      <x:c r="D76" s="13" t="str">
        <x:v>珠宝</x:v>
      </x:c>
      <x:c r="E76" s="27" t="n">
        <x:v>5</x:v>
      </x:c>
      <x:c r="F76" s="27" t="n">
        <x:v>760</x:v>
      </x:c>
      <x:c r="G76" s="27" t="n">
        <x:v>7</x:v>
      </x:c>
      <x:c r="H76" s="27" t="n">
        <x:v>21</x:v>
      </x:c>
      <x:c r="I76" s="52" t="n">
        <x:v>0.87</x:v>
      </x:c>
      <x:c r="J76" s="13" t="str">
        <x:v>本港生产/腹地集散/港内加工</x:v>
      </x:c>
      <x:c r="K76" s="13" t="str">
        <x:v>每7个游戏日补充7货载单位。本地、所属岛链或相连腹地供货；成品由港内工坊加工，贸易规模是本作设计。</x:v>
      </x:c>
      <x:c r="L76" s="13" t="str">
        <x:v>港口发展度达到D5（≥1000点）；不要求武装度。</x:v>
      </x:c>
    </x:row>
    <x:row r="77" ht="42" customHeight="1">
      <x:c r="A77" s="15" t="str">
        <x:v>P008</x:v>
      </x:c>
      <x:c r="B77" s="15" t="str">
        <x:v>但泽</x:v>
      </x:c>
      <x:c r="C77" s="15" t="str">
        <x:v>SP008</x:v>
      </x:c>
      <x:c r="D77" s="15" t="str">
        <x:v>潮封琥珀玫瑰</x:v>
      </x:c>
      <x:c r="E77" s="30" t="n">
        <x:v>4</x:v>
      </x:c>
      <x:c r="F77" s="30" t="n">
        <x:v>1120</x:v>
      </x:c>
      <x:c r="G77" s="30" t="n">
        <x:v>7</x:v>
      </x:c>
      <x:c r="H77" s="30" t="n">
        <x:v>14</x:v>
      </x:c>
      <x:c r="I77" s="54" t="n">
        <x:v>0.78</x:v>
      </x:c>
      <x:c r="J77" s="15" t="str">
        <x:v>港口独占原创工坊特产</x:v>
      </x:c>
      <x:c r="K77" s="15" t="str">
        <x:v>每7个游戏日由「琥珀雕刻师行会」交货7货载；只在本港形成稳定产源。</x:v>
      </x:c>
      <x:c r="L77" s="15" t="str">
        <x:v>港口发展度达到D4（≥700点）时，投资项目「琥珀雕刻师行会」自动完工；不要求武装度。</x:v>
      </x:c>
    </x:row>
    <x:row r="78" ht="42" customHeight="1">
      <x:c r="A78" s="13" t="str">
        <x:v>P009</x:v>
      </x:c>
      <x:c r="B78" s="13" t="str">
        <x:v>里加</x:v>
      </x:c>
      <x:c r="C78" s="13" t="str">
        <x:v>G057</x:v>
      </x:c>
      <x:c r="D78" s="13" t="str">
        <x:v>松木</x:v>
      </x:c>
      <x:c r="E78" s="27" t="n">
        <x:v>0</x:v>
      </x:c>
      <x:c r="F78" s="27" t="n">
        <x:v>70</x:v>
      </x:c>
      <x:c r="G78" s="27" t="n">
        <x:v>120</x:v>
      </x:c>
      <x:c r="H78" s="27" t="n">
        <x:v>360</x:v>
      </x:c>
      <x:c r="I78" s="52" t="n">
        <x:v>0.74</x:v>
      </x:c>
      <x:c r="J78" s="13" t="str">
        <x:v>本港生产/腹地集散/港内加工</x:v>
      </x:c>
      <x:c r="K78" s="13" t="str">
        <x:v>每7个游戏日补充120货载单位。本地、所属岛链或相连腹地供货；成品由港内工坊加工，贸易规模是本作设计。</x:v>
      </x:c>
      <x:c r="L78" s="13" t="str">
        <x:v>港口发展度达到D0（≥0点）；不要求武装度。</x:v>
      </x:c>
    </x:row>
    <x:row r="79" ht="42" customHeight="1">
      <x:c r="A79" s="15" t="str">
        <x:v>P009</x:v>
      </x:c>
      <x:c r="B79" s="15" t="str">
        <x:v>里加</x:v>
      </x:c>
      <x:c r="C79" s="15" t="str">
        <x:v>G003</x:v>
      </x:c>
      <x:c r="D79" s="15" t="str">
        <x:v>黑麦</x:v>
      </x:c>
      <x:c r="E79" s="30" t="n">
        <x:v>0</x:v>
      </x:c>
      <x:c r="F79" s="30" t="n">
        <x:v>38</x:v>
      </x:c>
      <x:c r="G79" s="30" t="n">
        <x:v>196</x:v>
      </x:c>
      <x:c r="H79" s="30" t="n">
        <x:v>588</x:v>
      </x:c>
      <x:c r="I79" s="54" t="n">
        <x:v>0.74</x:v>
      </x:c>
      <x:c r="J79" s="15" t="str">
        <x:v>本港生产/腹地集散/港内加工</x:v>
      </x:c>
      <x:c r="K79" s="15" t="str">
        <x:v>每7个游戏日补充196货载单位。本地、所属岛链或相连腹地供货；成品由港内工坊加工，贸易规模是本作设计。</x:v>
      </x:c>
      <x:c r="L79" s="15" t="str">
        <x:v>港口发展度达到D0（≥0点）；不要求武装度。</x:v>
      </x:c>
    </x:row>
    <x:row r="80" ht="42" customHeight="1">
      <x:c r="A80" s="13" t="str">
        <x:v>P009</x:v>
      </x:c>
      <x:c r="B80" s="13" t="str">
        <x:v>里加</x:v>
      </x:c>
      <x:c r="C80" s="13" t="str">
        <x:v>G040</x:v>
      </x:c>
      <x:c r="D80" s="13" t="str">
        <x:v>亚麻</x:v>
      </x:c>
      <x:c r="E80" s="27" t="n">
        <x:v>1</x:v>
      </x:c>
      <x:c r="F80" s="27" t="n">
        <x:v>85</x:v>
      </x:c>
      <x:c r="G80" s="27" t="n">
        <x:v>124</x:v>
      </x:c>
      <x:c r="H80" s="27" t="n">
        <x:v>372</x:v>
      </x:c>
      <x:c r="I80" s="52" t="n">
        <x:v>0.74</x:v>
      </x:c>
      <x:c r="J80" s="13" t="str">
        <x:v>本港生产/腹地集散/港内加工</x:v>
      </x:c>
      <x:c r="K80" s="13" t="str">
        <x:v>每7个游戏日补充124货载单位。本地、所属岛链或相连腹地供货；成品由港内工坊加工，贸易规模是本作设计。</x:v>
      </x:c>
      <x:c r="L80" s="13" t="str">
        <x:v>港口发展度达到D1（≥100点）；不要求武装度。</x:v>
      </x:c>
    </x:row>
    <x:row r="81" ht="42" customHeight="1">
      <x:c r="A81" s="15" t="str">
        <x:v>P009</x:v>
      </x:c>
      <x:c r="B81" s="15" t="str">
        <x:v>里加</x:v>
      </x:c>
      <x:c r="C81" s="15" t="str">
        <x:v>G041</x:v>
      </x:c>
      <x:c r="D81" s="15" t="str">
        <x:v>大麻纤维</x:v>
      </x:c>
      <x:c r="E81" s="30" t="n">
        <x:v>1</x:v>
      </x:c>
      <x:c r="F81" s="30" t="n">
        <x:v>70</x:v>
      </x:c>
      <x:c r="G81" s="30" t="n">
        <x:v>124</x:v>
      </x:c>
      <x:c r="H81" s="30" t="n">
        <x:v>372</x:v>
      </x:c>
      <x:c r="I81" s="54" t="n">
        <x:v>0.74</x:v>
      </x:c>
      <x:c r="J81" s="15" t="str">
        <x:v>本港生产/腹地集散/港内加工</x:v>
      </x:c>
      <x:c r="K81" s="15" t="str">
        <x:v>每7个游戏日补充124货载单位。本地、所属岛链或相连腹地供货；成品由港内工坊加工，贸易规模是本作设计。</x:v>
      </x:c>
      <x:c r="L81" s="15" t="str">
        <x:v>港口发展度达到D1（≥100点）；不要求武装度。</x:v>
      </x:c>
    </x:row>
    <x:row r="82" ht="42" customHeight="1">
      <x:c r="A82" s="13" t="str">
        <x:v>P009</x:v>
      </x:c>
      <x:c r="B82" s="13" t="str">
        <x:v>里加</x:v>
      </x:c>
      <x:c r="C82" s="13" t="str">
        <x:v>G090</x:v>
      </x:c>
      <x:c r="D82" s="13" t="str">
        <x:v>树脂</x:v>
      </x:c>
      <x:c r="E82" s="27" t="n">
        <x:v>2</x:v>
      </x:c>
      <x:c r="F82" s="27" t="n">
        <x:v>95</x:v>
      </x:c>
      <x:c r="G82" s="27" t="n">
        <x:v>65</x:v>
      </x:c>
      <x:c r="H82" s="27" t="n">
        <x:v>195</x:v>
      </x:c>
      <x:c r="I82" s="52" t="n">
        <x:v>0.8</x:v>
      </x:c>
      <x:c r="J82" s="13" t="str">
        <x:v>本港生产/腹地集散/港内加工</x:v>
      </x:c>
      <x:c r="K82" s="13" t="str">
        <x:v>每7个游戏日补充65货载单位。本地、所属岛链或相连腹地供货；成品由港内工坊加工，贸易规模是本作设计。</x:v>
      </x:c>
      <x:c r="L82" s="13" t="str">
        <x:v>港口发展度达到D2（≥250点）；不要求武装度。</x:v>
      </x:c>
    </x:row>
    <x:row r="83" ht="42" customHeight="1">
      <x:c r="A83" s="15" t="str">
        <x:v>P009</x:v>
      </x:c>
      <x:c r="B83" s="15" t="str">
        <x:v>里加</x:v>
      </x:c>
      <x:c r="C83" s="15" t="str">
        <x:v>G088</x:v>
      </x:c>
      <x:c r="D83" s="15" t="str">
        <x:v>蜂蜡</x:v>
      </x:c>
      <x:c r="E83" s="30" t="n">
        <x:v>3</x:v>
      </x:c>
      <x:c r="F83" s="30" t="n">
        <x:v>110</x:v>
      </x:c>
      <x:c r="G83" s="30" t="n">
        <x:v>55</x:v>
      </x:c>
      <x:c r="H83" s="30" t="n">
        <x:v>165</x:v>
      </x:c>
      <x:c r="I83" s="54" t="n">
        <x:v>0.8</x:v>
      </x:c>
      <x:c r="J83" s="15" t="str">
        <x:v>本港生产/腹地集散/港内加工</x:v>
      </x:c>
      <x:c r="K83" s="15" t="str">
        <x:v>每7个游戏日补充55货载单位。本地、所属岛链或相连腹地供货；成品由港内工坊加工，贸易规模是本作设计。</x:v>
      </x:c>
      <x:c r="L83" s="15" t="str">
        <x:v>港口发展度达到D3（≥450点）；不要求武装度。</x:v>
      </x:c>
    </x:row>
    <x:row r="84" ht="42" customHeight="1">
      <x:c r="A84" s="13" t="str">
        <x:v>P009</x:v>
      </x:c>
      <x:c r="B84" s="13" t="str">
        <x:v>里加</x:v>
      </x:c>
      <x:c r="C84" s="13" t="str">
        <x:v>G044</x:v>
      </x:c>
      <x:c r="D84" s="13" t="str">
        <x:v>麻布</x:v>
      </x:c>
      <x:c r="E84" s="27" t="n">
        <x:v>4</x:v>
      </x:c>
      <x:c r="F84" s="27" t="n">
        <x:v>145</x:v>
      </x:c>
      <x:c r="G84" s="27" t="n">
        <x:v>47</x:v>
      </x:c>
      <x:c r="H84" s="27" t="n">
        <x:v>141</x:v>
      </x:c>
      <x:c r="I84" s="52" t="n">
        <x:v>0.87</x:v>
      </x:c>
      <x:c r="J84" s="13" t="str">
        <x:v>本港生产/腹地集散/港内加工</x:v>
      </x:c>
      <x:c r="K84" s="13" t="str">
        <x:v>每7个游戏日补充47货载单位。本地、所属岛链或相连腹地供货；成品由港内工坊加工，贸易规模是本作设计。</x:v>
      </x:c>
      <x:c r="L84" s="13" t="str">
        <x:v>港口发展度达到D4（≥700点）；不要求武装度。</x:v>
      </x:c>
    </x:row>
    <x:row r="85" ht="42" customHeight="1">
      <x:c r="A85" s="15" t="str">
        <x:v>P009</x:v>
      </x:c>
      <x:c r="B85" s="15" t="str">
        <x:v>里加</x:v>
      </x:c>
      <x:c r="C85" s="15" t="str">
        <x:v>G098</x:v>
      </x:c>
      <x:c r="D85" s="15" t="str">
        <x:v>书籍</x:v>
      </x:c>
      <x:c r="E85" s="30" t="n">
        <x:v>5</x:v>
      </x:c>
      <x:c r="F85" s="30" t="n">
        <x:v>280</x:v>
      </x:c>
      <x:c r="G85" s="30" t="n">
        <x:v>7</x:v>
      </x:c>
      <x:c r="H85" s="30" t="n">
        <x:v>21</x:v>
      </x:c>
      <x:c r="I85" s="54" t="n">
        <x:v>0.87</x:v>
      </x:c>
      <x:c r="J85" s="15" t="str">
        <x:v>本港生产/腹地集散/港内加工</x:v>
      </x:c>
      <x:c r="K85" s="15" t="str">
        <x:v>每7个游戏日补充7货载单位。本地、所属岛链或相连腹地供货；成品由港内工坊加工，贸易规模是本作设计。</x:v>
      </x:c>
      <x:c r="L85" s="15" t="str">
        <x:v>港口发展度达到D5（≥1000点）；不要求武装度。</x:v>
      </x:c>
    </x:row>
    <x:row r="86" ht="42" customHeight="1">
      <x:c r="A86" s="13" t="str">
        <x:v>P009</x:v>
      </x:c>
      <x:c r="B86" s="13" t="str">
        <x:v>里加</x:v>
      </x:c>
      <x:c r="C86" s="13" t="str">
        <x:v>SP009</x:v>
      </x:c>
      <x:c r="D86" s="13" t="str">
        <x:v>里加长纤帆布</x:v>
      </x:c>
      <x:c r="E86" s="27" t="n">
        <x:v>3</x:v>
      </x:c>
      <x:c r="F86" s="27" t="n">
        <x:v>345</x:v>
      </x:c>
      <x:c r="G86" s="27" t="n">
        <x:v>9</x:v>
      </x:c>
      <x:c r="H86" s="27" t="n">
        <x:v>18</x:v>
      </x:c>
      <x:c r="I86" s="52" t="n">
        <x:v>0.78</x:v>
      </x:c>
      <x:c r="J86" s="13" t="str">
        <x:v>港口独占原创工坊特产</x:v>
      </x:c>
      <x:c r="K86" s="13" t="str">
        <x:v>每7个游戏日由「双织密帆布工坊」交货9货载；只在本港形成稳定产源。</x:v>
      </x:c>
      <x:c r="L86" s="13" t="str">
        <x:v>港口发展度达到D3（≥450点）时，投资项目「双织密帆布工坊」自动完工；不要求武装度。</x:v>
      </x:c>
    </x:row>
    <x:row r="87" ht="42" customHeight="1">
      <x:c r="A87" s="15" t="str">
        <x:v>P010</x:v>
      </x:c>
      <x:c r="B87" s="15" t="str">
        <x:v>雷克雅未克</x:v>
      </x:c>
      <x:c r="C87" s="15" t="str">
        <x:v>G015</x:v>
      </x:c>
      <x:c r="D87" s="15" t="str">
        <x:v>咸鱼</x:v>
      </x:c>
      <x:c r="E87" s="30" t="n">
        <x:v>0</x:v>
      </x:c>
      <x:c r="F87" s="30" t="n">
        <x:v>65</x:v>
      </x:c>
      <x:c r="G87" s="30" t="n">
        <x:v>102</x:v>
      </x:c>
      <x:c r="H87" s="30" t="n">
        <x:v>306</x:v>
      </x:c>
      <x:c r="I87" s="54" t="n">
        <x:v>0.74</x:v>
      </x:c>
      <x:c r="J87" s="15" t="str">
        <x:v>本港生产/腹地集散/港内加工</x:v>
      </x:c>
      <x:c r="K87" s="15" t="str">
        <x:v>每7个游戏日补充102货载单位。本地、所属岛链或相连腹地供货；成品由港内工坊加工，贸易规模是本作设计。</x:v>
      </x:c>
      <x:c r="L87" s="15" t="str">
        <x:v>港口发展度达到D0（≥0点）；不要求武装度。</x:v>
      </x:c>
    </x:row>
    <x:row r="88" ht="42" customHeight="1">
      <x:c r="A88" s="13" t="str">
        <x:v>P010</x:v>
      </x:c>
      <x:c r="B88" s="13" t="str">
        <x:v>雷克雅未克</x:v>
      </x:c>
      <x:c r="C88" s="13" t="str">
        <x:v>G039</x:v>
      </x:c>
      <x:c r="D88" s="13" t="str">
        <x:v>羊毛</x:v>
      </x:c>
      <x:c r="E88" s="27" t="n">
        <x:v>0</x:v>
      </x:c>
      <x:c r="F88" s="27" t="n">
        <x:v>100</x:v>
      </x:c>
      <x:c r="G88" s="27" t="n">
        <x:v>88</x:v>
      </x:c>
      <x:c r="H88" s="27" t="n">
        <x:v>264</x:v>
      </x:c>
      <x:c r="I88" s="52" t="n">
        <x:v>0.74</x:v>
      </x:c>
      <x:c r="J88" s="13" t="str">
        <x:v>本港生产/腹地集散/港内加工</x:v>
      </x:c>
      <x:c r="K88" s="13" t="str">
        <x:v>每7个游戏日补充88货载单位。本地、所属岛链或相连腹地供货；成品由港内工坊加工，贸易规模是本作设计。</x:v>
      </x:c>
      <x:c r="L88" s="13" t="str">
        <x:v>港口发展度达到D0（≥0点）；不要求武装度。</x:v>
      </x:c>
    </x:row>
    <x:row r="89" ht="42" customHeight="1">
      <x:c r="A89" s="15" t="str">
        <x:v>P010</x:v>
      </x:c>
      <x:c r="B89" s="15" t="str">
        <x:v>雷克雅未克</x:v>
      </x:c>
      <x:c r="C89" s="15" t="str">
        <x:v>G016</x:v>
      </x:c>
      <x:c r="D89" s="15" t="str">
        <x:v>干鳕鱼</x:v>
      </x:c>
      <x:c r="E89" s="30" t="n">
        <x:v>1</x:v>
      </x:c>
      <x:c r="F89" s="30" t="n">
        <x:v>98</x:v>
      </x:c>
      <x:c r="G89" s="30" t="n">
        <x:v>97</x:v>
      </x:c>
      <x:c r="H89" s="30" t="n">
        <x:v>291</x:v>
      </x:c>
      <x:c r="I89" s="54" t="n">
        <x:v>0.74</x:v>
      </x:c>
      <x:c r="J89" s="15" t="str">
        <x:v>本港生产/腹地集散/港内加工</x:v>
      </x:c>
      <x:c r="K89" s="15" t="str">
        <x:v>每7个游戏日补充97货载单位。本地、所属岛链或相连腹地供货；成品由港内工坊加工，贸易规模是本作设计。</x:v>
      </x:c>
      <x:c r="L89" s="15" t="str">
        <x:v>港口发展度达到D1（≥100点）；不要求武装度。</x:v>
      </x:c>
    </x:row>
    <x:row r="90" ht="42" customHeight="1">
      <x:c r="A90" s="13" t="str">
        <x:v>P010</x:v>
      </x:c>
      <x:c r="B90" s="13" t="str">
        <x:v>雷克雅未克</x:v>
      </x:c>
      <x:c r="C90" s="13" t="str">
        <x:v>G091</x:v>
      </x:c>
      <x:c r="D90" s="13" t="str">
        <x:v>鱼油</x:v>
      </x:c>
      <x:c r="E90" s="27" t="n">
        <x:v>1</x:v>
      </x:c>
      <x:c r="F90" s="27" t="n">
        <x:v>80</x:v>
      </x:c>
      <x:c r="G90" s="27" t="n">
        <x:v>49</x:v>
      </x:c>
      <x:c r="H90" s="27" t="n">
        <x:v>147</x:v>
      </x:c>
      <x:c r="I90" s="52" t="n">
        <x:v>0.74</x:v>
      </x:c>
      <x:c r="J90" s="13" t="str">
        <x:v>本港生产/腹地集散/港内加工</x:v>
      </x:c>
      <x:c r="K90" s="13" t="str">
        <x:v>每7个游戏日补充49货载单位。本地、所属岛链或相连腹地供货；成品由港内工坊加工，贸易规模是本作设计。</x:v>
      </x:c>
      <x:c r="L90" s="13" t="str">
        <x:v>港口发展度达到D1（≥100点）；不要求武装度。</x:v>
      </x:c>
    </x:row>
    <x:row r="91" ht="42" customHeight="1">
      <x:c r="A91" s="15" t="str">
        <x:v>P010</x:v>
      </x:c>
      <x:c r="B91" s="15" t="str">
        <x:v>雷克雅未克</x:v>
      </x:c>
      <x:c r="C91" s="15" t="str">
        <x:v>G092</x:v>
      </x:c>
      <x:c r="D91" s="15" t="str">
        <x:v>海藻</x:v>
      </x:c>
      <x:c r="E91" s="30" t="n">
        <x:v>2</x:v>
      </x:c>
      <x:c r="F91" s="30" t="n">
        <x:v>45</x:v>
      </x:c>
      <x:c r="G91" s="30" t="n">
        <x:v>87</x:v>
      </x:c>
      <x:c r="H91" s="30" t="n">
        <x:v>261</x:v>
      </x:c>
      <x:c r="I91" s="54" t="n">
        <x:v>0.8</x:v>
      </x:c>
      <x:c r="J91" s="15" t="str">
        <x:v>本港生产/腹地集散/港内加工</x:v>
      </x:c>
      <x:c r="K91" s="15" t="str">
        <x:v>每7个游戏日补充87货载单位。本地、所属岛链或相连腹地供货；成品由港内工坊加工，贸易规模是本作设计。</x:v>
      </x:c>
      <x:c r="L91" s="15" t="str">
        <x:v>港口发展度达到D2（≥250点）；不要求武装度。</x:v>
      </x:c>
    </x:row>
    <x:row r="92" ht="42" customHeight="1">
      <x:c r="A92" s="13" t="str">
        <x:v>P010</x:v>
      </x:c>
      <x:c r="B92" s="13" t="str">
        <x:v>雷克雅未克</x:v>
      </x:c>
      <x:c r="C92" s="13" t="str">
        <x:v>G101</x:v>
      </x:c>
      <x:c r="D92" s="13" t="str">
        <x:v>药草</x:v>
      </x:c>
      <x:c r="E92" s="27" t="n">
        <x:v>3</x:v>
      </x:c>
      <x:c r="F92" s="27" t="n">
        <x:v>130</x:v>
      </x:c>
      <x:c r="G92" s="27" t="n">
        <x:v>17</x:v>
      </x:c>
      <x:c r="H92" s="27" t="n">
        <x:v>51</x:v>
      </x:c>
      <x:c r="I92" s="52" t="n">
        <x:v>0.8</x:v>
      </x:c>
      <x:c r="J92" s="13" t="str">
        <x:v>本港生产/腹地集散/港内加工</x:v>
      </x:c>
      <x:c r="K92" s="13" t="str">
        <x:v>每7个游戏日补充17货载单位。本地、所属岛链或相连腹地供货；成品由港内工坊加工，贸易规模是本作设计。</x:v>
      </x:c>
      <x:c r="L92" s="13" t="str">
        <x:v>港口发展度达到D3（≥450点）；不要求武装度。</x:v>
      </x:c>
    </x:row>
    <x:row r="93" ht="42" customHeight="1">
      <x:c r="A93" s="15" t="str">
        <x:v>P010</x:v>
      </x:c>
      <x:c r="B93" s="15" t="str">
        <x:v>雷克雅未克</x:v>
      </x:c>
      <x:c r="C93" s="15" t="str">
        <x:v>G080</x:v>
      </x:c>
      <x:c r="D93" s="15" t="str">
        <x:v>毛皮</x:v>
      </x:c>
      <x:c r="E93" s="30" t="n">
        <x:v>4</x:v>
      </x:c>
      <x:c r="F93" s="30" t="n">
        <x:v>240</x:v>
      </x:c>
      <x:c r="G93" s="30" t="n">
        <x:v>5</x:v>
      </x:c>
      <x:c r="H93" s="30" t="n">
        <x:v>15</x:v>
      </x:c>
      <x:c r="I93" s="54" t="n">
        <x:v>0.87</x:v>
      </x:c>
      <x:c r="J93" s="15" t="str">
        <x:v>本港生产/腹地集散/港内加工</x:v>
      </x:c>
      <x:c r="K93" s="15" t="str">
        <x:v>每7个游戏日补充5货载单位。本地、所属岛链或相连腹地供货；成品由港内工坊加工，贸易规模是本作设计。</x:v>
      </x:c>
      <x:c r="L93" s="15" t="str">
        <x:v>港口发展度达到D4（≥700点）；不要求武装度。</x:v>
      </x:c>
    </x:row>
    <x:row r="94" ht="42" customHeight="1">
      <x:c r="A94" s="13" t="str">
        <x:v>P010</x:v>
      </x:c>
      <x:c r="B94" s="13" t="str">
        <x:v>雷克雅未克</x:v>
      </x:c>
      <x:c r="C94" s="13" t="str">
        <x:v>G096</x:v>
      </x:c>
      <x:c r="D94" s="13" t="str">
        <x:v>贝壳工艺品</x:v>
      </x:c>
      <x:c r="E94" s="27" t="n">
        <x:v>5</x:v>
      </x:c>
      <x:c r="F94" s="27" t="n">
        <x:v>210</x:v>
      </x:c>
      <x:c r="G94" s="27" t="n">
        <x:v>11</x:v>
      </x:c>
      <x:c r="H94" s="27" t="n">
        <x:v>33</x:v>
      </x:c>
      <x:c r="I94" s="52" t="n">
        <x:v>0.87</x:v>
      </x:c>
      <x:c r="J94" s="13" t="str">
        <x:v>本港生产/腹地集散/港内加工</x:v>
      </x:c>
      <x:c r="K94" s="13" t="str">
        <x:v>每7个游戏日补充11货载单位。本地、所属岛链或相连腹地供货；成品由港内工坊加工，贸易规模是本作设计。</x:v>
      </x:c>
      <x:c r="L94" s="13" t="str">
        <x:v>港口发展度达到D5（≥1000点）；不要求武装度。</x:v>
      </x:c>
    </x:row>
    <x:row r="95" ht="42" customHeight="1">
      <x:c r="A95" s="15" t="str">
        <x:v>P010</x:v>
      </x:c>
      <x:c r="B95" s="15" t="str">
        <x:v>雷克雅未克</x:v>
      </x:c>
      <x:c r="C95" s="15" t="str">
        <x:v>SP010</x:v>
      </x:c>
      <x:c r="D95" s="15" t="str">
        <x:v>火山盐烟鱼皮册</x:v>
      </x:c>
      <x:c r="E95" s="30" t="n">
        <x:v>3</x:v>
      </x:c>
      <x:c r="F95" s="30" t="n">
        <x:v>430</x:v>
      </x:c>
      <x:c r="G95" s="30" t="n">
        <x:v>6</x:v>
      </x:c>
      <x:c r="H95" s="30" t="n">
        <x:v>12</x:v>
      </x:c>
      <x:c r="I95" s="54" t="n">
        <x:v>0.78</x:v>
      </x:c>
      <x:c r="J95" s="15" t="str">
        <x:v>港口独占原创工坊特产</x:v>
      </x:c>
      <x:c r="K95" s="15" t="str">
        <x:v>每7个游戏日由「鱼皮装帧小屋」交货6货载；只在本港形成稳定产源。</x:v>
      </x:c>
      <x:c r="L95" s="15" t="str">
        <x:v>港口发展度达到D3（≥450点）时，投资项目「鱼皮装帧小屋」自动完工；不要求武装度。</x:v>
      </x:c>
    </x:row>
    <x:row r="96" ht="42" customHeight="1">
      <x:c r="A96" s="13" t="str">
        <x:v>P011</x:v>
      </x:c>
      <x:c r="B96" s="13" t="str">
        <x:v>里斯本</x:v>
      </x:c>
      <x:c r="C96" s="13" t="str">
        <x:v>G009</x:v>
      </x:c>
      <x:c r="D96" s="13" t="str">
        <x:v>盐</x:v>
      </x:c>
      <x:c r="E96" s="27" t="n">
        <x:v>0</x:v>
      </x:c>
      <x:c r="F96" s="27" t="n">
        <x:v>28</x:v>
      </x:c>
      <x:c r="G96" s="27" t="n">
        <x:v>200</x:v>
      </x:c>
      <x:c r="H96" s="27" t="n">
        <x:v>600</x:v>
      </x:c>
      <x:c r="I96" s="52" t="n">
        <x:v>0.74</x:v>
      </x:c>
      <x:c r="J96" s="13" t="str">
        <x:v>本港生产/腹地集散/港内加工</x:v>
      </x:c>
      <x:c r="K96" s="13" t="str">
        <x:v>每7个游戏日补充200货载单位。本地、所属岛链或相连腹地供货；成品由港内工坊加工，贸易规模是本作设计。</x:v>
      </x:c>
      <x:c r="L96" s="13" t="str">
        <x:v>港口发展度达到D0（≥0点）；不要求武装度。</x:v>
      </x:c>
    </x:row>
    <x:row r="97" ht="42" customHeight="1">
      <x:c r="A97" s="15" t="str">
        <x:v>P011</x:v>
      </x:c>
      <x:c r="B97" s="15" t="str">
        <x:v>里斯本</x:v>
      </x:c>
      <x:c r="C97" s="15" t="str">
        <x:v>G023</x:v>
      </x:c>
      <x:c r="D97" s="15" t="str">
        <x:v>葡萄酒</x:v>
      </x:c>
      <x:c r="E97" s="30" t="n">
        <x:v>0</x:v>
      </x:c>
      <x:c r="F97" s="30" t="n">
        <x:v>115</x:v>
      </x:c>
      <x:c r="G97" s="30" t="n">
        <x:v>103</x:v>
      </x:c>
      <x:c r="H97" s="30" t="n">
        <x:v>309</x:v>
      </x:c>
      <x:c r="I97" s="54" t="n">
        <x:v>0.74</x:v>
      </x:c>
      <x:c r="J97" s="15" t="str">
        <x:v>本港生产/腹地集散/港内加工</x:v>
      </x:c>
      <x:c r="K97" s="15" t="str">
        <x:v>每7个游戏日补充103货载单位。本地、所属岛链或相连腹地供货；成品由港内工坊加工，贸易规模是本作设计。</x:v>
      </x:c>
      <x:c r="L97" s="15" t="str">
        <x:v>港口发展度达到D0（≥0点）；不要求武装度。</x:v>
      </x:c>
    </x:row>
    <x:row r="98" ht="42" customHeight="1">
      <x:c r="A98" s="13" t="str">
        <x:v>P011</x:v>
      </x:c>
      <x:c r="B98" s="13" t="str">
        <x:v>里斯本</x:v>
      </x:c>
      <x:c r="C98" s="13" t="str">
        <x:v>G013</x:v>
      </x:c>
      <x:c r="D98" s="13" t="str">
        <x:v>橄榄油</x:v>
      </x:c>
      <x:c r="E98" s="27" t="n">
        <x:v>1</x:v>
      </x:c>
      <x:c r="F98" s="27" t="n">
        <x:v>120</x:v>
      </x:c>
      <x:c r="G98" s="27" t="n">
        <x:v>190</x:v>
      </x:c>
      <x:c r="H98" s="27" t="n">
        <x:v>570</x:v>
      </x:c>
      <x:c r="I98" s="52" t="n">
        <x:v>0.74</x:v>
      </x:c>
      <x:c r="J98" s="13" t="str">
        <x:v>本港生产/腹地集散/港内加工</x:v>
      </x:c>
      <x:c r="K98" s="13" t="str">
        <x:v>每7个游戏日补充190货载单位。本地、所属岛链或相连腹地供货；成品由港内工坊加工，贸易规模是本作设计。</x:v>
      </x:c>
      <x:c r="L98" s="13" t="str">
        <x:v>港口发展度达到D1（≥100点）；不要求武装度。</x:v>
      </x:c>
    </x:row>
    <x:row r="99" ht="42" customHeight="1">
      <x:c r="A99" s="15" t="str">
        <x:v>P011</x:v>
      </x:c>
      <x:c r="B99" s="15" t="str">
        <x:v>里斯本</x:v>
      </x:c>
      <x:c r="C99" s="15" t="str">
        <x:v>G094</x:v>
      </x:c>
      <x:c r="D99" s="15" t="str">
        <x:v>柑橘</x:v>
      </x:c>
      <x:c r="E99" s="30" t="n">
        <x:v>1</x:v>
      </x:c>
      <x:c r="F99" s="30" t="n">
        <x:v>62</x:v>
      </x:c>
      <x:c r="G99" s="30" t="n">
        <x:v>190</x:v>
      </x:c>
      <x:c r="H99" s="30" t="n">
        <x:v>570</x:v>
      </x:c>
      <x:c r="I99" s="54" t="n">
        <x:v>0.74</x:v>
      </x:c>
      <x:c r="J99" s="15" t="str">
        <x:v>本港生产/腹地集散/港内加工</x:v>
      </x:c>
      <x:c r="K99" s="15" t="str">
        <x:v>每7个游戏日补充190货载单位。本地、所属岛链或相连腹地供货；成品由港内工坊加工，贸易规模是本作设计。</x:v>
      </x:c>
      <x:c r="L99" s="15" t="str">
        <x:v>港口发展度达到D1（≥100点）；不要求武装度。</x:v>
      </x:c>
    </x:row>
    <x:row r="100" ht="42" customHeight="1">
      <x:c r="A100" s="13" t="str">
        <x:v>P011</x:v>
      </x:c>
      <x:c r="B100" s="13" t="str">
        <x:v>里斯本</x:v>
      </x:c>
      <x:c r="C100" s="13" t="str">
        <x:v>G029</x:v>
      </x:c>
      <x:c r="D100" s="13" t="str">
        <x:v>胡椒</x:v>
      </x:c>
      <x:c r="E100" s="27" t="n">
        <x:v>2</x:v>
      </x:c>
      <x:c r="F100" s="27" t="n">
        <x:v>260</x:v>
      </x:c>
      <x:c r="G100" s="27" t="n">
        <x:v>20</x:v>
      </x:c>
      <x:c r="H100" s="27" t="n">
        <x:v>60</x:v>
      </x:c>
      <x:c r="I100" s="52" t="n">
        <x:v>1.08</x:v>
      </x:c>
      <x:c r="J100" s="13" t="str">
        <x:v>进口/区域转口</x:v>
      </x:c>
      <x:c r="K100" s="13" t="str">
        <x:v>每7个游戏日补充20货载单位。由区域商队或NPC货船带入；为港口转售供货，不改变商品的原产地区。</x:v>
      </x:c>
      <x:c r="L100" s="13" t="str">
        <x:v>港口发展度达到D2（≥250点）；不要求武装度。</x:v>
      </x:c>
    </x:row>
    <x:row r="101" ht="42" customHeight="1">
      <x:c r="A101" s="15" t="str">
        <x:v>P011</x:v>
      </x:c>
      <x:c r="B101" s="15" t="str">
        <x:v>里斯本</x:v>
      </x:c>
      <x:c r="C101" s="15" t="str">
        <x:v>G011</x:v>
      </x:c>
      <x:c r="D101" s="15" t="str">
        <x:v>砂糖</x:v>
      </x:c>
      <x:c r="E101" s="30" t="n">
        <x:v>3</x:v>
      </x:c>
      <x:c r="F101" s="30" t="n">
        <x:v>140</x:v>
      </x:c>
      <x:c r="G101" s="30" t="n">
        <x:v>75</x:v>
      </x:c>
      <x:c r="H101" s="30" t="n">
        <x:v>225</x:v>
      </x:c>
      <x:c r="I101" s="54" t="n">
        <x:v>1.14</x:v>
      </x:c>
      <x:c r="J101" s="15" t="str">
        <x:v>进口/区域转口</x:v>
      </x:c>
      <x:c r="K101" s="15" t="str">
        <x:v>每7个游戏日补充75货载单位。由区域商队或NPC货船带入；为港口转售供货，不改变商品的原产地区。</x:v>
      </x:c>
      <x:c r="L101" s="15" t="str">
        <x:v>港口发展度达到D3（≥450点）；不要求武装度。</x:v>
      </x:c>
    </x:row>
    <x:row r="102" ht="42" customHeight="1">
      <x:c r="A102" s="13" t="str">
        <x:v>P011</x:v>
      </x:c>
      <x:c r="B102" s="13" t="str">
        <x:v>里斯本</x:v>
      </x:c>
      <x:c r="C102" s="13" t="str">
        <x:v>G073</x:v>
      </x:c>
      <x:c r="D102" s="13" t="str">
        <x:v>珠宝</x:v>
      </x:c>
      <x:c r="E102" s="27" t="n">
        <x:v>4</x:v>
      </x:c>
      <x:c r="F102" s="27" t="n">
        <x:v>760</x:v>
      </x:c>
      <x:c r="G102" s="27" t="n">
        <x:v>11</x:v>
      </x:c>
      <x:c r="H102" s="27" t="n">
        <x:v>33</x:v>
      </x:c>
      <x:c r="I102" s="52" t="n">
        <x:v>0.87</x:v>
      </x:c>
      <x:c r="J102" s="13" t="str">
        <x:v>本港生产/腹地集散/港内加工</x:v>
      </x:c>
      <x:c r="K102" s="13" t="str">
        <x:v>每7个游戏日补充11货载单位。本地、所属岛链或相连腹地供货；成品由港内工坊加工，贸易规模是本作设计。</x:v>
      </x:c>
      <x:c r="L102" s="13" t="str">
        <x:v>港口发展度达到D4（≥700点）；不要求武装度。</x:v>
      </x:c>
    </x:row>
    <x:row r="103" ht="42" customHeight="1">
      <x:c r="A103" s="15" t="str">
        <x:v>P011</x:v>
      </x:c>
      <x:c r="B103" s="15" t="str">
        <x:v>里斯本</x:v>
      </x:c>
      <x:c r="C103" s="15" t="str">
        <x:v>G099</x:v>
      </x:c>
      <x:c r="D103" s="15" t="str">
        <x:v>航海仪器</x:v>
      </x:c>
      <x:c r="E103" s="30" t="n">
        <x:v>5</x:v>
      </x:c>
      <x:c r="F103" s="30" t="n">
        <x:v>650</x:v>
      </x:c>
      <x:c r="G103" s="30" t="n">
        <x:v>9</x:v>
      </x:c>
      <x:c r="H103" s="30" t="n">
        <x:v>27</x:v>
      </x:c>
      <x:c r="I103" s="54" t="n">
        <x:v>0.87</x:v>
      </x:c>
      <x:c r="J103" s="15" t="str">
        <x:v>本港生产/腹地集散/港内加工</x:v>
      </x:c>
      <x:c r="K103" s="15" t="str">
        <x:v>每7个游戏日补充9货载单位。本地、所属岛链或相连腹地供货；成品由港内工坊加工，贸易规模是本作设计。</x:v>
      </x:c>
      <x:c r="L103" s="15" t="str">
        <x:v>港口发展度达到D5（≥1000点）；不要求武装度。</x:v>
      </x:c>
    </x:row>
    <x:row r="104" ht="42" customHeight="1">
      <x:c r="A104" s="13" t="str">
        <x:v>P011</x:v>
      </x:c>
      <x:c r="B104" s="13" t="str">
        <x:v>里斯本</x:v>
      </x:c>
      <x:c r="C104" s="13" t="str">
        <x:v>SP011</x:v>
      </x:c>
      <x:c r="D104" s="13" t="str">
        <x:v>蓝海星盘瓷盘</x:v>
      </x:c>
      <x:c r="E104" s="27" t="n">
        <x:v>3</x:v>
      </x:c>
      <x:c r="F104" s="27" t="n">
        <x:v>780</x:v>
      </x:c>
      <x:c r="G104" s="27" t="n">
        <x:v>11</x:v>
      </x:c>
      <x:c r="H104" s="27" t="n">
        <x:v>22</x:v>
      </x:c>
      <x:c r="I104" s="52" t="n">
        <x:v>0.78</x:v>
      </x:c>
      <x:c r="J104" s="13" t="str">
        <x:v>港口独占原创工坊特产</x:v>
      </x:c>
      <x:c r="K104" s="13" t="str">
        <x:v>每7个游戏日由「蓝瓷星图窑」交货11货载；只在本港形成稳定产源。</x:v>
      </x:c>
      <x:c r="L104" s="13" t="str">
        <x:v>港口发展度达到D3（≥450点）时，投资项目「蓝瓷星图窑」自动完工；不要求武装度。</x:v>
      </x:c>
    </x:row>
    <x:row r="105" ht="42" customHeight="1">
      <x:c r="A105" s="15" t="str">
        <x:v>P012</x:v>
      </x:c>
      <x:c r="B105" s="15" t="str">
        <x:v>波尔图</x:v>
      </x:c>
      <x:c r="C105" s="15" t="str">
        <x:v>G023</x:v>
      </x:c>
      <x:c r="D105" s="15" t="str">
        <x:v>葡萄酒</x:v>
      </x:c>
      <x:c r="E105" s="30" t="n">
        <x:v>0</x:v>
      </x:c>
      <x:c r="F105" s="30" t="n">
        <x:v>115</x:v>
      </x:c>
      <x:c r="G105" s="30" t="n">
        <x:v>83</x:v>
      </x:c>
      <x:c r="H105" s="30" t="n">
        <x:v>249</x:v>
      </x:c>
      <x:c r="I105" s="54" t="n">
        <x:v>0.74</x:v>
      </x:c>
      <x:c r="J105" s="15" t="str">
        <x:v>本港生产/腹地集散/港内加工</x:v>
      </x:c>
      <x:c r="K105" s="15" t="str">
        <x:v>每7个游戏日补充83货载单位。本地、所属岛链或相连腹地供货；成品由港内工坊加工，贸易规模是本作设计。</x:v>
      </x:c>
      <x:c r="L105" s="15" t="str">
        <x:v>港口发展度达到D0（≥0点）；不要求武装度。</x:v>
      </x:c>
    </x:row>
    <x:row r="106" ht="42" customHeight="1">
      <x:c r="A106" s="13" t="str">
        <x:v>P012</x:v>
      </x:c>
      <x:c r="B106" s="13" t="str">
        <x:v>波尔图</x:v>
      </x:c>
      <x:c r="C106" s="13" t="str">
        <x:v>G093</x:v>
      </x:c>
      <x:c r="D106" s="13" t="str">
        <x:v>干果</x:v>
      </x:c>
      <x:c r="E106" s="27" t="n">
        <x:v>0</x:v>
      </x:c>
      <x:c r="F106" s="27" t="n">
        <x:v>85</x:v>
      </x:c>
      <x:c r="G106" s="27" t="n">
        <x:v>161</x:v>
      </x:c>
      <x:c r="H106" s="27" t="n">
        <x:v>483</x:v>
      </x:c>
      <x:c r="I106" s="52" t="n">
        <x:v>0.74</x:v>
      </x:c>
      <x:c r="J106" s="13" t="str">
        <x:v>本港生产/腹地集散/港内加工</x:v>
      </x:c>
      <x:c r="K106" s="13" t="str">
        <x:v>每7个游戏日补充161货载单位。本地、所属岛链或相连腹地供货；成品由港内工坊加工，贸易规模是本作设计。</x:v>
      </x:c>
      <x:c r="L106" s="13" t="str">
        <x:v>港口发展度达到D0（≥0点）；不要求武装度。</x:v>
      </x:c>
    </x:row>
    <x:row r="107" ht="42" customHeight="1">
      <x:c r="A107" s="15" t="str">
        <x:v>P012</x:v>
      </x:c>
      <x:c r="B107" s="15" t="str">
        <x:v>波尔图</x:v>
      </x:c>
      <x:c r="C107" s="15" t="str">
        <x:v>G009</x:v>
      </x:c>
      <x:c r="D107" s="15" t="str">
        <x:v>盐</x:v>
      </x:c>
      <x:c r="E107" s="30" t="n">
        <x:v>1</x:v>
      </x:c>
      <x:c r="F107" s="30" t="n">
        <x:v>28</x:v>
      </x:c>
      <x:c r="G107" s="30" t="n">
        <x:v>153</x:v>
      </x:c>
      <x:c r="H107" s="30" t="n">
        <x:v>459</x:v>
      </x:c>
      <x:c r="I107" s="54" t="n">
        <x:v>0.74</x:v>
      </x:c>
      <x:c r="J107" s="15" t="str">
        <x:v>本港生产/腹地集散/港内加工</x:v>
      </x:c>
      <x:c r="K107" s="15" t="str">
        <x:v>每7个游戏日补充153货载单位。本地、所属岛链或相连腹地供货；成品由港内工坊加工，贸易规模是本作设计。</x:v>
      </x:c>
      <x:c r="L107" s="15" t="str">
        <x:v>港口发展度达到D1（≥100点）；不要求武装度。</x:v>
      </x:c>
    </x:row>
    <x:row r="108" ht="42" customHeight="1">
      <x:c r="A108" s="13" t="str">
        <x:v>P012</x:v>
      </x:c>
      <x:c r="B108" s="13" t="str">
        <x:v>波尔图</x:v>
      </x:c>
      <x:c r="C108" s="13" t="str">
        <x:v>G056</x:v>
      </x:c>
      <x:c r="D108" s="13" t="str">
        <x:v>橡木</x:v>
      </x:c>
      <x:c r="E108" s="27" t="n">
        <x:v>1</x:v>
      </x:c>
      <x:c r="F108" s="27" t="n">
        <x:v>90</x:v>
      </x:c>
      <x:c r="G108" s="27" t="n">
        <x:v>120</x:v>
      </x:c>
      <x:c r="H108" s="27" t="n">
        <x:v>360</x:v>
      </x:c>
      <x:c r="I108" s="52" t="n">
        <x:v>0.74</x:v>
      </x:c>
      <x:c r="J108" s="13" t="str">
        <x:v>本港生产/腹地集散/港内加工</x:v>
      </x:c>
      <x:c r="K108" s="13" t="str">
        <x:v>每7个游戏日补充120货载单位。本地、所属岛链或相连腹地供货；成品由港内工坊加工，贸易规模是本作设计。</x:v>
      </x:c>
      <x:c r="L108" s="13" t="str">
        <x:v>港口发展度达到D1（≥100点）；不要求武装度。</x:v>
      </x:c>
    </x:row>
    <x:row r="109" ht="42" customHeight="1">
      <x:c r="A109" s="15" t="str">
        <x:v>P012</x:v>
      </x:c>
      <x:c r="B109" s="15" t="str">
        <x:v>波尔图</x:v>
      </x:c>
      <x:c r="C109" s="15" t="str">
        <x:v>G024</x:v>
      </x:c>
      <x:c r="D109" s="15" t="str">
        <x:v>烈酒</x:v>
      </x:c>
      <x:c r="E109" s="30" t="n">
        <x:v>2</x:v>
      </x:c>
      <x:c r="F109" s="30" t="n">
        <x:v>135</x:v>
      </x:c>
      <x:c r="G109" s="30" t="n">
        <x:v>70</x:v>
      </x:c>
      <x:c r="H109" s="30" t="n">
        <x:v>210</x:v>
      </x:c>
      <x:c r="I109" s="54" t="n">
        <x:v>0.8</x:v>
      </x:c>
      <x:c r="J109" s="15" t="str">
        <x:v>本港生产/腹地集散/港内加工</x:v>
      </x:c>
      <x:c r="K109" s="15" t="str">
        <x:v>每7个游戏日补充70货载单位。本地、所属岛链或相连腹地供货；成品由港内工坊加工，贸易规模是本作设计。</x:v>
      </x:c>
      <x:c r="L109" s="15" t="str">
        <x:v>港口发展度达到D2（≥250点）；不要求武装度。</x:v>
      </x:c>
    </x:row>
    <x:row r="110" ht="42" customHeight="1">
      <x:c r="A110" s="13" t="str">
        <x:v>P012</x:v>
      </x:c>
      <x:c r="B110" s="13" t="str">
        <x:v>波尔图</x:v>
      </x:c>
      <x:c r="C110" s="13" t="str">
        <x:v>G044</x:v>
      </x:c>
      <x:c r="D110" s="13" t="str">
        <x:v>麻布</x:v>
      </x:c>
      <x:c r="E110" s="27" t="n">
        <x:v>3</x:v>
      </x:c>
      <x:c r="F110" s="27" t="n">
        <x:v>145</x:v>
      </x:c>
      <x:c r="G110" s="27" t="n">
        <x:v>58</x:v>
      </x:c>
      <x:c r="H110" s="27" t="n">
        <x:v>174</x:v>
      </x:c>
      <x:c r="I110" s="52" t="n">
        <x:v>0.8</x:v>
      </x:c>
      <x:c r="J110" s="13" t="str">
        <x:v>本港生产/腹地集散/港内加工</x:v>
      </x:c>
      <x:c r="K110" s="13" t="str">
        <x:v>每7个游戏日补充58货载单位。本地、所属岛链或相连腹地供货；成品由港内工坊加工，贸易规模是本作设计。</x:v>
      </x:c>
      <x:c r="L110" s="13" t="str">
        <x:v>港口发展度达到D3（≥450点）；不要求武装度。</x:v>
      </x:c>
    </x:row>
    <x:row r="111" ht="42" customHeight="1">
      <x:c r="A111" s="15" t="str">
        <x:v>P012</x:v>
      </x:c>
      <x:c r="B111" s="15" t="str">
        <x:v>波尔图</x:v>
      </x:c>
      <x:c r="C111" s="15" t="str">
        <x:v>G013</x:v>
      </x:c>
      <x:c r="D111" s="15" t="str">
        <x:v>橄榄油</x:v>
      </x:c>
      <x:c r="E111" s="30" t="n">
        <x:v>4</x:v>
      </x:c>
      <x:c r="F111" s="30" t="n">
        <x:v>120</x:v>
      </x:c>
      <x:c r="G111" s="30" t="n">
        <x:v>100</x:v>
      </x:c>
      <x:c r="H111" s="30" t="n">
        <x:v>300</x:v>
      </x:c>
      <x:c r="I111" s="54" t="n">
        <x:v>0.87</x:v>
      </x:c>
      <x:c r="J111" s="15" t="str">
        <x:v>本港生产/腹地集散/港内加工</x:v>
      </x:c>
      <x:c r="K111" s="15" t="str">
        <x:v>每7个游戏日补充100货载单位。本地、所属岛链或相连腹地供货；成品由港内工坊加工，贸易规模是本作设计。</x:v>
      </x:c>
      <x:c r="L111" s="15" t="str">
        <x:v>港口发展度达到D4（≥700点）；不要求武装度。</x:v>
      </x:c>
    </x:row>
    <x:row r="112" ht="42" customHeight="1">
      <x:c r="A112" s="13" t="str">
        <x:v>P012</x:v>
      </x:c>
      <x:c r="B112" s="13" t="str">
        <x:v>波尔图</x:v>
      </x:c>
      <x:c r="C112" s="13" t="str">
        <x:v>G073</x:v>
      </x:c>
      <x:c r="D112" s="13" t="str">
        <x:v>珠宝</x:v>
      </x:c>
      <x:c r="E112" s="27" t="n">
        <x:v>5</x:v>
      </x:c>
      <x:c r="F112" s="27" t="n">
        <x:v>760</x:v>
      </x:c>
      <x:c r="G112" s="27" t="n">
        <x:v>7</x:v>
      </x:c>
      <x:c r="H112" s="27" t="n">
        <x:v>21</x:v>
      </x:c>
      <x:c r="I112" s="52" t="n">
        <x:v>0.87</x:v>
      </x:c>
      <x:c r="J112" s="13" t="str">
        <x:v>本港生产/腹地集散/港内加工</x:v>
      </x:c>
      <x:c r="K112" s="13" t="str">
        <x:v>每7个游戏日补充7货载单位。本地、所属岛链或相连腹地供货；成品由港内工坊加工，贸易规模是本作设计。</x:v>
      </x:c>
      <x:c r="L112" s="13" t="str">
        <x:v>港口发展度达到D5（≥1000点）；不要求武装度。</x:v>
      </x:c>
    </x:row>
    <x:row r="113" ht="42" customHeight="1">
      <x:c r="A113" s="15" t="str">
        <x:v>P012</x:v>
      </x:c>
      <x:c r="B113" s="15" t="str">
        <x:v>波尔图</x:v>
      </x:c>
      <x:c r="C113" s="15" t="str">
        <x:v>SP012</x:v>
      </x:c>
      <x:c r="D113" s="15" t="str">
        <x:v>暮金杜罗陈酿</x:v>
      </x:c>
      <x:c r="E113" s="30" t="n">
        <x:v>3</x:v>
      </x:c>
      <x:c r="F113" s="30" t="n">
        <x:v>480</x:v>
      </x:c>
      <x:c r="G113" s="30" t="n">
        <x:v>9</x:v>
      </x:c>
      <x:c r="H113" s="30" t="n">
        <x:v>18</x:v>
      </x:c>
      <x:c r="I113" s="54" t="n">
        <x:v>0.78</x:v>
      </x:c>
      <x:c r="J113" s="15" t="str">
        <x:v>港口独占原创工坊特产</x:v>
      </x:c>
      <x:c r="K113" s="15" t="str">
        <x:v>每7个游戏日由「山坡恒温酒窖」交货9货载；只在本港形成稳定产源。</x:v>
      </x:c>
      <x:c r="L113" s="15" t="str">
        <x:v>港口发展度达到D3（≥450点）时，投资项目「山坡恒温酒窖」自动完工；不要求武装度。</x:v>
      </x:c>
    </x:row>
    <x:row r="114" ht="42" customHeight="1">
      <x:c r="A114" s="13" t="str">
        <x:v>P013</x:v>
      </x:c>
      <x:c r="B114" s="13" t="str">
        <x:v>塞维利亚</x:v>
      </x:c>
      <x:c r="C114" s="13" t="str">
        <x:v>G001</x:v>
      </x:c>
      <x:c r="D114" s="13" t="str">
        <x:v>小麦</x:v>
      </x:c>
      <x:c r="E114" s="27" t="n">
        <x:v>0</x:v>
      </x:c>
      <x:c r="F114" s="27" t="n">
        <x:v>45</x:v>
      </x:c>
      <x:c r="G114" s="27" t="n">
        <x:v>254</x:v>
      </x:c>
      <x:c r="H114" s="27" t="n">
        <x:v>762</x:v>
      </x:c>
      <x:c r="I114" s="52" t="n">
        <x:v>0.74</x:v>
      </x:c>
      <x:c r="J114" s="13" t="str">
        <x:v>本港生产/腹地集散/港内加工</x:v>
      </x:c>
      <x:c r="K114" s="13" t="str">
        <x:v>每7个游戏日补充254货载单位。本地、所属岛链或相连腹地供货；成品由港内工坊加工，贸易规模是本作设计。</x:v>
      </x:c>
      <x:c r="L114" s="13" t="str">
        <x:v>港口发展度达到D0（≥0点）；不要求武装度。</x:v>
      </x:c>
    </x:row>
    <x:row r="115" ht="42" customHeight="1">
      <x:c r="A115" s="15" t="str">
        <x:v>P013</x:v>
      </x:c>
      <x:c r="B115" s="15" t="str">
        <x:v>塞维利亚</x:v>
      </x:c>
      <x:c r="C115" s="15" t="str">
        <x:v>G013</x:v>
      </x:c>
      <x:c r="D115" s="15" t="str">
        <x:v>橄榄油</x:v>
      </x:c>
      <x:c r="E115" s="30" t="n">
        <x:v>0</x:v>
      </x:c>
      <x:c r="F115" s="30" t="n">
        <x:v>120</x:v>
      </x:c>
      <x:c r="G115" s="30" t="n">
        <x:v>197</x:v>
      </x:c>
      <x:c r="H115" s="30" t="n">
        <x:v>591</x:v>
      </x:c>
      <x:c r="I115" s="54" t="n">
        <x:v>0.74</x:v>
      </x:c>
      <x:c r="J115" s="15" t="str">
        <x:v>本港生产/腹地集散/港内加工</x:v>
      </x:c>
      <x:c r="K115" s="15" t="str">
        <x:v>每7个游戏日补充197货载单位。本地、所属岛链或相连腹地供货；成品由港内工坊加工，贸易规模是本作设计。</x:v>
      </x:c>
      <x:c r="L115" s="15" t="str">
        <x:v>港口发展度达到D0（≥0点）；不要求武装度。</x:v>
      </x:c>
    </x:row>
    <x:row r="116" ht="42" customHeight="1">
      <x:c r="A116" s="13" t="str">
        <x:v>P013</x:v>
      </x:c>
      <x:c r="B116" s="13" t="str">
        <x:v>塞维利亚</x:v>
      </x:c>
      <x:c r="C116" s="13" t="str">
        <x:v>G023</x:v>
      </x:c>
      <x:c r="D116" s="13" t="str">
        <x:v>葡萄酒</x:v>
      </x:c>
      <x:c r="E116" s="27" t="n">
        <x:v>1</x:v>
      </x:c>
      <x:c r="F116" s="27" t="n">
        <x:v>115</x:v>
      </x:c>
      <x:c r="G116" s="27" t="n">
        <x:v>96</x:v>
      </x:c>
      <x:c r="H116" s="27" t="n">
        <x:v>288</x:v>
      </x:c>
      <x:c r="I116" s="52" t="n">
        <x:v>0.74</x:v>
      </x:c>
      <x:c r="J116" s="13" t="str">
        <x:v>本港生产/腹地集散/港内加工</x:v>
      </x:c>
      <x:c r="K116" s="13" t="str">
        <x:v>每7个游戏日补充96货载单位。本地、所属岛链或相连腹地供货；成品由港内工坊加工，贸易规模是本作设计。</x:v>
      </x:c>
      <x:c r="L116" s="13" t="str">
        <x:v>港口发展度达到D1（≥100点）；不要求武装度。</x:v>
      </x:c>
    </x:row>
    <x:row r="117" ht="42" customHeight="1">
      <x:c r="A117" s="15" t="str">
        <x:v>P013</x:v>
      </x:c>
      <x:c r="B117" s="15" t="str">
        <x:v>塞维利亚</x:v>
      </x:c>
      <x:c r="C117" s="15" t="str">
        <x:v>G094</x:v>
      </x:c>
      <x:c r="D117" s="15" t="str">
        <x:v>柑橘</x:v>
      </x:c>
      <x:c r="E117" s="30" t="n">
        <x:v>1</x:v>
      </x:c>
      <x:c r="F117" s="30" t="n">
        <x:v>62</x:v>
      </x:c>
      <x:c r="G117" s="30" t="n">
        <x:v>188</x:v>
      </x:c>
      <x:c r="H117" s="30" t="n">
        <x:v>564</x:v>
      </x:c>
      <x:c r="I117" s="54" t="n">
        <x:v>0.74</x:v>
      </x:c>
      <x:c r="J117" s="15" t="str">
        <x:v>本港生产/腹地集散/港内加工</x:v>
      </x:c>
      <x:c r="K117" s="15" t="str">
        <x:v>每7个游戏日补充188货载单位。本地、所属岛链或相连腹地供货；成品由港内工坊加工，贸易规模是本作设计。</x:v>
      </x:c>
      <x:c r="L117" s="15" t="str">
        <x:v>港口发展度达到D1（≥100点）；不要求武装度。</x:v>
      </x:c>
    </x:row>
    <x:row r="118" ht="42" customHeight="1">
      <x:c r="A118" s="13" t="str">
        <x:v>P013</x:v>
      </x:c>
      <x:c r="B118" s="13" t="str">
        <x:v>塞维利亚</x:v>
      </x:c>
      <x:c r="C118" s="13" t="str">
        <x:v>G039</x:v>
      </x:c>
      <x:c r="D118" s="13" t="str">
        <x:v>羊毛</x:v>
      </x:c>
      <x:c r="E118" s="27" t="n">
        <x:v>2</x:v>
      </x:c>
      <x:c r="F118" s="27" t="n">
        <x:v>100</x:v>
      </x:c>
      <x:c r="G118" s="27" t="n">
        <x:v>144</x:v>
      </x:c>
      <x:c r="H118" s="27" t="n">
        <x:v>432</x:v>
      </x:c>
      <x:c r="I118" s="52" t="n">
        <x:v>0.8</x:v>
      </x:c>
      <x:c r="J118" s="13" t="str">
        <x:v>本港生产/腹地集散/港内加工</x:v>
      </x:c>
      <x:c r="K118" s="13" t="str">
        <x:v>每7个游戏日补充144货载单位。本地、所属岛链或相连腹地供货；成品由港内工坊加工，贸易规模是本作设计。</x:v>
      </x:c>
      <x:c r="L118" s="13" t="str">
        <x:v>港口发展度达到D2（≥250点）；不要求武装度。</x:v>
      </x:c>
    </x:row>
    <x:row r="119" ht="42" customHeight="1">
      <x:c r="A119" s="15" t="str">
        <x:v>P013</x:v>
      </x:c>
      <x:c r="B119" s="15" t="str">
        <x:v>塞维利亚</x:v>
      </x:c>
      <x:c r="C119" s="15" t="str">
        <x:v>G034</x:v>
      </x:c>
      <x:c r="D119" s="15" t="str">
        <x:v>藏红花</x:v>
      </x:c>
      <x:c r="E119" s="30" t="n">
        <x:v>3</x:v>
      </x:c>
      <x:c r="F119" s="30" t="n">
        <x:v>860</x:v>
      </x:c>
      <x:c r="G119" s="30" t="n">
        <x:v>32</x:v>
      </x:c>
      <x:c r="H119" s="30" t="n">
        <x:v>96</x:v>
      </x:c>
      <x:c r="I119" s="54" t="n">
        <x:v>0.8</x:v>
      </x:c>
      <x:c r="J119" s="15" t="str">
        <x:v>本港生产/腹地集散/港内加工</x:v>
      </x:c>
      <x:c r="K119" s="15" t="str">
        <x:v>每7个游戏日补充32货载单位。本地、所属岛链或相连腹地供货；成品由港内工坊加工，贸易规模是本作设计。</x:v>
      </x:c>
      <x:c r="L119" s="15" t="str">
        <x:v>港口发展度达到D3（≥450点）；不要求武装度。</x:v>
      </x:c>
    </x:row>
    <x:row r="120" ht="42" customHeight="1">
      <x:c r="A120" s="13" t="str">
        <x:v>P013</x:v>
      </x:c>
      <x:c r="B120" s="13" t="str">
        <x:v>塞维利亚</x:v>
      </x:c>
      <x:c r="C120" s="13" t="str">
        <x:v>G051</x:v>
      </x:c>
      <x:c r="D120" s="13" t="str">
        <x:v>胭脂虫红</x:v>
      </x:c>
      <x:c r="E120" s="27" t="n">
        <x:v>4</x:v>
      </x:c>
      <x:c r="F120" s="27" t="n">
        <x:v>750</x:v>
      </x:c>
      <x:c r="G120" s="27" t="n">
        <x:v>15</x:v>
      </x:c>
      <x:c r="H120" s="27" t="n">
        <x:v>45</x:v>
      </x:c>
      <x:c r="I120" s="52" t="n">
        <x:v>1.14</x:v>
      </x:c>
      <x:c r="J120" s="13" t="str">
        <x:v>进口/区域转口</x:v>
      </x:c>
      <x:c r="K120" s="13" t="str">
        <x:v>每7个游戏日补充15货载单位。由区域商队或NPC货船带入；为港口转售供货，不改变商品的原产地区。</x:v>
      </x:c>
      <x:c r="L120" s="13" t="str">
        <x:v>港口发展度达到D4（≥700点）；不要求武装度。</x:v>
      </x:c>
    </x:row>
    <x:row r="121" ht="42" customHeight="1">
      <x:c r="A121" s="15" t="str">
        <x:v>P013</x:v>
      </x:c>
      <x:c r="B121" s="15" t="str">
        <x:v>塞维利亚</x:v>
      </x:c>
      <x:c r="C121" s="15" t="str">
        <x:v>G073</x:v>
      </x:c>
      <x:c r="D121" s="15" t="str">
        <x:v>珠宝</x:v>
      </x:c>
      <x:c r="E121" s="30" t="n">
        <x:v>5</x:v>
      </x:c>
      <x:c r="F121" s="30" t="n">
        <x:v>760</x:v>
      </x:c>
      <x:c r="G121" s="30" t="n">
        <x:v>9</x:v>
      </x:c>
      <x:c r="H121" s="30" t="n">
        <x:v>27</x:v>
      </x:c>
      <x:c r="I121" s="54" t="n">
        <x:v>0.87</x:v>
      </x:c>
      <x:c r="J121" s="15" t="str">
        <x:v>本港生产/腹地集散/港内加工</x:v>
      </x:c>
      <x:c r="K121" s="15" t="str">
        <x:v>每7个游戏日补充9货载单位。本地、所属岛链或相连腹地供货；成品由港内工坊加工，贸易规模是本作设计。</x:v>
      </x:c>
      <x:c r="L121" s="15" t="str">
        <x:v>港口发展度达到D5（≥1000点）；不要求武装度。</x:v>
      </x:c>
    </x:row>
    <x:row r="122" ht="42" customHeight="1">
      <x:c r="A122" s="13" t="str">
        <x:v>P013</x:v>
      </x:c>
      <x:c r="B122" s="13" t="str">
        <x:v>塞维利亚</x:v>
      </x:c>
      <x:c r="C122" s="13" t="str">
        <x:v>SP013</x:v>
      </x:c>
      <x:c r="D122" s="13" t="str">
        <x:v>橙花银线披肩</x:v>
      </x:c>
      <x:c r="E122" s="27" t="n">
        <x:v>3</x:v>
      </x:c>
      <x:c r="F122" s="27" t="n">
        <x:v>950</x:v>
      </x:c>
      <x:c r="G122" s="27" t="n">
        <x:v>11</x:v>
      </x:c>
      <x:c r="H122" s="27" t="n">
        <x:v>22</x:v>
      </x:c>
      <x:c r="I122" s="52" t="n">
        <x:v>0.78</x:v>
      </x:c>
      <x:c r="J122" s="13" t="str">
        <x:v>港口独占原创工坊特产</x:v>
      </x:c>
      <x:c r="K122" s="13" t="str">
        <x:v>每7个游戏日由「橙园银线织坊」交货11货载；只在本港形成稳定产源。</x:v>
      </x:c>
      <x:c r="L122" s="13" t="str">
        <x:v>港口发展度达到D3（≥450点）时，投资项目「橙园银线织坊」自动完工；不要求武装度。</x:v>
      </x:c>
    </x:row>
    <x:row r="123" ht="42" customHeight="1">
      <x:c r="A123" s="15" t="str">
        <x:v>P014</x:v>
      </x:c>
      <x:c r="B123" s="15" t="str">
        <x:v>加的斯</x:v>
      </x:c>
      <x:c r="C123" s="15" t="str">
        <x:v>G009</x:v>
      </x:c>
      <x:c r="D123" s="15" t="str">
        <x:v>盐</x:v>
      </x:c>
      <x:c r="E123" s="30" t="n">
        <x:v>0</x:v>
      </x:c>
      <x:c r="F123" s="30" t="n">
        <x:v>28</x:v>
      </x:c>
      <x:c r="G123" s="30" t="n">
        <x:v>189</x:v>
      </x:c>
      <x:c r="H123" s="30" t="n">
        <x:v>567</x:v>
      </x:c>
      <x:c r="I123" s="54" t="n">
        <x:v>0.74</x:v>
      </x:c>
      <x:c r="J123" s="15" t="str">
        <x:v>本港生产/腹地集散/港内加工</x:v>
      </x:c>
      <x:c r="K123" s="15" t="str">
        <x:v>每7个游戏日补充189货载单位。本地、所属岛链或相连腹地供货；成品由港内工坊加工，贸易规模是本作设计。</x:v>
      </x:c>
      <x:c r="L123" s="15" t="str">
        <x:v>港口发展度达到D0（≥0点）；不要求武装度。</x:v>
      </x:c>
    </x:row>
    <x:row r="124" ht="42" customHeight="1">
      <x:c r="A124" s="13" t="str">
        <x:v>P014</x:v>
      </x:c>
      <x:c r="B124" s="13" t="str">
        <x:v>加的斯</x:v>
      </x:c>
      <x:c r="C124" s="13" t="str">
        <x:v>G015</x:v>
      </x:c>
      <x:c r="D124" s="13" t="str">
        <x:v>咸鱼</x:v>
      </x:c>
      <x:c r="E124" s="27" t="n">
        <x:v>0</x:v>
      </x:c>
      <x:c r="F124" s="27" t="n">
        <x:v>65</x:v>
      </x:c>
      <x:c r="G124" s="27" t="n">
        <x:v>189</x:v>
      </x:c>
      <x:c r="H124" s="27" t="n">
        <x:v>567</x:v>
      </x:c>
      <x:c r="I124" s="52" t="n">
        <x:v>0.74</x:v>
      </x:c>
      <x:c r="J124" s="13" t="str">
        <x:v>本港生产/腹地集散/港内加工</x:v>
      </x:c>
      <x:c r="K124" s="13" t="str">
        <x:v>每7个游戏日补充189货载单位。本地、所属岛链或相连腹地供货；成品由港内工坊加工，贸易规模是本作设计。</x:v>
      </x:c>
      <x:c r="L124" s="13" t="str">
        <x:v>港口发展度达到D0（≥0点）；不要求武装度。</x:v>
      </x:c>
    </x:row>
    <x:row r="125" ht="42" customHeight="1">
      <x:c r="A125" s="15" t="str">
        <x:v>P014</x:v>
      </x:c>
      <x:c r="B125" s="15" t="str">
        <x:v>加的斯</x:v>
      </x:c>
      <x:c r="C125" s="15" t="str">
        <x:v>G023</x:v>
      </x:c>
      <x:c r="D125" s="15" t="str">
        <x:v>葡萄酒</x:v>
      </x:c>
      <x:c r="E125" s="30" t="n">
        <x:v>1</x:v>
      </x:c>
      <x:c r="F125" s="30" t="n">
        <x:v>115</x:v>
      </x:c>
      <x:c r="G125" s="30" t="n">
        <x:v>92</x:v>
      </x:c>
      <x:c r="H125" s="30" t="n">
        <x:v>276</x:v>
      </x:c>
      <x:c r="I125" s="54" t="n">
        <x:v>0.74</x:v>
      </x:c>
      <x:c r="J125" s="15" t="str">
        <x:v>本港生产/腹地集散/港内加工</x:v>
      </x:c>
      <x:c r="K125" s="15" t="str">
        <x:v>每7个游戏日补充92货载单位。本地、所属岛链或相连腹地供货；成品由港内工坊加工，贸易规模是本作设计。</x:v>
      </x:c>
      <x:c r="L125" s="15" t="str">
        <x:v>港口发展度达到D1（≥100点）；不要求武装度。</x:v>
      </x:c>
    </x:row>
    <x:row r="126" ht="42" customHeight="1">
      <x:c r="A126" s="13" t="str">
        <x:v>P014</x:v>
      </x:c>
      <x:c r="B126" s="13" t="str">
        <x:v>加的斯</x:v>
      </x:c>
      <x:c r="C126" s="13" t="str">
        <x:v>G018</x:v>
      </x:c>
      <x:c r="D126" s="13" t="str">
        <x:v>咸牛肉</x:v>
      </x:c>
      <x:c r="E126" s="27" t="n">
        <x:v>1</x:v>
      </x:c>
      <x:c r="F126" s="27" t="n">
        <x:v>82</x:v>
      </x:c>
      <x:c r="G126" s="27" t="n">
        <x:v>180</x:v>
      </x:c>
      <x:c r="H126" s="27" t="n">
        <x:v>540</x:v>
      </x:c>
      <x:c r="I126" s="52" t="n">
        <x:v>0.74</x:v>
      </x:c>
      <x:c r="J126" s="13" t="str">
        <x:v>本港生产/腹地集散/港内加工</x:v>
      </x:c>
      <x:c r="K126" s="13" t="str">
        <x:v>每7个游戏日补充180货载单位。本地、所属岛链或相连腹地供货；成品由港内工坊加工，贸易规模是本作设计。</x:v>
      </x:c>
      <x:c r="L126" s="13" t="str">
        <x:v>港口发展度达到D1（≥100点）；不要求武装度。</x:v>
      </x:c>
    </x:row>
    <x:row r="127" ht="42" customHeight="1">
      <x:c r="A127" s="15" t="str">
        <x:v>P014</x:v>
      </x:c>
      <x:c r="B127" s="15" t="str">
        <x:v>加的斯</x:v>
      </x:c>
      <x:c r="C127" s="15" t="str">
        <x:v>G024</x:v>
      </x:c>
      <x:c r="D127" s="15" t="str">
        <x:v>烈酒</x:v>
      </x:c>
      <x:c r="E127" s="30" t="n">
        <x:v>2</x:v>
      </x:c>
      <x:c r="F127" s="30" t="n">
        <x:v>135</x:v>
      </x:c>
      <x:c r="G127" s="30" t="n">
        <x:v>83</x:v>
      </x:c>
      <x:c r="H127" s="30" t="n">
        <x:v>249</x:v>
      </x:c>
      <x:c r="I127" s="54" t="n">
        <x:v>0.8</x:v>
      </x:c>
      <x:c r="J127" s="15" t="str">
        <x:v>本港生产/腹地集散/港内加工</x:v>
      </x:c>
      <x:c r="K127" s="15" t="str">
        <x:v>每7个游戏日补充83货载单位。本地、所属岛链或相连腹地供货；成品由港内工坊加工，贸易规模是本作设计。</x:v>
      </x:c>
      <x:c r="L127" s="15" t="str">
        <x:v>港口发展度达到D2（≥250点）；不要求武装度。</x:v>
      </x:c>
    </x:row>
    <x:row r="128" ht="42" customHeight="1">
      <x:c r="A128" s="13" t="str">
        <x:v>P014</x:v>
      </x:c>
      <x:c r="B128" s="13" t="str">
        <x:v>加的斯</x:v>
      </x:c>
      <x:c r="C128" s="13" t="str">
        <x:v>G062</x:v>
      </x:c>
      <x:c r="D128" s="13" t="str">
        <x:v>白银</x:v>
      </x:c>
      <x:c r="E128" s="27" t="n">
        <x:v>3</x:v>
      </x:c>
      <x:c r="F128" s="27" t="n">
        <x:v>850</x:v>
      </x:c>
      <x:c r="G128" s="27" t="n">
        <x:v>7</x:v>
      </x:c>
      <x:c r="H128" s="27" t="n">
        <x:v>21</x:v>
      </x:c>
      <x:c r="I128" s="52" t="n">
        <x:v>1.14</x:v>
      </x:c>
      <x:c r="J128" s="13" t="str">
        <x:v>进口/区域转口</x:v>
      </x:c>
      <x:c r="K128" s="13" t="str">
        <x:v>每7个游戏日补充7货载单位。由区域商队或NPC货船带入；为港口转售供货，不改变商品的原产地区。</x:v>
      </x:c>
      <x:c r="L128" s="13" t="str">
        <x:v>港口发展度达到D3（≥450点）；不要求武装度。</x:v>
      </x:c>
    </x:row>
    <x:row r="129" ht="42" customHeight="1">
      <x:c r="A129" s="15" t="str">
        <x:v>P014</x:v>
      </x:c>
      <x:c r="B129" s="15" t="str">
        <x:v>加的斯</x:v>
      </x:c>
      <x:c r="C129" s="15" t="str">
        <x:v>G067</x:v>
      </x:c>
      <x:c r="D129" s="15" t="str">
        <x:v>火药</x:v>
      </x:c>
      <x:c r="E129" s="30" t="n">
        <x:v>4</x:v>
      </x:c>
      <x:c r="F129" s="30" t="n">
        <x:v>265</x:v>
      </x:c>
      <x:c r="G129" s="30" t="n">
        <x:v>59</x:v>
      </x:c>
      <x:c r="H129" s="30" t="n">
        <x:v>177</x:v>
      </x:c>
      <x:c r="I129" s="54" t="n">
        <x:v>0.87</x:v>
      </x:c>
      <x:c r="J129" s="15" t="str">
        <x:v>本港生产/腹地集散/港内加工</x:v>
      </x:c>
      <x:c r="K129" s="15" t="str">
        <x:v>每7个游戏日补充59货载单位。本地、所属岛链或相连腹地供货；成品由港内工坊加工，贸易规模是本作设计。</x:v>
      </x:c>
      <x:c r="L129" s="15" t="str">
        <x:v>港口发展度达到D4（≥700点）；不要求武装度。</x:v>
      </x:c>
    </x:row>
    <x:row r="130" ht="42" customHeight="1">
      <x:c r="A130" s="13" t="str">
        <x:v>P014</x:v>
      </x:c>
      <x:c r="B130" s="13" t="str">
        <x:v>加的斯</x:v>
      </x:c>
      <x:c r="C130" s="13" t="str">
        <x:v>G099</x:v>
      </x:c>
      <x:c r="D130" s="13" t="str">
        <x:v>航海仪器</x:v>
      </x:c>
      <x:c r="E130" s="27" t="n">
        <x:v>5</x:v>
      </x:c>
      <x:c r="F130" s="27" t="n">
        <x:v>650</x:v>
      </x:c>
      <x:c r="G130" s="27" t="n">
        <x:v>8</x:v>
      </x:c>
      <x:c r="H130" s="27" t="n">
        <x:v>24</x:v>
      </x:c>
      <x:c r="I130" s="52" t="n">
        <x:v>0.87</x:v>
      </x:c>
      <x:c r="J130" s="13" t="str">
        <x:v>本港生产/腹地集散/港内加工</x:v>
      </x:c>
      <x:c r="K130" s="13" t="str">
        <x:v>每7个游戏日补充8货载单位。本地、所属岛链或相连腹地供货；成品由港内工坊加工，贸易规模是本作设计。</x:v>
      </x:c>
      <x:c r="L130" s="13" t="str">
        <x:v>港口发展度达到D5（≥1000点）；不要求武装度。</x:v>
      </x:c>
    </x:row>
    <x:row r="131" ht="42" customHeight="1">
      <x:c r="A131" s="15" t="str">
        <x:v>P014</x:v>
      </x:c>
      <x:c r="B131" s="15" t="str">
        <x:v>加的斯</x:v>
      </x:c>
      <x:c r="C131" s="15" t="str">
        <x:v>SP014</x:v>
      </x:c>
      <x:c r="D131" s="15" t="str">
        <x:v>日晷塔雪莉珍酿</x:v>
      </x:c>
      <x:c r="E131" s="30" t="n">
        <x:v>3</x:v>
      </x:c>
      <x:c r="F131" s="30" t="n">
        <x:v>510</x:v>
      </x:c>
      <x:c r="G131" s="30" t="n">
        <x:v>11</x:v>
      </x:c>
      <x:c r="H131" s="30" t="n">
        <x:v>22</x:v>
      </x:c>
      <x:c r="I131" s="54" t="n">
        <x:v>0.78</x:v>
      </x:c>
      <x:c r="J131" s="15" t="str">
        <x:v>港口独占原创工坊特产</x:v>
      </x:c>
      <x:c r="K131" s="15" t="str">
        <x:v>每7个游戏日由「海风调配酒库」交货11货载；只在本港形成稳定产源。</x:v>
      </x:c>
      <x:c r="L131" s="15" t="str">
        <x:v>港口发展度达到D3（≥450点）时，投资项目「海风调配酒库」自动完工；不要求武装度。</x:v>
      </x:c>
    </x:row>
    <x:row r="132" ht="42" customHeight="1">
      <x:c r="A132" s="13" t="str">
        <x:v>P015</x:v>
      </x:c>
      <x:c r="B132" s="13" t="str">
        <x:v>拉科鲁尼亚</x:v>
      </x:c>
      <x:c r="C132" s="13" t="str">
        <x:v>G015</x:v>
      </x:c>
      <x:c r="D132" s="13" t="str">
        <x:v>咸鱼</x:v>
      </x:c>
      <x:c r="E132" s="27" t="n">
        <x:v>0</x:v>
      </x:c>
      <x:c r="F132" s="27" t="n">
        <x:v>65</x:v>
      </x:c>
      <x:c r="G132" s="27" t="n">
        <x:v>139</x:v>
      </x:c>
      <x:c r="H132" s="27" t="n">
        <x:v>417</x:v>
      </x:c>
      <x:c r="I132" s="52" t="n">
        <x:v>0.74</x:v>
      </x:c>
      <x:c r="J132" s="13" t="str">
        <x:v>本港生产/腹地集散/港内加工</x:v>
      </x:c>
      <x:c r="K132" s="13" t="str">
        <x:v>每7个游戏日补充139货载单位。本地、所属岛链或相连腹地供货；成品由港内工坊加工，贸易规模是本作设计。</x:v>
      </x:c>
      <x:c r="L132" s="13" t="str">
        <x:v>港口发展度达到D0（≥0点）；不要求武装度。</x:v>
      </x:c>
    </x:row>
    <x:row r="133" ht="42" customHeight="1">
      <x:c r="A133" s="15" t="str">
        <x:v>P015</x:v>
      </x:c>
      <x:c r="B133" s="15" t="str">
        <x:v>拉科鲁尼亚</x:v>
      </x:c>
      <x:c r="C133" s="15" t="str">
        <x:v>G009</x:v>
      </x:c>
      <x:c r="D133" s="15" t="str">
        <x:v>盐</x:v>
      </x:c>
      <x:c r="E133" s="30" t="n">
        <x:v>0</x:v>
      </x:c>
      <x:c r="F133" s="30" t="n">
        <x:v>28</x:v>
      </x:c>
      <x:c r="G133" s="30" t="n">
        <x:v>139</x:v>
      </x:c>
      <x:c r="H133" s="30" t="n">
        <x:v>417</x:v>
      </x:c>
      <x:c r="I133" s="54" t="n">
        <x:v>0.74</x:v>
      </x:c>
      <x:c r="J133" s="15" t="str">
        <x:v>本港生产/腹地集散/港内加工</x:v>
      </x:c>
      <x:c r="K133" s="15" t="str">
        <x:v>每7个游戏日补充139货载单位。本地、所属岛链或相连腹地供货；成品由港内工坊加工，贸易规模是本作设计。</x:v>
      </x:c>
      <x:c r="L133" s="15" t="str">
        <x:v>港口发展度达到D0（≥0点）；不要求武装度。</x:v>
      </x:c>
    </x:row>
    <x:row r="134" ht="42" customHeight="1">
      <x:c r="A134" s="13" t="str">
        <x:v>P015</x:v>
      </x:c>
      <x:c r="B134" s="13" t="str">
        <x:v>拉科鲁尼亚</x:v>
      </x:c>
      <x:c r="C134" s="13" t="str">
        <x:v>G016</x:v>
      </x:c>
      <x:c r="D134" s="13" t="str">
        <x:v>干鳕鱼</x:v>
      </x:c>
      <x:c r="E134" s="27" t="n">
        <x:v>1</x:v>
      </x:c>
      <x:c r="F134" s="27" t="n">
        <x:v>98</x:v>
      </x:c>
      <x:c r="G134" s="27" t="n">
        <x:v>132</x:v>
      </x:c>
      <x:c r="H134" s="27" t="n">
        <x:v>396</x:v>
      </x:c>
      <x:c r="I134" s="52" t="n">
        <x:v>0.74</x:v>
      </x:c>
      <x:c r="J134" s="13" t="str">
        <x:v>本港生产/腹地集散/港内加工</x:v>
      </x:c>
      <x:c r="K134" s="13" t="str">
        <x:v>每7个游戏日补充132货载单位。本地、所属岛链或相连腹地供货；成品由港内工坊加工，贸易规模是本作设计。</x:v>
      </x:c>
      <x:c r="L134" s="13" t="str">
        <x:v>港口发展度达到D1（≥100点）；不要求武装度。</x:v>
      </x:c>
    </x:row>
    <x:row r="135" ht="42" customHeight="1">
      <x:c r="A135" s="15" t="str">
        <x:v>P015</x:v>
      </x:c>
      <x:c r="B135" s="15" t="str">
        <x:v>拉科鲁尼亚</x:v>
      </x:c>
      <x:c r="C135" s="15" t="str">
        <x:v>G023</x:v>
      </x:c>
      <x:c r="D135" s="15" t="str">
        <x:v>葡萄酒</x:v>
      </x:c>
      <x:c r="E135" s="30" t="n">
        <x:v>1</x:v>
      </x:c>
      <x:c r="F135" s="30" t="n">
        <x:v>115</x:v>
      </x:c>
      <x:c r="G135" s="30" t="n">
        <x:v>68</x:v>
      </x:c>
      <x:c r="H135" s="30" t="n">
        <x:v>204</x:v>
      </x:c>
      <x:c r="I135" s="54" t="n">
        <x:v>0.74</x:v>
      </x:c>
      <x:c r="J135" s="15" t="str">
        <x:v>本港生产/腹地集散/港内加工</x:v>
      </x:c>
      <x:c r="K135" s="15" t="str">
        <x:v>每7个游戏日补充68货载单位。本地、所属岛链或相连腹地供货；成品由港内工坊加工，贸易规模是本作设计。</x:v>
      </x:c>
      <x:c r="L135" s="15" t="str">
        <x:v>港口发展度达到D1（≥100点）；不要求武装度。</x:v>
      </x:c>
    </x:row>
    <x:row r="136" ht="42" customHeight="1">
      <x:c r="A136" s="13" t="str">
        <x:v>P015</x:v>
      </x:c>
      <x:c r="B136" s="13" t="str">
        <x:v>拉科鲁尼亚</x:v>
      </x:c>
      <x:c r="C136" s="13" t="str">
        <x:v>G040</x:v>
      </x:c>
      <x:c r="D136" s="13" t="str">
        <x:v>亚麻</x:v>
      </x:c>
      <x:c r="E136" s="27" t="n">
        <x:v>2</x:v>
      </x:c>
      <x:c r="F136" s="27" t="n">
        <x:v>85</x:v>
      </x:c>
      <x:c r="G136" s="27" t="n">
        <x:v>101</x:v>
      </x:c>
      <x:c r="H136" s="27" t="n">
        <x:v>303</x:v>
      </x:c>
      <x:c r="I136" s="52" t="n">
        <x:v>0.8</x:v>
      </x:c>
      <x:c r="J136" s="13" t="str">
        <x:v>本港生产/腹地集散/港内加工</x:v>
      </x:c>
      <x:c r="K136" s="13" t="str">
        <x:v>每7个游戏日补充101货载单位。本地、所属岛链或相连腹地供货；成品由港内工坊加工，贸易规模是本作设计。</x:v>
      </x:c>
      <x:c r="L136" s="13" t="str">
        <x:v>港口发展度达到D2（≥250点）；不要求武装度。</x:v>
      </x:c>
    </x:row>
    <x:row r="137" ht="42" customHeight="1">
      <x:c r="A137" s="15" t="str">
        <x:v>P015</x:v>
      </x:c>
      <x:c r="B137" s="15" t="str">
        <x:v>拉科鲁尼亚</x:v>
      </x:c>
      <x:c r="C137" s="15" t="str">
        <x:v>G057</x:v>
      </x:c>
      <x:c r="D137" s="15" t="str">
        <x:v>松木</x:v>
      </x:c>
      <x:c r="E137" s="30" t="n">
        <x:v>3</x:v>
      </x:c>
      <x:c r="F137" s="30" t="n">
        <x:v>70</x:v>
      </x:c>
      <x:c r="G137" s="30" t="n">
        <x:v>78</x:v>
      </x:c>
      <x:c r="H137" s="30" t="n">
        <x:v>234</x:v>
      </x:c>
      <x:c r="I137" s="54" t="n">
        <x:v>0.8</x:v>
      </x:c>
      <x:c r="J137" s="15" t="str">
        <x:v>本港生产/腹地集散/港内加工</x:v>
      </x:c>
      <x:c r="K137" s="15" t="str">
        <x:v>每7个游戏日补充78货载单位。本地、所属岛链或相连腹地供货；成品由港内工坊加工，贸易规模是本作设计。</x:v>
      </x:c>
      <x:c r="L137" s="15" t="str">
        <x:v>港口发展度达到D3（≥450点）；不要求武装度。</x:v>
      </x:c>
    </x:row>
    <x:row r="138" ht="42" customHeight="1">
      <x:c r="A138" s="13" t="str">
        <x:v>P015</x:v>
      </x:c>
      <x:c r="B138" s="13" t="str">
        <x:v>拉科鲁尼亚</x:v>
      </x:c>
      <x:c r="C138" s="13" t="str">
        <x:v>G068</x:v>
      </x:c>
      <x:c r="D138" s="13" t="str">
        <x:v>铁工具</x:v>
      </x:c>
      <x:c r="E138" s="27" t="n">
        <x:v>4</x:v>
      </x:c>
      <x:c r="F138" s="27" t="n">
        <x:v>190</x:v>
      </x:c>
      <x:c r="G138" s="27" t="n">
        <x:v>43</x:v>
      </x:c>
      <x:c r="H138" s="27" t="n">
        <x:v>129</x:v>
      </x:c>
      <x:c r="I138" s="52" t="n">
        <x:v>0.87</x:v>
      </x:c>
      <x:c r="J138" s="13" t="str">
        <x:v>本港生产/腹地集散/港内加工</x:v>
      </x:c>
      <x:c r="K138" s="13" t="str">
        <x:v>每7个游戏日补充43货载单位。本地、所属岛链或相连腹地供货；成品由港内工坊加工，贸易规模是本作设计。</x:v>
      </x:c>
      <x:c r="L138" s="13" t="str">
        <x:v>港口发展度达到D4（≥700点）；不要求武装度。</x:v>
      </x:c>
    </x:row>
    <x:row r="139" ht="42" customHeight="1">
      <x:c r="A139" s="15" t="str">
        <x:v>P015</x:v>
      </x:c>
      <x:c r="B139" s="15" t="str">
        <x:v>拉科鲁尼亚</x:v>
      </x:c>
      <x:c r="C139" s="15" t="str">
        <x:v>G099</x:v>
      </x:c>
      <x:c r="D139" s="15" t="str">
        <x:v>航海仪器</x:v>
      </x:c>
      <x:c r="E139" s="30" t="n">
        <x:v>5</x:v>
      </x:c>
      <x:c r="F139" s="30" t="n">
        <x:v>650</x:v>
      </x:c>
      <x:c r="G139" s="30" t="n">
        <x:v>6</x:v>
      </x:c>
      <x:c r="H139" s="30" t="n">
        <x:v>18</x:v>
      </x:c>
      <x:c r="I139" s="54" t="n">
        <x:v>0.87</x:v>
      </x:c>
      <x:c r="J139" s="15" t="str">
        <x:v>本港生产/腹地集散/港内加工</x:v>
      </x:c>
      <x:c r="K139" s="15" t="str">
        <x:v>每7个游戏日补充6货载单位。本地、所属岛链或相连腹地供货；成品由港内工坊加工，贸易规模是本作设计。</x:v>
      </x:c>
      <x:c r="L139" s="15" t="str">
        <x:v>港口发展度达到D5（≥1000点）；不要求武装度。</x:v>
      </x:c>
    </x:row>
    <x:row r="140" ht="42" customHeight="1">
      <x:c r="A140" s="13" t="str">
        <x:v>P015</x:v>
      </x:c>
      <x:c r="B140" s="13" t="str">
        <x:v>拉科鲁尼亚</x:v>
      </x:c>
      <x:c r="C140" s="13" t="str">
        <x:v>SP015</x:v>
      </x:c>
      <x:c r="D140" s="13" t="str">
        <x:v>灯塔贝母罗盘盒</x:v>
      </x:c>
      <x:c r="E140" s="27" t="n">
        <x:v>3</x:v>
      </x:c>
      <x:c r="F140" s="27" t="n">
        <x:v>610</x:v>
      </x:c>
      <x:c r="G140" s="27" t="n">
        <x:v>8</x:v>
      </x:c>
      <x:c r="H140" s="27" t="n">
        <x:v>16</x:v>
      </x:c>
      <x:c r="I140" s="52" t="n">
        <x:v>0.78</x:v>
      </x:c>
      <x:c r="J140" s="13" t="str">
        <x:v>港口独占原创工坊特产</x:v>
      </x:c>
      <x:c r="K140" s="13" t="str">
        <x:v>每7个游戏日由「海堤贝母工坊」交货8货载；只在本港形成稳定产源。</x:v>
      </x:c>
      <x:c r="L140" s="13" t="str">
        <x:v>港口发展度达到D3（≥450点）时，投资项目「海堤贝母工坊」自动完工；不要求武装度。</x:v>
      </x:c>
    </x:row>
    <x:row r="141" ht="42" customHeight="1">
      <x:c r="A141" s="15" t="str">
        <x:v>P016</x:v>
      </x:c>
      <x:c r="B141" s="15" t="str">
        <x:v>毕尔巴鄂</x:v>
      </x:c>
      <x:c r="C141" s="15" t="str">
        <x:v>G058</x:v>
      </x:c>
      <x:c r="D141" s="15" t="str">
        <x:v>铁锭</x:v>
      </x:c>
      <x:c r="E141" s="30" t="n">
        <x:v>0</x:v>
      </x:c>
      <x:c r="F141" s="30" t="n">
        <x:v>120</x:v>
      </x:c>
      <x:c r="G141" s="30" t="n">
        <x:v>48</x:v>
      </x:c>
      <x:c r="H141" s="30" t="n">
        <x:v>144</x:v>
      </x:c>
      <x:c r="I141" s="54" t="n">
        <x:v>0.74</x:v>
      </x:c>
      <x:c r="J141" s="15" t="str">
        <x:v>本港生产/腹地集散/港内加工</x:v>
      </x:c>
      <x:c r="K141" s="15" t="str">
        <x:v>每7个游戏日补充48货载单位。本地、所属岛链或相连腹地供货；成品由港内工坊加工，贸易规模是本作设计。</x:v>
      </x:c>
      <x:c r="L141" s="15" t="str">
        <x:v>港口发展度达到D0（≥0点）；不要求武装度。</x:v>
      </x:c>
    </x:row>
    <x:row r="142" ht="42" customHeight="1">
      <x:c r="A142" s="13" t="str">
        <x:v>P016</x:v>
      </x:c>
      <x:c r="B142" s="13" t="str">
        <x:v>毕尔巴鄂</x:v>
      </x:c>
      <x:c r="C142" s="13" t="str">
        <x:v>G056</x:v>
      </x:c>
      <x:c r="D142" s="13" t="str">
        <x:v>橡木</x:v>
      </x:c>
      <x:c r="E142" s="27" t="n">
        <x:v>0</x:v>
      </x:c>
      <x:c r="F142" s="27" t="n">
        <x:v>90</x:v>
      </x:c>
      <x:c r="G142" s="27" t="n">
        <x:v>131</x:v>
      </x:c>
      <x:c r="H142" s="27" t="n">
        <x:v>393</x:v>
      </x:c>
      <x:c r="I142" s="52" t="n">
        <x:v>0.74</x:v>
      </x:c>
      <x:c r="J142" s="13" t="str">
        <x:v>本港生产/腹地集散/港内加工</x:v>
      </x:c>
      <x:c r="K142" s="13" t="str">
        <x:v>每7个游戏日补充131货载单位。本地、所属岛链或相连腹地供货；成品由港内工坊加工，贸易规模是本作设计。</x:v>
      </x:c>
      <x:c r="L142" s="13" t="str">
        <x:v>港口发展度达到D0（≥0点）；不要求武装度。</x:v>
      </x:c>
    </x:row>
    <x:row r="143" ht="42" customHeight="1">
      <x:c r="A143" s="15" t="str">
        <x:v>P016</x:v>
      </x:c>
      <x:c r="B143" s="15" t="str">
        <x:v>毕尔巴鄂</x:v>
      </x:c>
      <x:c r="C143" s="15" t="str">
        <x:v>G015</x:v>
      </x:c>
      <x:c r="D143" s="15" t="str">
        <x:v>咸鱼</x:v>
      </x:c>
      <x:c r="E143" s="30" t="n">
        <x:v>1</x:v>
      </x:c>
      <x:c r="F143" s="30" t="n">
        <x:v>65</x:v>
      </x:c>
      <x:c r="G143" s="30" t="n">
        <x:v>158</x:v>
      </x:c>
      <x:c r="H143" s="30" t="n">
        <x:v>474</x:v>
      </x:c>
      <x:c r="I143" s="54" t="n">
        <x:v>0.74</x:v>
      </x:c>
      <x:c r="J143" s="15" t="str">
        <x:v>本港生产/腹地集散/港内加工</x:v>
      </x:c>
      <x:c r="K143" s="15" t="str">
        <x:v>每7个游戏日补充158货载单位。本地、所属岛链或相连腹地供货；成品由港内工坊加工，贸易规模是本作设计。</x:v>
      </x:c>
      <x:c r="L143" s="15" t="str">
        <x:v>港口发展度达到D1（≥100点）；不要求武装度。</x:v>
      </x:c>
    </x:row>
    <x:row r="144" ht="42" customHeight="1">
      <x:c r="A144" s="13" t="str">
        <x:v>P016</x:v>
      </x:c>
      <x:c r="B144" s="13" t="str">
        <x:v>毕尔巴鄂</x:v>
      </x:c>
      <x:c r="C144" s="13" t="str">
        <x:v>G018</x:v>
      </x:c>
      <x:c r="D144" s="13" t="str">
        <x:v>咸牛肉</x:v>
      </x:c>
      <x:c r="E144" s="27" t="n">
        <x:v>1</x:v>
      </x:c>
      <x:c r="F144" s="27" t="n">
        <x:v>82</x:v>
      </x:c>
      <x:c r="G144" s="27" t="n">
        <x:v>158</x:v>
      </x:c>
      <x:c r="H144" s="27" t="n">
        <x:v>474</x:v>
      </x:c>
      <x:c r="I144" s="52" t="n">
        <x:v>0.74</x:v>
      </x:c>
      <x:c r="J144" s="13" t="str">
        <x:v>本港生产/腹地集散/港内加工</x:v>
      </x:c>
      <x:c r="K144" s="13" t="str">
        <x:v>每7个游戏日补充158货载单位。本地、所属岛链或相连腹地供货；成品由港内工坊加工，贸易规模是本作设计。</x:v>
      </x:c>
      <x:c r="L144" s="13" t="str">
        <x:v>港口发展度达到D1（≥100点）；不要求武装度。</x:v>
      </x:c>
    </x:row>
    <x:row r="145" ht="42" customHeight="1">
      <x:c r="A145" s="15" t="str">
        <x:v>P016</x:v>
      </x:c>
      <x:c r="B145" s="15" t="str">
        <x:v>毕尔巴鄂</x:v>
      </x:c>
      <x:c r="C145" s="15" t="str">
        <x:v>G059</x:v>
      </x:c>
      <x:c r="D145" s="15" t="str">
        <x:v>铜锭</x:v>
      </x:c>
      <x:c r="E145" s="30" t="n">
        <x:v>2</x:v>
      </x:c>
      <x:c r="F145" s="30" t="n">
        <x:v>185</x:v>
      </x:c>
      <x:c r="G145" s="30" t="n">
        <x:v>21</x:v>
      </x:c>
      <x:c r="H145" s="30" t="n">
        <x:v>63</x:v>
      </x:c>
      <x:c r="I145" s="54" t="n">
        <x:v>1.08</x:v>
      </x:c>
      <x:c r="J145" s="15" t="str">
        <x:v>进口/区域转口</x:v>
      </x:c>
      <x:c r="K145" s="15" t="str">
        <x:v>每7个游戏日补充21货载单位。由区域商队或NPC货船带入；为港口转售供货，不改变商品的原产地区。</x:v>
      </x:c>
      <x:c r="L145" s="15" t="str">
        <x:v>港口发展度达到D2（≥250点）；不要求武装度。</x:v>
      </x:c>
    </x:row>
    <x:row r="146" ht="42" customHeight="1">
      <x:c r="A146" s="13" t="str">
        <x:v>P016</x:v>
      </x:c>
      <x:c r="B146" s="13" t="str">
        <x:v>毕尔巴鄂</x:v>
      </x:c>
      <x:c r="C146" s="13" t="str">
        <x:v>G068</x:v>
      </x:c>
      <x:c r="D146" s="13" t="str">
        <x:v>铁工具</x:v>
      </x:c>
      <x:c r="E146" s="27" t="n">
        <x:v>3</x:v>
      </x:c>
      <x:c r="F146" s="27" t="n">
        <x:v>190</x:v>
      </x:c>
      <x:c r="G146" s="27" t="n">
        <x:v>60</x:v>
      </x:c>
      <x:c r="H146" s="27" t="n">
        <x:v>180</x:v>
      </x:c>
      <x:c r="I146" s="52" t="n">
        <x:v>0.8</x:v>
      </x:c>
      <x:c r="J146" s="13" t="str">
        <x:v>本港生产/腹地集散/港内加工</x:v>
      </x:c>
      <x:c r="K146" s="13" t="str">
        <x:v>每7个游戏日补充60货载单位。本地、所属岛链或相连腹地供货；成品由港内工坊加工，贸易规模是本作设计。</x:v>
      </x:c>
      <x:c r="L146" s="13" t="str">
        <x:v>港口发展度达到D3（≥450点）；不要求武装度。</x:v>
      </x:c>
    </x:row>
    <x:row r="147" ht="42" customHeight="1">
      <x:c r="A147" s="15" t="str">
        <x:v>P016</x:v>
      </x:c>
      <x:c r="B147" s="15" t="str">
        <x:v>毕尔巴鄂</x:v>
      </x:c>
      <x:c r="C147" s="15" t="str">
        <x:v>G067</x:v>
      </x:c>
      <x:c r="D147" s="15" t="str">
        <x:v>火药</x:v>
      </x:c>
      <x:c r="E147" s="30" t="n">
        <x:v>4</x:v>
      </x:c>
      <x:c r="F147" s="30" t="n">
        <x:v>265</x:v>
      </x:c>
      <x:c r="G147" s="30" t="n">
        <x:v>52</x:v>
      </x:c>
      <x:c r="H147" s="30" t="n">
        <x:v>156</x:v>
      </x:c>
      <x:c r="I147" s="54" t="n">
        <x:v>0.87</x:v>
      </x:c>
      <x:c r="J147" s="15" t="str">
        <x:v>本港生产/腹地集散/港内加工</x:v>
      </x:c>
      <x:c r="K147" s="15" t="str">
        <x:v>每7个游戏日补充52货载单位。本地、所属岛链或相连腹地供货；成品由港内工坊加工，贸易规模是本作设计。</x:v>
      </x:c>
      <x:c r="L147" s="15" t="str">
        <x:v>港口发展度达到D4（≥700点）；不要求武装度。</x:v>
      </x:c>
    </x:row>
    <x:row r="148" ht="42" customHeight="1">
      <x:c r="A148" s="13" t="str">
        <x:v>P016</x:v>
      </x:c>
      <x:c r="B148" s="13" t="str">
        <x:v>毕尔巴鄂</x:v>
      </x:c>
      <x:c r="C148" s="13" t="str">
        <x:v>G099</x:v>
      </x:c>
      <x:c r="D148" s="13" t="str">
        <x:v>航海仪器</x:v>
      </x:c>
      <x:c r="E148" s="27" t="n">
        <x:v>5</x:v>
      </x:c>
      <x:c r="F148" s="27" t="n">
        <x:v>650</x:v>
      </x:c>
      <x:c r="G148" s="27" t="n">
        <x:v>7</x:v>
      </x:c>
      <x:c r="H148" s="27" t="n">
        <x:v>21</x:v>
      </x:c>
      <x:c r="I148" s="52" t="n">
        <x:v>0.87</x:v>
      </x:c>
      <x:c r="J148" s="13" t="str">
        <x:v>本港生产/腹地集散/港内加工</x:v>
      </x:c>
      <x:c r="K148" s="13" t="str">
        <x:v>每7个游戏日补充7货载单位。本地、所属岛链或相连腹地供货；成品由港内工坊加工，贸易规模是本作设计。</x:v>
      </x:c>
      <x:c r="L148" s="13" t="str">
        <x:v>港口发展度达到D5（≥1000点）；不要求武装度。</x:v>
      </x:c>
    </x:row>
    <x:row r="149" ht="42" customHeight="1">
      <x:c r="A149" s="15" t="str">
        <x:v>P016</x:v>
      </x:c>
      <x:c r="B149" s="15" t="str">
        <x:v>毕尔巴鄂</x:v>
      </x:c>
      <x:c r="C149" s="15" t="str">
        <x:v>SP016</x:v>
      </x:c>
      <x:c r="D149" s="15" t="str">
        <x:v>赤炉折齿船匠锯</x:v>
      </x:c>
      <x:c r="E149" s="30" t="n">
        <x:v>3</x:v>
      </x:c>
      <x:c r="F149" s="30" t="n">
        <x:v>530</x:v>
      </x:c>
      <x:c r="G149" s="30" t="n">
        <x:v>10</x:v>
      </x:c>
      <x:c r="H149" s="30" t="n">
        <x:v>20</x:v>
      </x:c>
      <x:c r="I149" s="54" t="n">
        <x:v>0.78</x:v>
      </x:c>
      <x:c r="J149" s="15" t="str">
        <x:v>港口独占原创工坊特产</x:v>
      </x:c>
      <x:c r="K149" s="15" t="str">
        <x:v>每7个游戏日由「赤炉船匠总作坊」交货10货载；只在本港形成稳定产源。</x:v>
      </x:c>
      <x:c r="L149" s="15" t="str">
        <x:v>港口发展度达到D3（≥450点）时，投资项目「赤炉船匠总作坊」自动完工；不要求武装度。</x:v>
      </x:c>
    </x:row>
    <x:row r="150" ht="42" customHeight="1">
      <x:c r="A150" s="13" t="str">
        <x:v>P017</x:v>
      </x:c>
      <x:c r="B150" s="13" t="str">
        <x:v>波尔多</x:v>
      </x:c>
      <x:c r="C150" s="13" t="str">
        <x:v>G023</x:v>
      </x:c>
      <x:c r="D150" s="13" t="str">
        <x:v>葡萄酒</x:v>
      </x:c>
      <x:c r="E150" s="27" t="n">
        <x:v>0</x:v>
      </x:c>
      <x:c r="F150" s="27" t="n">
        <x:v>115</x:v>
      </x:c>
      <x:c r="G150" s="27" t="n">
        <x:v>90</x:v>
      </x:c>
      <x:c r="H150" s="27" t="n">
        <x:v>270</x:v>
      </x:c>
      <x:c r="I150" s="52" t="n">
        <x:v>0.74</x:v>
      </x:c>
      <x:c r="J150" s="13" t="str">
        <x:v>本港生产/腹地集散/港内加工</x:v>
      </x:c>
      <x:c r="K150" s="13" t="str">
        <x:v>每7个游戏日补充90货载单位。本地、所属岛链或相连腹地供货；成品由港内工坊加工，贸易规模是本作设计。</x:v>
      </x:c>
      <x:c r="L150" s="13" t="str">
        <x:v>港口发展度达到D0（≥0点）；不要求武装度。</x:v>
      </x:c>
    </x:row>
    <x:row r="151" ht="42" customHeight="1">
      <x:c r="A151" s="15" t="str">
        <x:v>P017</x:v>
      </x:c>
      <x:c r="B151" s="15" t="str">
        <x:v>波尔多</x:v>
      </x:c>
      <x:c r="C151" s="15" t="str">
        <x:v>G001</x:v>
      </x:c>
      <x:c r="D151" s="15" t="str">
        <x:v>小麦</x:v>
      </x:c>
      <x:c r="E151" s="30" t="n">
        <x:v>0</x:v>
      </x:c>
      <x:c r="F151" s="30" t="n">
        <x:v>45</x:v>
      </x:c>
      <x:c r="G151" s="30" t="n">
        <x:v>225</x:v>
      </x:c>
      <x:c r="H151" s="30" t="n">
        <x:v>675</x:v>
      </x:c>
      <x:c r="I151" s="54" t="n">
        <x:v>0.74</x:v>
      </x:c>
      <x:c r="J151" s="15" t="str">
        <x:v>本港生产/腹地集散/港内加工</x:v>
      </x:c>
      <x:c r="K151" s="15" t="str">
        <x:v>每7个游戏日补充225货载单位。本地、所属岛链或相连腹地供货；成品由港内工坊加工，贸易规模是本作设计。</x:v>
      </x:c>
      <x:c r="L151" s="15" t="str">
        <x:v>港口发展度达到D0（≥0点）；不要求武装度。</x:v>
      </x:c>
    </x:row>
    <x:row r="152" ht="42" customHeight="1">
      <x:c r="A152" s="13" t="str">
        <x:v>P017</x:v>
      </x:c>
      <x:c r="B152" s="13" t="str">
        <x:v>波尔多</x:v>
      </x:c>
      <x:c r="C152" s="13" t="str">
        <x:v>G056</x:v>
      </x:c>
      <x:c r="D152" s="13" t="str">
        <x:v>橡木</x:v>
      </x:c>
      <x:c r="E152" s="27" t="n">
        <x:v>1</x:v>
      </x:c>
      <x:c r="F152" s="27" t="n">
        <x:v>90</x:v>
      </x:c>
      <x:c r="G152" s="27" t="n">
        <x:v>131</x:v>
      </x:c>
      <x:c r="H152" s="27" t="n">
        <x:v>393</x:v>
      </x:c>
      <x:c r="I152" s="52" t="n">
        <x:v>0.74</x:v>
      </x:c>
      <x:c r="J152" s="13" t="str">
        <x:v>本港生产/腹地集散/港内加工</x:v>
      </x:c>
      <x:c r="K152" s="13" t="str">
        <x:v>每7个游戏日补充131货载单位。本地、所属岛链或相连腹地供货；成品由港内工坊加工，贸易规模是本作设计。</x:v>
      </x:c>
      <x:c r="L152" s="13" t="str">
        <x:v>港口发展度达到D1（≥100点）；不要求武装度。</x:v>
      </x:c>
    </x:row>
    <x:row r="153" ht="42" customHeight="1">
      <x:c r="A153" s="15" t="str">
        <x:v>P017</x:v>
      </x:c>
      <x:c r="B153" s="15" t="str">
        <x:v>波尔多</x:v>
      </x:c>
      <x:c r="C153" s="15" t="str">
        <x:v>G093</x:v>
      </x:c>
      <x:c r="D153" s="15" t="str">
        <x:v>干果</x:v>
      </x:c>
      <x:c r="E153" s="30" t="n">
        <x:v>1</x:v>
      </x:c>
      <x:c r="F153" s="30" t="n">
        <x:v>85</x:v>
      </x:c>
      <x:c r="G153" s="30" t="n">
        <x:v>166</x:v>
      </x:c>
      <x:c r="H153" s="30" t="n">
        <x:v>498</x:v>
      </x:c>
      <x:c r="I153" s="54" t="n">
        <x:v>0.74</x:v>
      </x:c>
      <x:c r="J153" s="15" t="str">
        <x:v>本港生产/腹地集散/港内加工</x:v>
      </x:c>
      <x:c r="K153" s="15" t="str">
        <x:v>每7个游戏日补充166货载单位。本地、所属岛链或相连腹地供货；成品由港内工坊加工，贸易规模是本作设计。</x:v>
      </x:c>
      <x:c r="L153" s="15" t="str">
        <x:v>港口发展度达到D1（≥100点）；不要求武装度。</x:v>
      </x:c>
    </x:row>
    <x:row r="154" ht="42" customHeight="1">
      <x:c r="A154" s="13" t="str">
        <x:v>P017</x:v>
      </x:c>
      <x:c r="B154" s="13" t="str">
        <x:v>波尔多</x:v>
      </x:c>
      <x:c r="C154" s="13" t="str">
        <x:v>G024</x:v>
      </x:c>
      <x:c r="D154" s="13" t="str">
        <x:v>烈酒</x:v>
      </x:c>
      <x:c r="E154" s="27" t="n">
        <x:v>2</x:v>
      </x:c>
      <x:c r="F154" s="27" t="n">
        <x:v>135</x:v>
      </x:c>
      <x:c r="G154" s="27" t="n">
        <x:v>76</x:v>
      </x:c>
      <x:c r="H154" s="27" t="n">
        <x:v>228</x:v>
      </x:c>
      <x:c r="I154" s="52" t="n">
        <x:v>0.8</x:v>
      </x:c>
      <x:c r="J154" s="13" t="str">
        <x:v>本港生产/腹地集散/港内加工</x:v>
      </x:c>
      <x:c r="K154" s="13" t="str">
        <x:v>每7个游戏日补充76货载单位。本地、所属岛链或相连腹地供货；成品由港内工坊加工，贸易规模是本作设计。</x:v>
      </x:c>
      <x:c r="L154" s="13" t="str">
        <x:v>港口发展度达到D2（≥250点）；不要求武装度。</x:v>
      </x:c>
    </x:row>
    <x:row r="155" ht="42" customHeight="1">
      <x:c r="A155" s="15" t="str">
        <x:v>P017</x:v>
      </x:c>
      <x:c r="B155" s="15" t="str">
        <x:v>波尔多</x:v>
      </x:c>
      <x:c r="C155" s="15" t="str">
        <x:v>G013</x:v>
      </x:c>
      <x:c r="D155" s="15" t="str">
        <x:v>橄榄油</x:v>
      </x:c>
      <x:c r="E155" s="30" t="n">
        <x:v>3</x:v>
      </x:c>
      <x:c r="F155" s="30" t="n">
        <x:v>120</x:v>
      </x:c>
      <x:c r="G155" s="30" t="n">
        <x:v>126</x:v>
      </x:c>
      <x:c r="H155" s="30" t="n">
        <x:v>378</x:v>
      </x:c>
      <x:c r="I155" s="54" t="n">
        <x:v>0.8</x:v>
      </x:c>
      <x:c r="J155" s="15" t="str">
        <x:v>本港生产/腹地集散/港内加工</x:v>
      </x:c>
      <x:c r="K155" s="15" t="str">
        <x:v>每7个游戏日补充126货载单位。本地、所属岛链或相连腹地供货；成品由港内工坊加工，贸易规模是本作设计。</x:v>
      </x:c>
      <x:c r="L155" s="15" t="str">
        <x:v>港口发展度达到D3（≥450点）；不要求武装度。</x:v>
      </x:c>
    </x:row>
    <x:row r="156" ht="42" customHeight="1">
      <x:c r="A156" s="13" t="str">
        <x:v>P017</x:v>
      </x:c>
      <x:c r="B156" s="13" t="str">
        <x:v>波尔多</x:v>
      </x:c>
      <x:c r="C156" s="13" t="str">
        <x:v>G048</x:v>
      </x:c>
      <x:c r="D156" s="13" t="str">
        <x:v>天鹅绒</x:v>
      </x:c>
      <x:c r="E156" s="27" t="n">
        <x:v>4</x:v>
      </x:c>
      <x:c r="F156" s="27" t="n">
        <x:v>720</x:v>
      </x:c>
      <x:c r="G156" s="27" t="n">
        <x:v>54</x:v>
      </x:c>
      <x:c r="H156" s="27" t="n">
        <x:v>162</x:v>
      </x:c>
      <x:c r="I156" s="52" t="n">
        <x:v>0.87</x:v>
      </x:c>
      <x:c r="J156" s="13" t="str">
        <x:v>本港生产/腹地集散/港内加工</x:v>
      </x:c>
      <x:c r="K156" s="13" t="str">
        <x:v>每7个游戏日补充54货载单位。本地、所属岛链或相连腹地供货；成品由港内工坊加工，贸易规模是本作设计。</x:v>
      </x:c>
      <x:c r="L156" s="13" t="str">
        <x:v>港口发展度达到D4（≥700点）；不要求武装度。</x:v>
      </x:c>
    </x:row>
    <x:row r="157" ht="42" customHeight="1">
      <x:c r="A157" s="15" t="str">
        <x:v>P017</x:v>
      </x:c>
      <x:c r="B157" s="15" t="str">
        <x:v>波尔多</x:v>
      </x:c>
      <x:c r="C157" s="15" t="str">
        <x:v>G087</x:v>
      </x:c>
      <x:c r="D157" s="15" t="str">
        <x:v>香水</x:v>
      </x:c>
      <x:c r="E157" s="30" t="n">
        <x:v>5</x:v>
      </x:c>
      <x:c r="F157" s="30" t="n">
        <x:v>570</x:v>
      </x:c>
      <x:c r="G157" s="30" t="n">
        <x:v>12</x:v>
      </x:c>
      <x:c r="H157" s="30" t="n">
        <x:v>36</x:v>
      </x:c>
      <x:c r="I157" s="54" t="n">
        <x:v>0.87</x:v>
      </x:c>
      <x:c r="J157" s="15" t="str">
        <x:v>本港生产/腹地集散/港内加工</x:v>
      </x:c>
      <x:c r="K157" s="15" t="str">
        <x:v>每7个游戏日补充12货载单位。本地、所属岛链或相连腹地供货；成品由港内工坊加工，贸易规模是本作设计。</x:v>
      </x:c>
      <x:c r="L157" s="15" t="str">
        <x:v>港口发展度达到D5（≥1000点）；不要求武装度。</x:v>
      </x:c>
    </x:row>
    <x:row r="158" ht="42" customHeight="1">
      <x:c r="A158" s="13" t="str">
        <x:v>P017</x:v>
      </x:c>
      <x:c r="B158" s="13" t="str">
        <x:v>波尔多</x:v>
      </x:c>
      <x:c r="C158" s="13" t="str">
        <x:v>SP017</x:v>
      </x:c>
      <x:c r="D158" s="13" t="str">
        <x:v>月湾黑葡萄珍藏</x:v>
      </x:c>
      <x:c r="E158" s="27" t="n">
        <x:v>3</x:v>
      </x:c>
      <x:c r="F158" s="27" t="n">
        <x:v>460</x:v>
      </x:c>
      <x:c r="G158" s="27" t="n">
        <x:v>10</x:v>
      </x:c>
      <x:c r="H158" s="27" t="n">
        <x:v>20</x:v>
      </x:c>
      <x:c r="I158" s="52" t="n">
        <x:v>0.78</x:v>
      </x:c>
      <x:c r="J158" s="13" t="str">
        <x:v>港口独占原创工坊特产</x:v>
      </x:c>
      <x:c r="K158" s="13" t="str">
        <x:v>每7个游戏日由「月湾酒商共用窖」交货10货载；只在本港形成稳定产源。</x:v>
      </x:c>
      <x:c r="L158" s="13" t="str">
        <x:v>港口发展度达到D3（≥450点）时，投资项目「月湾酒商共用窖」自动完工；不要求武装度。</x:v>
      </x:c>
    </x:row>
    <x:row r="159" ht="42" customHeight="1">
      <x:c r="A159" s="15" t="str">
        <x:v>P018</x:v>
      </x:c>
      <x:c r="B159" s="15" t="str">
        <x:v>南特</x:v>
      </x:c>
      <x:c r="C159" s="15" t="str">
        <x:v>G001</x:v>
      </x:c>
      <x:c r="D159" s="15" t="str">
        <x:v>小麦</x:v>
      </x:c>
      <x:c r="E159" s="30" t="n">
        <x:v>0</x:v>
      </x:c>
      <x:c r="F159" s="30" t="n">
        <x:v>45</x:v>
      </x:c>
      <x:c r="G159" s="30" t="n">
        <x:v>211</x:v>
      </x:c>
      <x:c r="H159" s="30" t="n">
        <x:v>633</x:v>
      </x:c>
      <x:c r="I159" s="54" t="n">
        <x:v>0.74</x:v>
      </x:c>
      <x:c r="J159" s="15" t="str">
        <x:v>本港生产/腹地集散/港内加工</x:v>
      </x:c>
      <x:c r="K159" s="15" t="str">
        <x:v>每7个游戏日补充211货载单位。本地、所属岛链或相连腹地供货；成品由港内工坊加工，贸易规模是本作设计。</x:v>
      </x:c>
      <x:c r="L159" s="15" t="str">
        <x:v>港口发展度达到D0（≥0点）；不要求武装度。</x:v>
      </x:c>
    </x:row>
    <x:row r="160" ht="42" customHeight="1">
      <x:c r="A160" s="13" t="str">
        <x:v>P018</x:v>
      </x:c>
      <x:c r="B160" s="13" t="str">
        <x:v>南特</x:v>
      </x:c>
      <x:c r="C160" s="13" t="str">
        <x:v>G009</x:v>
      </x:c>
      <x:c r="D160" s="13" t="str">
        <x:v>盐</x:v>
      </x:c>
      <x:c r="E160" s="27" t="n">
        <x:v>0</x:v>
      </x:c>
      <x:c r="F160" s="27" t="n">
        <x:v>28</x:v>
      </x:c>
      <x:c r="G160" s="27" t="n">
        <x:v>164</x:v>
      </x:c>
      <x:c r="H160" s="27" t="n">
        <x:v>492</x:v>
      </x:c>
      <x:c r="I160" s="52" t="n">
        <x:v>0.74</x:v>
      </x:c>
      <x:c r="J160" s="13" t="str">
        <x:v>本港生产/腹地集散/港内加工</x:v>
      </x:c>
      <x:c r="K160" s="13" t="str">
        <x:v>每7个游戏日补充164货载单位。本地、所属岛链或相连腹地供货；成品由港内工坊加工，贸易规模是本作设计。</x:v>
      </x:c>
      <x:c r="L160" s="13" t="str">
        <x:v>港口发展度达到D0（≥0点）；不要求武装度。</x:v>
      </x:c>
    </x:row>
    <x:row r="161" ht="42" customHeight="1">
      <x:c r="A161" s="15" t="str">
        <x:v>P018</x:v>
      </x:c>
      <x:c r="B161" s="15" t="str">
        <x:v>南特</x:v>
      </x:c>
      <x:c r="C161" s="15" t="str">
        <x:v>G056</x:v>
      </x:c>
      <x:c r="D161" s="15" t="str">
        <x:v>橡木</x:v>
      </x:c>
      <x:c r="E161" s="30" t="n">
        <x:v>1</x:v>
      </x:c>
      <x:c r="F161" s="30" t="n">
        <x:v>90</x:v>
      </x:c>
      <x:c r="G161" s="30" t="n">
        <x:v>122</x:v>
      </x:c>
      <x:c r="H161" s="30" t="n">
        <x:v>366</x:v>
      </x:c>
      <x:c r="I161" s="54" t="n">
        <x:v>0.74</x:v>
      </x:c>
      <x:c r="J161" s="15" t="str">
        <x:v>本港生产/腹地集散/港内加工</x:v>
      </x:c>
      <x:c r="K161" s="15" t="str">
        <x:v>每7个游戏日补充122货载单位。本地、所属岛链或相连腹地供货；成品由港内工坊加工，贸易规模是本作设计。</x:v>
      </x:c>
      <x:c r="L161" s="15" t="str">
        <x:v>港口发展度达到D1（≥100点）；不要求武装度。</x:v>
      </x:c>
    </x:row>
    <x:row r="162" ht="42" customHeight="1">
      <x:c r="A162" s="13" t="str">
        <x:v>P018</x:v>
      </x:c>
      <x:c r="B162" s="13" t="str">
        <x:v>南特</x:v>
      </x:c>
      <x:c r="C162" s="13" t="str">
        <x:v>G040</x:v>
      </x:c>
      <x:c r="D162" s="13" t="str">
        <x:v>亚麻</x:v>
      </x:c>
      <x:c r="E162" s="27" t="n">
        <x:v>1</x:v>
      </x:c>
      <x:c r="F162" s="27" t="n">
        <x:v>85</x:v>
      </x:c>
      <x:c r="G162" s="27" t="n">
        <x:v>133</x:v>
      </x:c>
      <x:c r="H162" s="27" t="n">
        <x:v>399</x:v>
      </x:c>
      <x:c r="I162" s="52" t="n">
        <x:v>0.74</x:v>
      </x:c>
      <x:c r="J162" s="13" t="str">
        <x:v>本港生产/腹地集散/港内加工</x:v>
      </x:c>
      <x:c r="K162" s="13" t="str">
        <x:v>每7个游戏日补充133货载单位。本地、所属岛链或相连腹地供货；成品由港内工坊加工，贸易规模是本作设计。</x:v>
      </x:c>
      <x:c r="L162" s="13" t="str">
        <x:v>港口发展度达到D1（≥100点）；不要求武装度。</x:v>
      </x:c>
    </x:row>
    <x:row r="163" ht="42" customHeight="1">
      <x:c r="A163" s="15" t="str">
        <x:v>P018</x:v>
      </x:c>
      <x:c r="B163" s="15" t="str">
        <x:v>南特</x:v>
      </x:c>
      <x:c r="C163" s="15" t="str">
        <x:v>G011</x:v>
      </x:c>
      <x:c r="D163" s="15" t="str">
        <x:v>砂糖</x:v>
      </x:c>
      <x:c r="E163" s="30" t="n">
        <x:v>2</x:v>
      </x:c>
      <x:c r="F163" s="30" t="n">
        <x:v>140</x:v>
      </x:c>
      <x:c r="G163" s="30" t="n">
        <x:v>72</x:v>
      </x:c>
      <x:c r="H163" s="30" t="n">
        <x:v>216</x:v>
      </x:c>
      <x:c r="I163" s="54" t="n">
        <x:v>1.08</x:v>
      </x:c>
      <x:c r="J163" s="15" t="str">
        <x:v>进口/区域转口</x:v>
      </x:c>
      <x:c r="K163" s="15" t="str">
        <x:v>每7个游戏日补充72货载单位。由区域商队或NPC货船带入；为港口转售供货，不改变商品的原产地区。</x:v>
      </x:c>
      <x:c r="L163" s="15" t="str">
        <x:v>港口发展度达到D2（≥250点）；不要求武装度。</x:v>
      </x:c>
    </x:row>
    <x:row r="164" ht="42" customHeight="1">
      <x:c r="A164" s="13" t="str">
        <x:v>P018</x:v>
      </x:c>
      <x:c r="B164" s="13" t="str">
        <x:v>南特</x:v>
      </x:c>
      <x:c r="C164" s="13" t="str">
        <x:v>G049</x:v>
      </x:c>
      <x:c r="D164" s="13" t="str">
        <x:v>靛蓝</x:v>
      </x:c>
      <x:c r="E164" s="27" t="n">
        <x:v>3</x:v>
      </x:c>
      <x:c r="F164" s="27" t="n">
        <x:v>280</x:v>
      </x:c>
      <x:c r="G164" s="27" t="n">
        <x:v>14</x:v>
      </x:c>
      <x:c r="H164" s="27" t="n">
        <x:v>42</x:v>
      </x:c>
      <x:c r="I164" s="52" t="n">
        <x:v>1.14</x:v>
      </x:c>
      <x:c r="J164" s="13" t="str">
        <x:v>进口/区域转口</x:v>
      </x:c>
      <x:c r="K164" s="13" t="str">
        <x:v>每7个游戏日补充14货载单位。由区域商队或NPC货船带入；为港口转售供货，不改变商品的原产地区。</x:v>
      </x:c>
      <x:c r="L164" s="13" t="str">
        <x:v>港口发展度达到D3（≥450点）；不要求武装度。</x:v>
      </x:c>
    </x:row>
    <x:row r="165" ht="42" customHeight="1">
      <x:c r="A165" s="15" t="str">
        <x:v>P018</x:v>
      </x:c>
      <x:c r="B165" s="15" t="str">
        <x:v>南特</x:v>
      </x:c>
      <x:c r="C165" s="15" t="str">
        <x:v>G044</x:v>
      </x:c>
      <x:c r="D165" s="15" t="str">
        <x:v>麻布</x:v>
      </x:c>
      <x:c r="E165" s="30" t="n">
        <x:v>4</x:v>
      </x:c>
      <x:c r="F165" s="30" t="n">
        <x:v>145</x:v>
      </x:c>
      <x:c r="G165" s="30" t="n">
        <x:v>51</x:v>
      </x:c>
      <x:c r="H165" s="30" t="n">
        <x:v>153</x:v>
      </x:c>
      <x:c r="I165" s="54" t="n">
        <x:v>0.87</x:v>
      </x:c>
      <x:c r="J165" s="15" t="str">
        <x:v>本港生产/腹地集散/港内加工</x:v>
      </x:c>
      <x:c r="K165" s="15" t="str">
        <x:v>每7个游戏日补充51货载单位。本地、所属岛链或相连腹地供货；成品由港内工坊加工，贸易规模是本作设计。</x:v>
      </x:c>
      <x:c r="L165" s="15" t="str">
        <x:v>港口发展度达到D4（≥700点）；不要求武装度。</x:v>
      </x:c>
    </x:row>
    <x:row r="166" ht="42" customHeight="1">
      <x:c r="A166" s="13" t="str">
        <x:v>P018</x:v>
      </x:c>
      <x:c r="B166" s="13" t="str">
        <x:v>南特</x:v>
      </x:c>
      <x:c r="C166" s="13" t="str">
        <x:v>G098</x:v>
      </x:c>
      <x:c r="D166" s="13" t="str">
        <x:v>书籍</x:v>
      </x:c>
      <x:c r="E166" s="27" t="n">
        <x:v>5</x:v>
      </x:c>
      <x:c r="F166" s="27" t="n">
        <x:v>280</x:v>
      </x:c>
      <x:c r="G166" s="27" t="n">
        <x:v>7</x:v>
      </x:c>
      <x:c r="H166" s="27" t="n">
        <x:v>21</x:v>
      </x:c>
      <x:c r="I166" s="52" t="n">
        <x:v>0.87</x:v>
      </x:c>
      <x:c r="J166" s="13" t="str">
        <x:v>本港生产/腹地集散/港内加工</x:v>
      </x:c>
      <x:c r="K166" s="13" t="str">
        <x:v>每7个游戏日补充7货载单位。本地、所属岛链或相连腹地供货；成品由港内工坊加工，贸易规模是本作设计。</x:v>
      </x:c>
      <x:c r="L166" s="13" t="str">
        <x:v>港口发展度达到D5（≥1000点）；不要求武装度。</x:v>
      </x:c>
    </x:row>
    <x:row r="167" ht="42" customHeight="1">
      <x:c r="A167" s="15" t="str">
        <x:v>P018</x:v>
      </x:c>
      <x:c r="B167" s="15" t="str">
        <x:v>南特</x:v>
      </x:c>
      <x:c r="C167" s="15" t="str">
        <x:v>SP018</x:v>
      </x:c>
      <x:c r="D167" s="15" t="str">
        <x:v>卢瓦尔织潮挂毯</x:v>
      </x:c>
      <x:c r="E167" s="30" t="n">
        <x:v>3</x:v>
      </x:c>
      <x:c r="F167" s="30" t="n">
        <x:v>880</x:v>
      </x:c>
      <x:c r="G167" s="30" t="n">
        <x:v>9</x:v>
      </x:c>
      <x:c r="H167" s="30" t="n">
        <x:v>18</x:v>
      </x:c>
      <x:c r="I167" s="54" t="n">
        <x:v>0.78</x:v>
      </x:c>
      <x:c r="J167" s="15" t="str">
        <x:v>港口独占原创工坊特产</x:v>
      </x:c>
      <x:c r="K167" s="15" t="str">
        <x:v>每7个游戏日由「河汊挂毯工坊」交货9货载；只在本港形成稳定产源。</x:v>
      </x:c>
      <x:c r="L167" s="15" t="str">
        <x:v>港口发展度达到D3（≥450点）时，投资项目「河汊挂毯工坊」自动完工；不要求武装度。</x:v>
      </x:c>
    </x:row>
    <x:row r="168" ht="42" customHeight="1">
      <x:c r="A168" s="13" t="str">
        <x:v>P019</x:v>
      </x:c>
      <x:c r="B168" s="13" t="str">
        <x:v>圣马洛</x:v>
      </x:c>
      <x:c r="C168" s="13" t="str">
        <x:v>G015</x:v>
      </x:c>
      <x:c r="D168" s="13" t="str">
        <x:v>咸鱼</x:v>
      </x:c>
      <x:c r="E168" s="27" t="n">
        <x:v>0</x:v>
      </x:c>
      <x:c r="F168" s="27" t="n">
        <x:v>65</x:v>
      </x:c>
      <x:c r="G168" s="27" t="n">
        <x:v>153</x:v>
      </x:c>
      <x:c r="H168" s="27" t="n">
        <x:v>459</x:v>
      </x:c>
      <x:c r="I168" s="52" t="n">
        <x:v>0.74</x:v>
      </x:c>
      <x:c r="J168" s="13" t="str">
        <x:v>本港生产/腹地集散/港内加工</x:v>
      </x:c>
      <x:c r="K168" s="13" t="str">
        <x:v>每7个游戏日补充153货载单位。本地、所属岛链或相连腹地供货；成品由港内工坊加工，贸易规模是本作设计。</x:v>
      </x:c>
      <x:c r="L168" s="13" t="str">
        <x:v>港口发展度达到D0（≥0点）；不要求武装度。</x:v>
      </x:c>
    </x:row>
    <x:row r="169" ht="42" customHeight="1">
      <x:c r="A169" s="15" t="str">
        <x:v>P019</x:v>
      </x:c>
      <x:c r="B169" s="15" t="str">
        <x:v>圣马洛</x:v>
      </x:c>
      <x:c r="C169" s="15" t="str">
        <x:v>G009</x:v>
      </x:c>
      <x:c r="D169" s="15" t="str">
        <x:v>盐</x:v>
      </x:c>
      <x:c r="E169" s="30" t="n">
        <x:v>0</x:v>
      </x:c>
      <x:c r="F169" s="30" t="n">
        <x:v>28</x:v>
      </x:c>
      <x:c r="G169" s="30" t="n">
        <x:v>153</x:v>
      </x:c>
      <x:c r="H169" s="30" t="n">
        <x:v>459</x:v>
      </x:c>
      <x:c r="I169" s="54" t="n">
        <x:v>0.74</x:v>
      </x:c>
      <x:c r="J169" s="15" t="str">
        <x:v>本港生产/腹地集散/港内加工</x:v>
      </x:c>
      <x:c r="K169" s="15" t="str">
        <x:v>每7个游戏日补充153货载单位。本地、所属岛链或相连腹地供货；成品由港内工坊加工，贸易规模是本作设计。</x:v>
      </x:c>
      <x:c r="L169" s="15" t="str">
        <x:v>港口发展度达到D0（≥0点）；不要求武装度。</x:v>
      </x:c>
    </x:row>
    <x:row r="170" ht="42" customHeight="1">
      <x:c r="A170" s="13" t="str">
        <x:v>P019</x:v>
      </x:c>
      <x:c r="B170" s="13" t="str">
        <x:v>圣马洛</x:v>
      </x:c>
      <x:c r="C170" s="13" t="str">
        <x:v>G016</x:v>
      </x:c>
      <x:c r="D170" s="13" t="str">
        <x:v>干鳕鱼</x:v>
      </x:c>
      <x:c r="E170" s="27" t="n">
        <x:v>1</x:v>
      </x:c>
      <x:c r="F170" s="27" t="n">
        <x:v>98</x:v>
      </x:c>
      <x:c r="G170" s="27" t="n">
        <x:v>75</x:v>
      </x:c>
      <x:c r="H170" s="27" t="n">
        <x:v>225</x:v>
      </x:c>
      <x:c r="I170" s="52" t="n">
        <x:v>1.08</x:v>
      </x:c>
      <x:c r="J170" s="13" t="str">
        <x:v>进口/区域转口</x:v>
      </x:c>
      <x:c r="K170" s="13" t="str">
        <x:v>每7个游戏日补充75货载单位。由区域商队或NPC货船带入；为港口转售供货，不改变商品的原产地区。</x:v>
      </x:c>
      <x:c r="L170" s="13" t="str">
        <x:v>港口发展度达到D1（≥100点）；不要求武装度。</x:v>
      </x:c>
    </x:row>
    <x:row r="171" ht="42" customHeight="1">
      <x:c r="A171" s="15" t="str">
        <x:v>P019</x:v>
      </x:c>
      <x:c r="B171" s="15" t="str">
        <x:v>圣马洛</x:v>
      </x:c>
      <x:c r="C171" s="15" t="str">
        <x:v>G044</x:v>
      </x:c>
      <x:c r="D171" s="15" t="str">
        <x:v>麻布</x:v>
      </x:c>
      <x:c r="E171" s="30" t="n">
        <x:v>1</x:v>
      </x:c>
      <x:c r="F171" s="30" t="n">
        <x:v>145</x:v>
      </x:c>
      <x:c r="G171" s="30" t="n">
        <x:v>72</x:v>
      </x:c>
      <x:c r="H171" s="30" t="n">
        <x:v>216</x:v>
      </x:c>
      <x:c r="I171" s="54" t="n">
        <x:v>0.74</x:v>
      </x:c>
      <x:c r="J171" s="15" t="str">
        <x:v>本港生产/腹地集散/港内加工</x:v>
      </x:c>
      <x:c r="K171" s="15" t="str">
        <x:v>每7个游戏日补充72货载单位。本地、所属岛链或相连腹地供货；成品由港内工坊加工，贸易规模是本作设计。</x:v>
      </x:c>
      <x:c r="L171" s="15" t="str">
        <x:v>港口发展度达到D1（≥100点）；不要求武装度。</x:v>
      </x:c>
    </x:row>
    <x:row r="172" ht="42" customHeight="1">
      <x:c r="A172" s="13" t="str">
        <x:v>P019</x:v>
      </x:c>
      <x:c r="B172" s="13" t="str">
        <x:v>圣马洛</x:v>
      </x:c>
      <x:c r="C172" s="13" t="str">
        <x:v>G024</x:v>
      </x:c>
      <x:c r="D172" s="13" t="str">
        <x:v>烈酒</x:v>
      </x:c>
      <x:c r="E172" s="27" t="n">
        <x:v>2</x:v>
      </x:c>
      <x:c r="F172" s="27" t="n">
        <x:v>135</x:v>
      </x:c>
      <x:c r="G172" s="27" t="n">
        <x:v>67</x:v>
      </x:c>
      <x:c r="H172" s="27" t="n">
        <x:v>201</x:v>
      </x:c>
      <x:c r="I172" s="52" t="n">
        <x:v>0.8</x:v>
      </x:c>
      <x:c r="J172" s="13" t="str">
        <x:v>本港生产/腹地集散/港内加工</x:v>
      </x:c>
      <x:c r="K172" s="13" t="str">
        <x:v>每7个游戏日补充67货载单位。本地、所属岛链或相连腹地供货；成品由港内工坊加工，贸易规模是本作设计。</x:v>
      </x:c>
      <x:c r="L172" s="13" t="str">
        <x:v>港口发展度达到D2（≥250点）；不要求武装度。</x:v>
      </x:c>
    </x:row>
    <x:row r="173" ht="42" customHeight="1">
      <x:c r="A173" s="15" t="str">
        <x:v>P019</x:v>
      </x:c>
      <x:c r="B173" s="15" t="str">
        <x:v>圣马洛</x:v>
      </x:c>
      <x:c r="C173" s="15" t="str">
        <x:v>G068</x:v>
      </x:c>
      <x:c r="D173" s="15" t="str">
        <x:v>铁工具</x:v>
      </x:c>
      <x:c r="E173" s="30" t="n">
        <x:v>3</x:v>
      </x:c>
      <x:c r="F173" s="30" t="n">
        <x:v>190</x:v>
      </x:c>
      <x:c r="G173" s="30" t="n">
        <x:v>55</x:v>
      </x:c>
      <x:c r="H173" s="30" t="n">
        <x:v>165</x:v>
      </x:c>
      <x:c r="I173" s="54" t="n">
        <x:v>0.8</x:v>
      </x:c>
      <x:c r="J173" s="15" t="str">
        <x:v>本港生产/腹地集散/港内加工</x:v>
      </x:c>
      <x:c r="K173" s="15" t="str">
        <x:v>每7个游戏日补充55货载单位。本地、所属岛链或相连腹地供货；成品由港内工坊加工，贸易规模是本作设计。</x:v>
      </x:c>
      <x:c r="L173" s="15" t="str">
        <x:v>港口发展度达到D3（≥450点）；不要求武装度。</x:v>
      </x:c>
    </x:row>
    <x:row r="174" ht="42" customHeight="1">
      <x:c r="A174" s="13" t="str">
        <x:v>P019</x:v>
      </x:c>
      <x:c r="B174" s="13" t="str">
        <x:v>圣马洛</x:v>
      </x:c>
      <x:c r="C174" s="13" t="str">
        <x:v>G067</x:v>
      </x:c>
      <x:c r="D174" s="13" t="str">
        <x:v>火药</x:v>
      </x:c>
      <x:c r="E174" s="27" t="n">
        <x:v>4</x:v>
      </x:c>
      <x:c r="F174" s="27" t="n">
        <x:v>265</x:v>
      </x:c>
      <x:c r="G174" s="27" t="n">
        <x:v>47</x:v>
      </x:c>
      <x:c r="H174" s="27" t="n">
        <x:v>141</x:v>
      </x:c>
      <x:c r="I174" s="52" t="n">
        <x:v>0.87</x:v>
      </x:c>
      <x:c r="J174" s="13" t="str">
        <x:v>本港生产/腹地集散/港内加工</x:v>
      </x:c>
      <x:c r="K174" s="13" t="str">
        <x:v>每7个游戏日补充47货载单位。本地、所属岛链或相连腹地供货；成品由港内工坊加工，贸易规模是本作设计。</x:v>
      </x:c>
      <x:c r="L174" s="13" t="str">
        <x:v>港口发展度达到D4（≥700点）；不要求武装度。</x:v>
      </x:c>
    </x:row>
    <x:row r="175" ht="42" customHeight="1">
      <x:c r="A175" s="15" t="str">
        <x:v>P019</x:v>
      </x:c>
      <x:c r="B175" s="15" t="str">
        <x:v>圣马洛</x:v>
      </x:c>
      <x:c r="C175" s="15" t="str">
        <x:v>G099</x:v>
      </x:c>
      <x:c r="D175" s="15" t="str">
        <x:v>航海仪器</x:v>
      </x:c>
      <x:c r="E175" s="30" t="n">
        <x:v>5</x:v>
      </x:c>
      <x:c r="F175" s="30" t="n">
        <x:v>650</x:v>
      </x:c>
      <x:c r="G175" s="30" t="n">
        <x:v>7</x:v>
      </x:c>
      <x:c r="H175" s="30" t="n">
        <x:v>21</x:v>
      </x:c>
      <x:c r="I175" s="54" t="n">
        <x:v>0.87</x:v>
      </x:c>
      <x:c r="J175" s="15" t="str">
        <x:v>本港生产/腹地集散/港内加工</x:v>
      </x:c>
      <x:c r="K175" s="15" t="str">
        <x:v>每7个游戏日补充7货载单位。本地、所属岛链或相连腹地供货；成品由港内工坊加工，贸易规模是本作设计。</x:v>
      </x:c>
      <x:c r="L175" s="15" t="str">
        <x:v>港口发展度达到D5（≥1000点）；不要求武装度。</x:v>
      </x:c>
    </x:row>
    <x:row r="176" ht="42" customHeight="1">
      <x:c r="A176" s="13" t="str">
        <x:v>P019</x:v>
      </x:c>
      <x:c r="B176" s="13" t="str">
        <x:v>圣马洛</x:v>
      </x:c>
      <x:c r="C176" s="13" t="str">
        <x:v>SP019</x:v>
      </x:c>
      <x:c r="D176" s="13" t="str">
        <x:v>满潮银扣海图筒</x:v>
      </x:c>
      <x:c r="E176" s="27" t="n">
        <x:v>3</x:v>
      </x:c>
      <x:c r="F176" s="27" t="n">
        <x:v>660</x:v>
      </x:c>
      <x:c r="G176" s="27" t="n">
        <x:v>9</x:v>
      </x:c>
      <x:c r="H176" s="27" t="n">
        <x:v>18</x:v>
      </x:c>
      <x:c r="I176" s="52" t="n">
        <x:v>0.78</x:v>
      </x:c>
      <x:c r="J176" s="13" t="str">
        <x:v>港口独占原创工坊特产</x:v>
      </x:c>
      <x:c r="K176" s="13" t="str">
        <x:v>每7个游戏日由「潮门皮革金工作坊」交货9货载；只在本港形成稳定产源。</x:v>
      </x:c>
      <x:c r="L176" s="13" t="str">
        <x:v>港口发展度达到D3（≥450点）时，投资项目「潮门皮革金工作坊」自动完工；不要求武装度。</x:v>
      </x:c>
    </x:row>
    <x:row r="177" ht="42" customHeight="1">
      <x:c r="A177" s="15" t="str">
        <x:v>P020</x:v>
      </x:c>
      <x:c r="B177" s="15" t="str">
        <x:v>布雷斯特</x:v>
      </x:c>
      <x:c r="C177" s="15" t="str">
        <x:v>G056</x:v>
      </x:c>
      <x:c r="D177" s="15" t="str">
        <x:v>橡木</x:v>
      </x:c>
      <x:c r="E177" s="30" t="n">
        <x:v>0</x:v>
      </x:c>
      <x:c r="F177" s="30" t="n">
        <x:v>90</x:v>
      </x:c>
      <x:c r="G177" s="30" t="n">
        <x:v>126</x:v>
      </x:c>
      <x:c r="H177" s="30" t="n">
        <x:v>378</x:v>
      </x:c>
      <x:c r="I177" s="54" t="n">
        <x:v>0.74</x:v>
      </x:c>
      <x:c r="J177" s="15" t="str">
        <x:v>本港生产/腹地集散/港内加工</x:v>
      </x:c>
      <x:c r="K177" s="15" t="str">
        <x:v>每7个游戏日补充126货载单位。本地、所属岛链或相连腹地供货；成品由港内工坊加工，贸易规模是本作设计。</x:v>
      </x:c>
      <x:c r="L177" s="15" t="str">
        <x:v>港口发展度达到D0（≥0点）；不要求武装度。</x:v>
      </x:c>
    </x:row>
    <x:row r="178" ht="42" customHeight="1">
      <x:c r="A178" s="13" t="str">
        <x:v>P020</x:v>
      </x:c>
      <x:c r="B178" s="13" t="str">
        <x:v>布雷斯特</x:v>
      </x:c>
      <x:c r="C178" s="13" t="str">
        <x:v>G057</x:v>
      </x:c>
      <x:c r="D178" s="13" t="str">
        <x:v>松木</x:v>
      </x:c>
      <x:c r="E178" s="27" t="n">
        <x:v>0</x:v>
      </x:c>
      <x:c r="F178" s="27" t="n">
        <x:v>70</x:v>
      </x:c>
      <x:c r="G178" s="27" t="n">
        <x:v>126</x:v>
      </x:c>
      <x:c r="H178" s="27" t="n">
        <x:v>378</x:v>
      </x:c>
      <x:c r="I178" s="52" t="n">
        <x:v>0.74</x:v>
      </x:c>
      <x:c r="J178" s="13" t="str">
        <x:v>本港生产/腹地集散/港内加工</x:v>
      </x:c>
      <x:c r="K178" s="13" t="str">
        <x:v>每7个游戏日补充126货载单位。本地、所属岛链或相连腹地供货；成品由港内工坊加工，贸易规模是本作设计。</x:v>
      </x:c>
      <x:c r="L178" s="13" t="str">
        <x:v>港口发展度达到D0（≥0点）；不要求武装度。</x:v>
      </x:c>
    </x:row>
    <x:row r="179" ht="42" customHeight="1">
      <x:c r="A179" s="15" t="str">
        <x:v>P020</x:v>
      </x:c>
      <x:c r="B179" s="15" t="str">
        <x:v>布雷斯特</x:v>
      </x:c>
      <x:c r="C179" s="15" t="str">
        <x:v>G018</x:v>
      </x:c>
      <x:c r="D179" s="15" t="str">
        <x:v>咸牛肉</x:v>
      </x:c>
      <x:c r="E179" s="30" t="n">
        <x:v>1</x:v>
      </x:c>
      <x:c r="F179" s="30" t="n">
        <x:v>82</x:v>
      </x:c>
      <x:c r="G179" s="30" t="n">
        <x:v>153</x:v>
      </x:c>
      <x:c r="H179" s="30" t="n">
        <x:v>459</x:v>
      </x:c>
      <x:c r="I179" s="54" t="n">
        <x:v>0.74</x:v>
      </x:c>
      <x:c r="J179" s="15" t="str">
        <x:v>本港生产/腹地集散/港内加工</x:v>
      </x:c>
      <x:c r="K179" s="15" t="str">
        <x:v>每7个游戏日补充153货载单位。本地、所属岛链或相连腹地供货；成品由港内工坊加工，贸易规模是本作设计。</x:v>
      </x:c>
      <x:c r="L179" s="15" t="str">
        <x:v>港口发展度达到D1（≥100点）；不要求武装度。</x:v>
      </x:c>
    </x:row>
    <x:row r="180" ht="42" customHeight="1">
      <x:c r="A180" s="13" t="str">
        <x:v>P020</x:v>
      </x:c>
      <x:c r="B180" s="13" t="str">
        <x:v>布雷斯特</x:v>
      </x:c>
      <x:c r="C180" s="13" t="str">
        <x:v>G041</x:v>
      </x:c>
      <x:c r="D180" s="13" t="str">
        <x:v>大麻纤维</x:v>
      </x:c>
      <x:c r="E180" s="27" t="n">
        <x:v>1</x:v>
      </x:c>
      <x:c r="F180" s="27" t="n">
        <x:v>70</x:v>
      </x:c>
      <x:c r="G180" s="27" t="n">
        <x:v>68</x:v>
      </x:c>
      <x:c r="H180" s="27" t="n">
        <x:v>204</x:v>
      </x:c>
      <x:c r="I180" s="52" t="n">
        <x:v>1.08</x:v>
      </x:c>
      <x:c r="J180" s="13" t="str">
        <x:v>进口/区域转口</x:v>
      </x:c>
      <x:c r="K180" s="13" t="str">
        <x:v>每7个游戏日补充68货载单位。由区域商队或NPC货船带入；为港口转售供货，不改变商品的原产地区。</x:v>
      </x:c>
      <x:c r="L180" s="13" t="str">
        <x:v>港口发展度达到D1（≥100点）；不要求武装度。</x:v>
      </x:c>
    </x:row>
    <x:row r="181" ht="42" customHeight="1">
      <x:c r="A181" s="15" t="str">
        <x:v>P020</x:v>
      </x:c>
      <x:c r="B181" s="15" t="str">
        <x:v>布雷斯特</x:v>
      </x:c>
      <x:c r="C181" s="15" t="str">
        <x:v>G058</x:v>
      </x:c>
      <x:c r="D181" s="15" t="str">
        <x:v>铁锭</x:v>
      </x:c>
      <x:c r="E181" s="30" t="n">
        <x:v>2</x:v>
      </x:c>
      <x:c r="F181" s="30" t="n">
        <x:v>120</x:v>
      </x:c>
      <x:c r="G181" s="30" t="n">
        <x:v>20</x:v>
      </x:c>
      <x:c r="H181" s="30" t="n">
        <x:v>60</x:v>
      </x:c>
      <x:c r="I181" s="54" t="n">
        <x:v>1.08</x:v>
      </x:c>
      <x:c r="J181" s="15" t="str">
        <x:v>进口/区域转口</x:v>
      </x:c>
      <x:c r="K181" s="15" t="str">
        <x:v>每7个游戏日补充20货载单位。由区域商队或NPC货船带入；为港口转售供货，不改变商品的原产地区。</x:v>
      </x:c>
      <x:c r="L181" s="15" t="str">
        <x:v>港口发展度达到D2（≥250点）；不要求武装度。</x:v>
      </x:c>
    </x:row>
    <x:row r="182" ht="42" customHeight="1">
      <x:c r="A182" s="13" t="str">
        <x:v>P020</x:v>
      </x:c>
      <x:c r="B182" s="13" t="str">
        <x:v>布雷斯特</x:v>
      </x:c>
      <x:c r="C182" s="13" t="str">
        <x:v>G068</x:v>
      </x:c>
      <x:c r="D182" s="13" t="str">
        <x:v>铁工具</x:v>
      </x:c>
      <x:c r="E182" s="27" t="n">
        <x:v>3</x:v>
      </x:c>
      <x:c r="F182" s="27" t="n">
        <x:v>190</x:v>
      </x:c>
      <x:c r="G182" s="27" t="n">
        <x:v>58</x:v>
      </x:c>
      <x:c r="H182" s="27" t="n">
        <x:v>174</x:v>
      </x:c>
      <x:c r="I182" s="52" t="n">
        <x:v>0.8</x:v>
      </x:c>
      <x:c r="J182" s="13" t="str">
        <x:v>本港生产/腹地集散/港内加工</x:v>
      </x:c>
      <x:c r="K182" s="13" t="str">
        <x:v>每7个游戏日补充58货载单位。本地、所属岛链或相连腹地供货；成品由港内工坊加工，贸易规模是本作设计。</x:v>
      </x:c>
      <x:c r="L182" s="13" t="str">
        <x:v>港口发展度达到D3（≥450点）；不要求武装度。</x:v>
      </x:c>
    </x:row>
    <x:row r="183" ht="42" customHeight="1">
      <x:c r="A183" s="15" t="str">
        <x:v>P020</x:v>
      </x:c>
      <x:c r="B183" s="15" t="str">
        <x:v>布雷斯特</x:v>
      </x:c>
      <x:c r="C183" s="15" t="str">
        <x:v>G067</x:v>
      </x:c>
      <x:c r="D183" s="15" t="str">
        <x:v>火药</x:v>
      </x:c>
      <x:c r="E183" s="30" t="n">
        <x:v>4</x:v>
      </x:c>
      <x:c r="F183" s="30" t="n">
        <x:v>265</x:v>
      </x:c>
      <x:c r="G183" s="30" t="n">
        <x:v>50</x:v>
      </x:c>
      <x:c r="H183" s="30" t="n">
        <x:v>150</x:v>
      </x:c>
      <x:c r="I183" s="54" t="n">
        <x:v>0.87</x:v>
      </x:c>
      <x:c r="J183" s="15" t="str">
        <x:v>本港生产/腹地集散/港内加工</x:v>
      </x:c>
      <x:c r="K183" s="15" t="str">
        <x:v>每7个游戏日补充50货载单位。本地、所属岛链或相连腹地供货；成品由港内工坊加工，贸易规模是本作设计。</x:v>
      </x:c>
      <x:c r="L183" s="15" t="str">
        <x:v>港口发展度达到D4（≥700点）；不要求武装度。</x:v>
      </x:c>
    </x:row>
    <x:row r="184" ht="42" customHeight="1">
      <x:c r="A184" s="13" t="str">
        <x:v>P020</x:v>
      </x:c>
      <x:c r="B184" s="13" t="str">
        <x:v>布雷斯特</x:v>
      </x:c>
      <x:c r="C184" s="13" t="str">
        <x:v>G099</x:v>
      </x:c>
      <x:c r="D184" s="13" t="str">
        <x:v>航海仪器</x:v>
      </x:c>
      <x:c r="E184" s="27" t="n">
        <x:v>5</x:v>
      </x:c>
      <x:c r="F184" s="27" t="n">
        <x:v>650</x:v>
      </x:c>
      <x:c r="G184" s="27" t="n">
        <x:v>7</x:v>
      </x:c>
      <x:c r="H184" s="27" t="n">
        <x:v>21</x:v>
      </x:c>
      <x:c r="I184" s="52" t="n">
        <x:v>0.87</x:v>
      </x:c>
      <x:c r="J184" s="13" t="str">
        <x:v>本港生产/腹地集散/港内加工</x:v>
      </x:c>
      <x:c r="K184" s="13" t="str">
        <x:v>每7个游戏日补充7货载单位。本地、所属岛链或相连腹地供货；成品由港内工坊加工，贸易规模是本作设计。</x:v>
      </x:c>
      <x:c r="L184" s="13" t="str">
        <x:v>港口发展度达到D5（≥1000点）；不要求武装度。</x:v>
      </x:c>
    </x:row>
    <x:row r="185" ht="42" customHeight="1">
      <x:c r="A185" s="15" t="str">
        <x:v>P020</x:v>
      </x:c>
      <x:c r="B185" s="15" t="str">
        <x:v>布雷斯特</x:v>
      </x:c>
      <x:c r="C185" s="15" t="str">
        <x:v>SP020</x:v>
      </x:c>
      <x:c r="D185" s="15" t="str">
        <x:v>海军蓝浸蜡帆缆</x:v>
      </x:c>
      <x:c r="E185" s="30" t="n">
        <x:v>3</x:v>
      </x:c>
      <x:c r="F185" s="30" t="n">
        <x:v>410</x:v>
      </x:c>
      <x:c r="G185" s="30" t="n">
        <x:v>9</x:v>
      </x:c>
      <x:c r="H185" s="30" t="n">
        <x:v>18</x:v>
      </x:c>
      <x:c r="I185" s="54" t="n">
        <x:v>0.78</x:v>
      </x:c>
      <x:c r="J185" s="15" t="str">
        <x:v>港口独占原创工坊特产</x:v>
      </x:c>
      <x:c r="K185" s="15" t="str">
        <x:v>每7个游戏日由「深湾索具长廊」交货9货载；只在本港形成稳定产源。</x:v>
      </x:c>
      <x:c r="L185" s="15" t="str">
        <x:v>港口发展度达到D3（≥450点）时，投资项目「深湾索具长廊」自动完工；不要求武装度。</x:v>
      </x:c>
    </x:row>
    <x:row r="186" ht="42" customHeight="1">
      <x:c r="A186" s="13" t="str">
        <x:v>P021</x:v>
      </x:c>
      <x:c r="B186" s="13" t="str">
        <x:v>马赛</x:v>
      </x:c>
      <x:c r="C186" s="13" t="str">
        <x:v>G013</x:v>
      </x:c>
      <x:c r="D186" s="13" t="str">
        <x:v>橄榄油</x:v>
      </x:c>
      <x:c r="E186" s="27" t="n">
        <x:v>0</x:v>
      </x:c>
      <x:c r="F186" s="27" t="n">
        <x:v>120</x:v>
      </x:c>
      <x:c r="G186" s="27" t="n">
        <x:v>175</x:v>
      </x:c>
      <x:c r="H186" s="27" t="n">
        <x:v>525</x:v>
      </x:c>
      <x:c r="I186" s="52" t="n">
        <x:v>0.74</x:v>
      </x:c>
      <x:c r="J186" s="13" t="str">
        <x:v>本港生产/腹地集散/港内加工</x:v>
      </x:c>
      <x:c r="K186" s="13" t="str">
        <x:v>每7个游戏日补充175货载单位。本地、所属岛链或相连腹地供货；成品由港内工坊加工，贸易规模是本作设计。</x:v>
      </x:c>
      <x:c r="L186" s="13" t="str">
        <x:v>港口发展度达到D0（≥0点）；不要求武装度。</x:v>
      </x:c>
    </x:row>
    <x:row r="187" ht="42" customHeight="1">
      <x:c r="A187" s="15" t="str">
        <x:v>P021</x:v>
      </x:c>
      <x:c r="B187" s="15" t="str">
        <x:v>马赛</x:v>
      </x:c>
      <x:c r="C187" s="15" t="str">
        <x:v>G009</x:v>
      </x:c>
      <x:c r="D187" s="15" t="str">
        <x:v>盐</x:v>
      </x:c>
      <x:c r="E187" s="30" t="n">
        <x:v>0</x:v>
      </x:c>
      <x:c r="F187" s="30" t="n">
        <x:v>28</x:v>
      </x:c>
      <x:c r="G187" s="30" t="n">
        <x:v>175</x:v>
      </x:c>
      <x:c r="H187" s="30" t="n">
        <x:v>525</x:v>
      </x:c>
      <x:c r="I187" s="54" t="n">
        <x:v>0.74</x:v>
      </x:c>
      <x:c r="J187" s="15" t="str">
        <x:v>本港生产/腹地集散/港内加工</x:v>
      </x:c>
      <x:c r="K187" s="15" t="str">
        <x:v>每7个游戏日补充175货载单位。本地、所属岛链或相连腹地供货；成品由港内工坊加工，贸易规模是本作设计。</x:v>
      </x:c>
      <x:c r="L187" s="15" t="str">
        <x:v>港口发展度达到D0（≥0点）；不要求武装度。</x:v>
      </x:c>
    </x:row>
    <x:row r="188" ht="42" customHeight="1">
      <x:c r="A188" s="13" t="str">
        <x:v>P021</x:v>
      </x:c>
      <x:c r="B188" s="13" t="str">
        <x:v>马赛</x:v>
      </x:c>
      <x:c r="C188" s="13" t="str">
        <x:v>G023</x:v>
      </x:c>
      <x:c r="D188" s="13" t="str">
        <x:v>葡萄酒</x:v>
      </x:c>
      <x:c r="E188" s="27" t="n">
        <x:v>1</x:v>
      </x:c>
      <x:c r="F188" s="27" t="n">
        <x:v>115</x:v>
      </x:c>
      <x:c r="G188" s="27" t="n">
        <x:v>86</x:v>
      </x:c>
      <x:c r="H188" s="27" t="n">
        <x:v>258</x:v>
      </x:c>
      <x:c r="I188" s="52" t="n">
        <x:v>0.74</x:v>
      </x:c>
      <x:c r="J188" s="13" t="str">
        <x:v>本港生产/腹地集散/港内加工</x:v>
      </x:c>
      <x:c r="K188" s="13" t="str">
        <x:v>每7个游戏日补充86货载单位。本地、所属岛链或相连腹地供货；成品由港内工坊加工，贸易规模是本作设计。</x:v>
      </x:c>
      <x:c r="L188" s="13" t="str">
        <x:v>港口发展度达到D1（≥100点）；不要求武装度。</x:v>
      </x:c>
    </x:row>
    <x:row r="189" ht="42" customHeight="1">
      <x:c r="A189" s="15" t="str">
        <x:v>P021</x:v>
      </x:c>
      <x:c r="B189" s="15" t="str">
        <x:v>马赛</x:v>
      </x:c>
      <x:c r="C189" s="15" t="str">
        <x:v>G001</x:v>
      </x:c>
      <x:c r="D189" s="15" t="str">
        <x:v>小麦</x:v>
      </x:c>
      <x:c r="E189" s="30" t="n">
        <x:v>1</x:v>
      </x:c>
      <x:c r="F189" s="30" t="n">
        <x:v>45</x:v>
      </x:c>
      <x:c r="G189" s="30" t="n">
        <x:v>214</x:v>
      </x:c>
      <x:c r="H189" s="30" t="n">
        <x:v>642</x:v>
      </x:c>
      <x:c r="I189" s="54" t="n">
        <x:v>0.74</x:v>
      </x:c>
      <x:c r="J189" s="15" t="str">
        <x:v>本港生产/腹地集散/港内加工</x:v>
      </x:c>
      <x:c r="K189" s="15" t="str">
        <x:v>每7个游戏日补充214货载单位。本地、所属岛链或相连腹地供货；成品由港内工坊加工，贸易规模是本作设计。</x:v>
      </x:c>
      <x:c r="L189" s="15" t="str">
        <x:v>港口发展度达到D1（≥100点）；不要求武装度。</x:v>
      </x:c>
    </x:row>
    <x:row r="190" ht="42" customHeight="1">
      <x:c r="A190" s="13" t="str">
        <x:v>P021</x:v>
      </x:c>
      <x:c r="B190" s="13" t="str">
        <x:v>马赛</x:v>
      </x:c>
      <x:c r="C190" s="13" t="str">
        <x:v>G050</x:v>
      </x:c>
      <x:c r="D190" s="13" t="str">
        <x:v>茜草染料</x:v>
      </x:c>
      <x:c r="E190" s="27" t="n">
        <x:v>2</x:v>
      </x:c>
      <x:c r="F190" s="27" t="n">
        <x:v>175</x:v>
      </x:c>
      <x:c r="G190" s="27" t="n">
        <x:v>34</x:v>
      </x:c>
      <x:c r="H190" s="27" t="n">
        <x:v>102</x:v>
      </x:c>
      <x:c r="I190" s="52" t="n">
        <x:v>0.8</x:v>
      </x:c>
      <x:c r="J190" s="13" t="str">
        <x:v>本港生产/腹地集散/港内加工</x:v>
      </x:c>
      <x:c r="K190" s="13" t="str">
        <x:v>每7个游戏日补充34货载单位。本地、所属岛链或相连腹地供货；成品由港内工坊加工，贸易规模是本作设计。</x:v>
      </x:c>
      <x:c r="L190" s="13" t="str">
        <x:v>港口发展度达到D2（≥250点）；不要求武装度。</x:v>
      </x:c>
    </x:row>
    <x:row r="191" ht="42" customHeight="1">
      <x:c r="A191" s="15" t="str">
        <x:v>P021</x:v>
      </x:c>
      <x:c r="B191" s="15" t="str">
        <x:v>马赛</x:v>
      </x:c>
      <x:c r="C191" s="15" t="str">
        <x:v>G069</x:v>
      </x:c>
      <x:c r="D191" s="15" t="str">
        <x:v>粗陶器</x:v>
      </x:c>
      <x:c r="E191" s="30" t="n">
        <x:v>3</x:v>
      </x:c>
      <x:c r="F191" s="30" t="n">
        <x:v>90</x:v>
      </x:c>
      <x:c r="G191" s="30" t="n">
        <x:v>27</x:v>
      </x:c>
      <x:c r="H191" s="30" t="n">
        <x:v>81</x:v>
      </x:c>
      <x:c r="I191" s="54" t="n">
        <x:v>0.8</x:v>
      </x:c>
      <x:c r="J191" s="15" t="str">
        <x:v>本港生产/腹地集散/港内加工</x:v>
      </x:c>
      <x:c r="K191" s="15" t="str">
        <x:v>每7个游戏日补充27货载单位。本地、所属岛链或相连腹地供货；成品由港内工坊加工，贸易规模是本作设计。</x:v>
      </x:c>
      <x:c r="L191" s="15" t="str">
        <x:v>港口发展度达到D3（≥450点）；不要求武装度。</x:v>
      </x:c>
    </x:row>
    <x:row r="192" ht="42" customHeight="1">
      <x:c r="A192" s="13" t="str">
        <x:v>P021</x:v>
      </x:c>
      <x:c r="B192" s="13" t="str">
        <x:v>马赛</x:v>
      </x:c>
      <x:c r="C192" s="13" t="str">
        <x:v>G071</x:v>
      </x:c>
      <x:c r="D192" s="13" t="str">
        <x:v>玻璃器皿</x:v>
      </x:c>
      <x:c r="E192" s="27" t="n">
        <x:v>4</x:v>
      </x:c>
      <x:c r="F192" s="27" t="n">
        <x:v>310</x:v>
      </x:c>
      <x:c r="G192" s="27" t="n">
        <x:v>23</x:v>
      </x:c>
      <x:c r="H192" s="27" t="n">
        <x:v>69</x:v>
      </x:c>
      <x:c r="I192" s="52" t="n">
        <x:v>0.87</x:v>
      </x:c>
      <x:c r="J192" s="13" t="str">
        <x:v>本港生产/腹地集散/港内加工</x:v>
      </x:c>
      <x:c r="K192" s="13" t="str">
        <x:v>每7个游戏日补充23货载单位。本地、所属岛链或相连腹地供货；成品由港内工坊加工，贸易规模是本作设计。</x:v>
      </x:c>
      <x:c r="L192" s="13" t="str">
        <x:v>港口发展度达到D4（≥700点）；不要求武装度。</x:v>
      </x:c>
    </x:row>
    <x:row r="193" ht="42" customHeight="1">
      <x:c r="A193" s="15" t="str">
        <x:v>P021</x:v>
      </x:c>
      <x:c r="B193" s="15" t="str">
        <x:v>马赛</x:v>
      </x:c>
      <x:c r="C193" s="15" t="str">
        <x:v>G087</x:v>
      </x:c>
      <x:c r="D193" s="15" t="str">
        <x:v>香水</x:v>
      </x:c>
      <x:c r="E193" s="30" t="n">
        <x:v>5</x:v>
      </x:c>
      <x:c r="F193" s="30" t="n">
        <x:v>570</x:v>
      </x:c>
      <x:c r="G193" s="30" t="n">
        <x:v>12</x:v>
      </x:c>
      <x:c r="H193" s="30" t="n">
        <x:v>36</x:v>
      </x:c>
      <x:c r="I193" s="54" t="n">
        <x:v>0.87</x:v>
      </x:c>
      <x:c r="J193" s="15" t="str">
        <x:v>本港生产/腹地集散/港内加工</x:v>
      </x:c>
      <x:c r="K193" s="15" t="str">
        <x:v>每7个游戏日补充12货载单位。本地、所属岛链或相连腹地供货；成品由港内工坊加工，贸易规模是本作设计。</x:v>
      </x:c>
      <x:c r="L193" s="15" t="str">
        <x:v>港口发展度达到D5（≥1000点）；不要求武装度。</x:v>
      </x:c>
    </x:row>
    <x:row r="194" ht="42" customHeight="1">
      <x:c r="A194" s="13" t="str">
        <x:v>P021</x:v>
      </x:c>
      <x:c r="B194" s="13" t="str">
        <x:v>马赛</x:v>
      </x:c>
      <x:c r="C194" s="13" t="str">
        <x:v>SP021</x:v>
      </x:c>
      <x:c r="D194" s="13" t="str">
        <x:v>海风月桂皂礼砖</x:v>
      </x:c>
      <x:c r="E194" s="27" t="n">
        <x:v>3</x:v>
      </x:c>
      <x:c r="F194" s="27" t="n">
        <x:v>250</x:v>
      </x:c>
      <x:c r="G194" s="27" t="n">
        <x:v>10</x:v>
      </x:c>
      <x:c r="H194" s="27" t="n">
        <x:v>20</x:v>
      </x:c>
      <x:c r="I194" s="52" t="n">
        <x:v>0.78</x:v>
      </x:c>
      <x:c r="J194" s="13" t="str">
        <x:v>港口独占原创工坊特产</x:v>
      </x:c>
      <x:c r="K194" s="13" t="str">
        <x:v>每7个游戏日由「旧港油皂工坊」交货10货载；只在本港形成稳定产源。</x:v>
      </x:c>
      <x:c r="L194" s="13" t="str">
        <x:v>港口发展度达到D3（≥450点）时，投资项目「旧港油皂工坊」自动完工；不要求武装度。</x:v>
      </x:c>
    </x:row>
    <x:row r="195" ht="42" customHeight="1">
      <x:c r="A195" s="15" t="str">
        <x:v>P022</x:v>
      </x:c>
      <x:c r="B195" s="15" t="str">
        <x:v>热那亚</x:v>
      </x:c>
      <x:c r="C195" s="15" t="str">
        <x:v>G023</x:v>
      </x:c>
      <x:c r="D195" s="15" t="str">
        <x:v>葡萄酒</x:v>
      </x:c>
      <x:c r="E195" s="30" t="n">
        <x:v>0</x:v>
      </x:c>
      <x:c r="F195" s="30" t="n">
        <x:v>115</x:v>
      </x:c>
      <x:c r="G195" s="30" t="n">
        <x:v>97</x:v>
      </x:c>
      <x:c r="H195" s="30" t="n">
        <x:v>291</x:v>
      </x:c>
      <x:c r="I195" s="54" t="n">
        <x:v>0.74</x:v>
      </x:c>
      <x:c r="J195" s="15" t="str">
        <x:v>本港生产/腹地集散/港内加工</x:v>
      </x:c>
      <x:c r="K195" s="15" t="str">
        <x:v>每7个游戏日补充97货载单位。本地、所属岛链或相连腹地供货；成品由港内工坊加工，贸易规模是本作设计。</x:v>
      </x:c>
      <x:c r="L195" s="15" t="str">
        <x:v>港口发展度达到D0（≥0点）；不要求武装度。</x:v>
      </x:c>
    </x:row>
    <x:row r="196" ht="42" customHeight="1">
      <x:c r="A196" s="13" t="str">
        <x:v>P022</x:v>
      </x:c>
      <x:c r="B196" s="13" t="str">
        <x:v>热那亚</x:v>
      </x:c>
      <x:c r="C196" s="13" t="str">
        <x:v>G013</x:v>
      </x:c>
      <x:c r="D196" s="13" t="str">
        <x:v>橄榄油</x:v>
      </x:c>
      <x:c r="E196" s="27" t="n">
        <x:v>0</x:v>
      </x:c>
      <x:c r="F196" s="27" t="n">
        <x:v>120</x:v>
      </x:c>
      <x:c r="G196" s="27" t="n">
        <x:v>189</x:v>
      </x:c>
      <x:c r="H196" s="27" t="n">
        <x:v>567</x:v>
      </x:c>
      <x:c r="I196" s="52" t="n">
        <x:v>0.74</x:v>
      </x:c>
      <x:c r="J196" s="13" t="str">
        <x:v>本港生产/腹地集散/港内加工</x:v>
      </x:c>
      <x:c r="K196" s="13" t="str">
        <x:v>每7个游戏日补充189货载单位。本地、所属岛链或相连腹地供货；成品由港内工坊加工，贸易规模是本作设计。</x:v>
      </x:c>
      <x:c r="L196" s="13" t="str">
        <x:v>港口发展度达到D0（≥0点）；不要求武装度。</x:v>
      </x:c>
    </x:row>
    <x:row r="197" ht="42" customHeight="1">
      <x:c r="A197" s="15" t="str">
        <x:v>P022</x:v>
      </x:c>
      <x:c r="B197" s="15" t="str">
        <x:v>热那亚</x:v>
      </x:c>
      <x:c r="C197" s="15" t="str">
        <x:v>G009</x:v>
      </x:c>
      <x:c r="D197" s="15" t="str">
        <x:v>盐</x:v>
      </x:c>
      <x:c r="E197" s="30" t="n">
        <x:v>1</x:v>
      </x:c>
      <x:c r="F197" s="30" t="n">
        <x:v>28</x:v>
      </x:c>
      <x:c r="G197" s="30" t="n">
        <x:v>180</x:v>
      </x:c>
      <x:c r="H197" s="30" t="n">
        <x:v>540</x:v>
      </x:c>
      <x:c r="I197" s="54" t="n">
        <x:v>0.74</x:v>
      </x:c>
      <x:c r="J197" s="15" t="str">
        <x:v>本港生产/腹地集散/港内加工</x:v>
      </x:c>
      <x:c r="K197" s="15" t="str">
        <x:v>每7个游戏日补充180货载单位。本地、所属岛链或相连腹地供货；成品由港内工坊加工，贸易规模是本作设计。</x:v>
      </x:c>
      <x:c r="L197" s="15" t="str">
        <x:v>港口发展度达到D1（≥100点）；不要求武装度。</x:v>
      </x:c>
    </x:row>
    <x:row r="198" ht="42" customHeight="1">
      <x:c r="A198" s="13" t="str">
        <x:v>P022</x:v>
      </x:c>
      <x:c r="B198" s="13" t="str">
        <x:v>热那亚</x:v>
      </x:c>
      <x:c r="C198" s="13" t="str">
        <x:v>G042</x:v>
      </x:c>
      <x:c r="D198" s="13" t="str">
        <x:v>生丝</x:v>
      </x:c>
      <x:c r="E198" s="27" t="n">
        <x:v>1</x:v>
      </x:c>
      <x:c r="F198" s="27" t="n">
        <x:v>390</x:v>
      </x:c>
      <x:c r="G198" s="27" t="n">
        <x:v>80</x:v>
      </x:c>
      <x:c r="H198" s="27" t="n">
        <x:v>240</x:v>
      </x:c>
      <x:c r="I198" s="52" t="n">
        <x:v>1.08</x:v>
      </x:c>
      <x:c r="J198" s="13" t="str">
        <x:v>进口/区域转口</x:v>
      </x:c>
      <x:c r="K198" s="13" t="str">
        <x:v>每7个游戏日补充80货载单位。由区域商队或NPC货船带入；为港口转售供货，不改变商品的原产地区。</x:v>
      </x:c>
      <x:c r="L198" s="13" t="str">
        <x:v>港口发展度达到D1（≥100点）；不要求武装度。</x:v>
      </x:c>
    </x:row>
    <x:row r="199" ht="42" customHeight="1">
      <x:c r="A199" s="15" t="str">
        <x:v>P022</x:v>
      </x:c>
      <x:c r="B199" s="15" t="str">
        <x:v>热那亚</x:v>
      </x:c>
      <x:c r="C199" s="15" t="str">
        <x:v>G046</x:v>
      </x:c>
      <x:c r="D199" s="15" t="str">
        <x:v>丝绸</x:v>
      </x:c>
      <x:c r="E199" s="30" t="n">
        <x:v>2</x:v>
      </x:c>
      <x:c r="F199" s="30" t="n">
        <x:v>620</x:v>
      </x:c>
      <x:c r="G199" s="30" t="n">
        <x:v>80</x:v>
      </x:c>
      <x:c r="H199" s="30" t="n">
        <x:v>240</x:v>
      </x:c>
      <x:c r="I199" s="54" t="n">
        <x:v>0.8</x:v>
      </x:c>
      <x:c r="J199" s="15" t="str">
        <x:v>本港生产/腹地集散/港内加工</x:v>
      </x:c>
      <x:c r="K199" s="15" t="str">
        <x:v>每7个游戏日补充80货载单位。本地、所属岛链或相连腹地供货；成品由港内工坊加工，贸易规模是本作设计。</x:v>
      </x:c>
      <x:c r="L199" s="15" t="str">
        <x:v>港口发展度达到D2（≥250点）；不要求武装度。</x:v>
      </x:c>
    </x:row>
    <x:row r="200" ht="42" customHeight="1">
      <x:c r="A200" s="13" t="str">
        <x:v>P022</x:v>
      </x:c>
      <x:c r="B200" s="13" t="str">
        <x:v>热那亚</x:v>
      </x:c>
      <x:c r="C200" s="13" t="str">
        <x:v>G048</x:v>
      </x:c>
      <x:c r="D200" s="13" t="str">
        <x:v>天鹅绒</x:v>
      </x:c>
      <x:c r="E200" s="27" t="n">
        <x:v>3</x:v>
      </x:c>
      <x:c r="F200" s="27" t="n">
        <x:v>720</x:v>
      </x:c>
      <x:c r="G200" s="27" t="n">
        <x:v>68</x:v>
      </x:c>
      <x:c r="H200" s="27" t="n">
        <x:v>204</x:v>
      </x:c>
      <x:c r="I200" s="52" t="n">
        <x:v>0.8</x:v>
      </x:c>
      <x:c r="J200" s="13" t="str">
        <x:v>本港生产/腹地集散/港内加工</x:v>
      </x:c>
      <x:c r="K200" s="13" t="str">
        <x:v>每7个游戏日补充68货载单位。本地、所属岛链或相连腹地供货；成品由港内工坊加工，贸易规模是本作设计。</x:v>
      </x:c>
      <x:c r="L200" s="13" t="str">
        <x:v>港口发展度达到D3（≥450点）；不要求武装度。</x:v>
      </x:c>
    </x:row>
    <x:row r="201" ht="42" customHeight="1">
      <x:c r="A201" s="15" t="str">
        <x:v>P022</x:v>
      </x:c>
      <x:c r="B201" s="15" t="str">
        <x:v>热那亚</x:v>
      </x:c>
      <x:c r="C201" s="15" t="str">
        <x:v>G071</x:v>
      </x:c>
      <x:c r="D201" s="15" t="str">
        <x:v>玻璃器皿</x:v>
      </x:c>
      <x:c r="E201" s="30" t="n">
        <x:v>4</x:v>
      </x:c>
      <x:c r="F201" s="30" t="n">
        <x:v>310</x:v>
      </x:c>
      <x:c r="G201" s="30" t="n">
        <x:v>25</x:v>
      </x:c>
      <x:c r="H201" s="30" t="n">
        <x:v>75</x:v>
      </x:c>
      <x:c r="I201" s="54" t="n">
        <x:v>0.87</x:v>
      </x:c>
      <x:c r="J201" s="15" t="str">
        <x:v>本港生产/腹地集散/港内加工</x:v>
      </x:c>
      <x:c r="K201" s="15" t="str">
        <x:v>每7个游戏日补充25货载单位。本地、所属岛链或相连腹地供货；成品由港内工坊加工，贸易规模是本作设计。</x:v>
      </x:c>
      <x:c r="L201" s="15" t="str">
        <x:v>港口发展度达到D4（≥700点）；不要求武装度。</x:v>
      </x:c>
    </x:row>
    <x:row r="202" ht="42" customHeight="1">
      <x:c r="A202" s="13" t="str">
        <x:v>P022</x:v>
      </x:c>
      <x:c r="B202" s="13" t="str">
        <x:v>热那亚</x:v>
      </x:c>
      <x:c r="C202" s="13" t="str">
        <x:v>G099</x:v>
      </x:c>
      <x:c r="D202" s="13" t="str">
        <x:v>航海仪器</x:v>
      </x:c>
      <x:c r="E202" s="27" t="n">
        <x:v>5</x:v>
      </x:c>
      <x:c r="F202" s="27" t="n">
        <x:v>650</x:v>
      </x:c>
      <x:c r="G202" s="27" t="n">
        <x:v>8</x:v>
      </x:c>
      <x:c r="H202" s="27" t="n">
        <x:v>24</x:v>
      </x:c>
      <x:c r="I202" s="52" t="n">
        <x:v>0.87</x:v>
      </x:c>
      <x:c r="J202" s="13" t="str">
        <x:v>本港生产/腹地集散/港内加工</x:v>
      </x:c>
      <x:c r="K202" s="13" t="str">
        <x:v>每7个游戏日补充8货载单位。本地、所属岛链或相连腹地供货；成品由港内工坊加工，贸易规模是本作设计。</x:v>
      </x:c>
      <x:c r="L202" s="13" t="str">
        <x:v>港口发展度达到D5（≥1000点）；不要求武装度。</x:v>
      </x:c>
    </x:row>
    <x:row r="203" ht="42" customHeight="1">
      <x:c r="A203" s="15" t="str">
        <x:v>P022</x:v>
      </x:c>
      <x:c r="B203" s="15" t="str">
        <x:v>热那亚</x:v>
      </x:c>
      <x:c r="C203" s="15" t="str">
        <x:v>SP022</x:v>
      </x:c>
      <x:c r="D203" s="15" t="str">
        <x:v>蓝帆金边丝绒</x:v>
      </x:c>
      <x:c r="E203" s="30" t="n">
        <x:v>3</x:v>
      </x:c>
      <x:c r="F203" s="30" t="n">
        <x:v>920</x:v>
      </x:c>
      <x:c r="G203" s="30" t="n">
        <x:v>11</x:v>
      </x:c>
      <x:c r="H203" s="30" t="n">
        <x:v>22</x:v>
      </x:c>
      <x:c r="I203" s="54" t="n">
        <x:v>0.78</x:v>
      </x:c>
      <x:c r="J203" s="15" t="str">
        <x:v>港口独占原创工坊特产</x:v>
      </x:c>
      <x:c r="K203" s="15" t="str">
        <x:v>每7个游戏日由「山坡丝绒工坊」交货11货载；只在本港形成稳定产源。</x:v>
      </x:c>
      <x:c r="L203" s="15" t="str">
        <x:v>港口发展度达到D3（≥450点）时，投资项目「山坡丝绒工坊」自动完工；不要求武装度。</x:v>
      </x:c>
    </x:row>
    <x:row r="204" ht="42" customHeight="1">
      <x:c r="A204" s="13" t="str">
        <x:v>P023</x:v>
      </x:c>
      <x:c r="B204" s="13" t="str">
        <x:v>威尼斯</x:v>
      </x:c>
      <x:c r="C204" s="13" t="str">
        <x:v>G009</x:v>
      </x:c>
      <x:c r="D204" s="13" t="str">
        <x:v>盐</x:v>
      </x:c>
      <x:c r="E204" s="27" t="n">
        <x:v>0</x:v>
      </x:c>
      <x:c r="F204" s="27" t="n">
        <x:v>28</x:v>
      </x:c>
      <x:c r="G204" s="27" t="n">
        <x:v>203</x:v>
      </x:c>
      <x:c r="H204" s="27" t="n">
        <x:v>609</x:v>
      </x:c>
      <x:c r="I204" s="52" t="n">
        <x:v>0.74</x:v>
      </x:c>
      <x:c r="J204" s="13" t="str">
        <x:v>本港生产/腹地集散/港内加工</x:v>
      </x:c>
      <x:c r="K204" s="13" t="str">
        <x:v>每7个游戏日补充203货载单位。本地、所属岛链或相连腹地供货；成品由港内工坊加工，贸易规模是本作设计。</x:v>
      </x:c>
      <x:c r="L204" s="13" t="str">
        <x:v>港口发展度达到D0（≥0点）；不要求武装度。</x:v>
      </x:c>
    </x:row>
    <x:row r="205" ht="42" customHeight="1">
      <x:c r="A205" s="15" t="str">
        <x:v>P023</x:v>
      </x:c>
      <x:c r="B205" s="15" t="str">
        <x:v>威尼斯</x:v>
      </x:c>
      <x:c r="C205" s="15" t="str">
        <x:v>G071</x:v>
      </x:c>
      <x:c r="D205" s="15" t="str">
        <x:v>玻璃器皿</x:v>
      </x:c>
      <x:c r="E205" s="30" t="n">
        <x:v>0</x:v>
      </x:c>
      <x:c r="F205" s="30" t="n">
        <x:v>310</x:v>
      </x:c>
      <x:c r="G205" s="30" t="n">
        <x:v>44</x:v>
      </x:c>
      <x:c r="H205" s="30" t="n">
        <x:v>132</x:v>
      </x:c>
      <x:c r="I205" s="54" t="n">
        <x:v>0.74</x:v>
      </x:c>
      <x:c r="J205" s="15" t="str">
        <x:v>本港生产/腹地集散/港内加工</x:v>
      </x:c>
      <x:c r="K205" s="15" t="str">
        <x:v>每7个游戏日补充44货载单位。本地、所属岛链或相连腹地供货；成品由港内工坊加工，贸易规模是本作设计。</x:v>
      </x:c>
      <x:c r="L205" s="15" t="str">
        <x:v>港口发展度达到D0（≥0点）；不要求武装度。</x:v>
      </x:c>
    </x:row>
    <x:row r="206" ht="42" customHeight="1">
      <x:c r="A206" s="13" t="str">
        <x:v>P023</x:v>
      </x:c>
      <x:c r="B206" s="13" t="str">
        <x:v>威尼斯</x:v>
      </x:c>
      <x:c r="C206" s="13" t="str">
        <x:v>G013</x:v>
      </x:c>
      <x:c r="D206" s="13" t="str">
        <x:v>橄榄油</x:v>
      </x:c>
      <x:c r="E206" s="27" t="n">
        <x:v>1</x:v>
      </x:c>
      <x:c r="F206" s="27" t="n">
        <x:v>120</x:v>
      </x:c>
      <x:c r="G206" s="27" t="n">
        <x:v>193</x:v>
      </x:c>
      <x:c r="H206" s="27" t="n">
        <x:v>579</x:v>
      </x:c>
      <x:c r="I206" s="52" t="n">
        <x:v>0.74</x:v>
      </x:c>
      <x:c r="J206" s="13" t="str">
        <x:v>本港生产/腹地集散/港内加工</x:v>
      </x:c>
      <x:c r="K206" s="13" t="str">
        <x:v>每7个游戏日补充193货载单位。本地、所属岛链或相连腹地供货；成品由港内工坊加工，贸易规模是本作设计。</x:v>
      </x:c>
      <x:c r="L206" s="13" t="str">
        <x:v>港口发展度达到D1（≥100点）；不要求武装度。</x:v>
      </x:c>
    </x:row>
    <x:row r="207" ht="42" customHeight="1">
      <x:c r="A207" s="15" t="str">
        <x:v>P023</x:v>
      </x:c>
      <x:c r="B207" s="15" t="str">
        <x:v>威尼斯</x:v>
      </x:c>
      <x:c r="C207" s="15" t="str">
        <x:v>G042</x:v>
      </x:c>
      <x:c r="D207" s="15" t="str">
        <x:v>生丝</x:v>
      </x:c>
      <x:c r="E207" s="30" t="n">
        <x:v>1</x:v>
      </x:c>
      <x:c r="F207" s="30" t="n">
        <x:v>390</x:v>
      </x:c>
      <x:c r="G207" s="30" t="n">
        <x:v>86</x:v>
      </x:c>
      <x:c r="H207" s="30" t="n">
        <x:v>258</x:v>
      </x:c>
      <x:c r="I207" s="54" t="n">
        <x:v>1.08</x:v>
      </x:c>
      <x:c r="J207" s="15" t="str">
        <x:v>进口/区域转口</x:v>
      </x:c>
      <x:c r="K207" s="15" t="str">
        <x:v>每7个游戏日补充86货载单位。由区域商队或NPC货船带入；为港口转售供货，不改变商品的原产地区。</x:v>
      </x:c>
      <x:c r="L207" s="15" t="str">
        <x:v>港口发展度达到D1（≥100点）；不要求武装度。</x:v>
      </x:c>
    </x:row>
    <x:row r="208" ht="42" customHeight="1">
      <x:c r="A208" s="13" t="str">
        <x:v>P023</x:v>
      </x:c>
      <x:c r="B208" s="13" t="str">
        <x:v>威尼斯</x:v>
      </x:c>
      <x:c r="C208" s="13" t="str">
        <x:v>G046</x:v>
      </x:c>
      <x:c r="D208" s="13" t="str">
        <x:v>丝绸</x:v>
      </x:c>
      <x:c r="E208" s="27" t="n">
        <x:v>2</x:v>
      </x:c>
      <x:c r="F208" s="27" t="n">
        <x:v>620</x:v>
      </x:c>
      <x:c r="G208" s="27" t="n">
        <x:v>86</x:v>
      </x:c>
      <x:c r="H208" s="27" t="n">
        <x:v>258</x:v>
      </x:c>
      <x:c r="I208" s="52" t="n">
        <x:v>0.8</x:v>
      </x:c>
      <x:c r="J208" s="13" t="str">
        <x:v>本港生产/腹地集散/港内加工</x:v>
      </x:c>
      <x:c r="K208" s="13" t="str">
        <x:v>每7个游戏日补充86货载单位。本地、所属岛链或相连腹地供货；成品由港内工坊加工，贸易规模是本作设计。</x:v>
      </x:c>
      <x:c r="L208" s="13" t="str">
        <x:v>港口发展度达到D2（≥250点）；不要求武装度。</x:v>
      </x:c>
    </x:row>
    <x:row r="209" ht="42" customHeight="1">
      <x:c r="A209" s="15" t="str">
        <x:v>P023</x:v>
      </x:c>
      <x:c r="B209" s="15" t="str">
        <x:v>威尼斯</x:v>
      </x:c>
      <x:c r="C209" s="15" t="str">
        <x:v>G029</x:v>
      </x:c>
      <x:c r="D209" s="15" t="str">
        <x:v>胡椒</x:v>
      </x:c>
      <x:c r="E209" s="30" t="n">
        <x:v>3</x:v>
      </x:c>
      <x:c r="F209" s="30" t="n">
        <x:v>260</x:v>
      </x:c>
      <x:c r="G209" s="30" t="n">
        <x:v>17</x:v>
      </x:c>
      <x:c r="H209" s="30" t="n">
        <x:v>51</x:v>
      </x:c>
      <x:c r="I209" s="54" t="n">
        <x:v>1.14</x:v>
      </x:c>
      <x:c r="J209" s="15" t="str">
        <x:v>进口/区域转口</x:v>
      </x:c>
      <x:c r="K209" s="15" t="str">
        <x:v>每7个游戏日补充17货载单位。由区域商队或NPC货船带入；为港口转售供货，不改变商品的原产地区。</x:v>
      </x:c>
      <x:c r="L209" s="15" t="str">
        <x:v>港口发展度达到D3（≥450点）；不要求武装度。</x:v>
      </x:c>
    </x:row>
    <x:row r="210" ht="42" customHeight="1">
      <x:c r="A210" s="13" t="str">
        <x:v>P023</x:v>
      </x:c>
      <x:c r="B210" s="13" t="str">
        <x:v>威尼斯</x:v>
      </x:c>
      <x:c r="C210" s="13" t="str">
        <x:v>G047</x:v>
      </x:c>
      <x:c r="D210" s="13" t="str">
        <x:v>锦缎</x:v>
      </x:c>
      <x:c r="E210" s="27" t="n">
        <x:v>4</x:v>
      </x:c>
      <x:c r="F210" s="27" t="n">
        <x:v>850</x:v>
      </x:c>
      <x:c r="G210" s="27" t="n">
        <x:v>63</x:v>
      </x:c>
      <x:c r="H210" s="27" t="n">
        <x:v>189</x:v>
      </x:c>
      <x:c r="I210" s="52" t="n">
        <x:v>0.87</x:v>
      </x:c>
      <x:c r="J210" s="13" t="str">
        <x:v>本港生产/腹地集散/港内加工</x:v>
      </x:c>
      <x:c r="K210" s="13" t="str">
        <x:v>每7个游戏日补充63货载单位。本地、所属岛链或相连腹地供货；成品由港内工坊加工，贸易规模是本作设计。</x:v>
      </x:c>
      <x:c r="L210" s="13" t="str">
        <x:v>港口发展度达到D4（≥700点）；不要求武装度。</x:v>
      </x:c>
    </x:row>
    <x:row r="211" ht="42" customHeight="1">
      <x:c r="A211" s="15" t="str">
        <x:v>P023</x:v>
      </x:c>
      <x:c r="B211" s="15" t="str">
        <x:v>威尼斯</x:v>
      </x:c>
      <x:c r="C211" s="15" t="str">
        <x:v>G100</x:v>
      </x:c>
      <x:c r="D211" s="15" t="str">
        <x:v>钟表</x:v>
      </x:c>
      <x:c r="E211" s="30" t="n">
        <x:v>5</x:v>
      </x:c>
      <x:c r="F211" s="30" t="n">
        <x:v>900</x:v>
      </x:c>
      <x:c r="G211" s="30" t="n">
        <x:v>9</x:v>
      </x:c>
      <x:c r="H211" s="30" t="n">
        <x:v>27</x:v>
      </x:c>
      <x:c r="I211" s="54" t="n">
        <x:v>0.87</x:v>
      </x:c>
      <x:c r="J211" s="15" t="str">
        <x:v>本港生产/腹地集散/港内加工</x:v>
      </x:c>
      <x:c r="K211" s="15" t="str">
        <x:v>每7个游戏日补充9货载单位。本地、所属岛链或相连腹地供货；成品由港内工坊加工，贸易规模是本作设计。</x:v>
      </x:c>
      <x:c r="L211" s="15" t="str">
        <x:v>港口发展度达到D5（≥1000点）；不要求武装度。</x:v>
      </x:c>
    </x:row>
    <x:row r="212" ht="42" customHeight="1">
      <x:c r="A212" s="13" t="str">
        <x:v>P023</x:v>
      </x:c>
      <x:c r="B212" s="13" t="str">
        <x:v>威尼斯</x:v>
      </x:c>
      <x:c r="C212" s="13" t="str">
        <x:v>SP023</x:v>
      </x:c>
      <x:c r="D212" s="13" t="str">
        <x:v>千潮琉璃天球灯</x:v>
      </x:c>
      <x:c r="E212" s="27" t="n">
        <x:v>4</x:v>
      </x:c>
      <x:c r="F212" s="27" t="n">
        <x:v>1480</x:v>
      </x:c>
      <x:c r="G212" s="27" t="n">
        <x:v>9</x:v>
      </x:c>
      <x:c r="H212" s="27" t="n">
        <x:v>18</x:v>
      </x:c>
      <x:c r="I212" s="52" t="n">
        <x:v>0.78</x:v>
      </x:c>
      <x:c r="J212" s="13" t="str">
        <x:v>港口独占原创工坊特产</x:v>
      </x:c>
      <x:c r="K212" s="13" t="str">
        <x:v>每7个游戏日由「潟湖玻璃与机械作坊」交货9货载；只在本港形成稳定产源。</x:v>
      </x:c>
      <x:c r="L212" s="13" t="str">
        <x:v>港口发展度达到D4（≥700点）时，投资项目「潟湖玻璃与机械作坊」自动完工；不要求武装度。</x:v>
      </x:c>
    </x:row>
    <x:row r="213" ht="42" customHeight="1">
      <x:c r="A213" s="15" t="str">
        <x:v>P024</x:v>
      </x:c>
      <x:c r="B213" s="15" t="str">
        <x:v>那不勒斯</x:v>
      </x:c>
      <x:c r="C213" s="15" t="str">
        <x:v>G001</x:v>
      </x:c>
      <x:c r="D213" s="15" t="str">
        <x:v>小麦</x:v>
      </x:c>
      <x:c r="E213" s="30" t="n">
        <x:v>0</x:v>
      </x:c>
      <x:c r="F213" s="30" t="n">
        <x:v>45</x:v>
      </x:c>
      <x:c r="G213" s="30" t="n">
        <x:v>218</x:v>
      </x:c>
      <x:c r="H213" s="30" t="n">
        <x:v>654</x:v>
      </x:c>
      <x:c r="I213" s="54" t="n">
        <x:v>0.74</x:v>
      </x:c>
      <x:c r="J213" s="15" t="str">
        <x:v>本港生产/腹地集散/港内加工</x:v>
      </x:c>
      <x:c r="K213" s="15" t="str">
        <x:v>每7个游戏日补充218货载单位。本地、所属岛链或相连腹地供货；成品由港内工坊加工，贸易规模是本作设计。</x:v>
      </x:c>
      <x:c r="L213" s="15" t="str">
        <x:v>港口发展度达到D0（≥0点）；不要求武装度。</x:v>
      </x:c>
    </x:row>
    <x:row r="214" ht="42" customHeight="1">
      <x:c r="A214" s="13" t="str">
        <x:v>P024</x:v>
      </x:c>
      <x:c r="B214" s="13" t="str">
        <x:v>那不勒斯</x:v>
      </x:c>
      <x:c r="C214" s="13" t="str">
        <x:v>G094</x:v>
      </x:c>
      <x:c r="D214" s="13" t="str">
        <x:v>柑橘</x:v>
      </x:c>
      <x:c r="E214" s="27" t="n">
        <x:v>0</x:v>
      </x:c>
      <x:c r="F214" s="27" t="n">
        <x:v>62</x:v>
      </x:c>
      <x:c r="G214" s="27" t="n">
        <x:v>169</x:v>
      </x:c>
      <x:c r="H214" s="27" t="n">
        <x:v>507</x:v>
      </x:c>
      <x:c r="I214" s="52" t="n">
        <x:v>0.74</x:v>
      </x:c>
      <x:c r="J214" s="13" t="str">
        <x:v>本港生产/腹地集散/港内加工</x:v>
      </x:c>
      <x:c r="K214" s="13" t="str">
        <x:v>每7个游戏日补充169货载单位。本地、所属岛链或相连腹地供货；成品由港内工坊加工，贸易规模是本作设计。</x:v>
      </x:c>
      <x:c r="L214" s="13" t="str">
        <x:v>港口发展度达到D0（≥0点）；不要求武装度。</x:v>
      </x:c>
    </x:row>
    <x:row r="215" ht="42" customHeight="1">
      <x:c r="A215" s="15" t="str">
        <x:v>P024</x:v>
      </x:c>
      <x:c r="B215" s="15" t="str">
        <x:v>那不勒斯</x:v>
      </x:c>
      <x:c r="C215" s="15" t="str">
        <x:v>G023</x:v>
      </x:c>
      <x:c r="D215" s="15" t="str">
        <x:v>葡萄酒</x:v>
      </x:c>
      <x:c r="E215" s="30" t="n">
        <x:v>1</x:v>
      </x:c>
      <x:c r="F215" s="30" t="n">
        <x:v>115</x:v>
      </x:c>
      <x:c r="G215" s="30" t="n">
        <x:v>83</x:v>
      </x:c>
      <x:c r="H215" s="30" t="n">
        <x:v>249</x:v>
      </x:c>
      <x:c r="I215" s="54" t="n">
        <x:v>0.74</x:v>
      </x:c>
      <x:c r="J215" s="15" t="str">
        <x:v>本港生产/腹地集散/港内加工</x:v>
      </x:c>
      <x:c r="K215" s="15" t="str">
        <x:v>每7个游戏日补充83货载单位。本地、所属岛链或相连腹地供货；成品由港内工坊加工，贸易规模是本作设计。</x:v>
      </x:c>
      <x:c r="L215" s="15" t="str">
        <x:v>港口发展度达到D1（≥100点）；不要求武装度。</x:v>
      </x:c>
    </x:row>
    <x:row r="216" ht="42" customHeight="1">
      <x:c r="A216" s="13" t="str">
        <x:v>P024</x:v>
      </x:c>
      <x:c r="B216" s="13" t="str">
        <x:v>那不勒斯</x:v>
      </x:c>
      <x:c r="C216" s="13" t="str">
        <x:v>G013</x:v>
      </x:c>
      <x:c r="D216" s="13" t="str">
        <x:v>橄榄油</x:v>
      </x:c>
      <x:c r="E216" s="27" t="n">
        <x:v>1</x:v>
      </x:c>
      <x:c r="F216" s="27" t="n">
        <x:v>120</x:v>
      </x:c>
      <x:c r="G216" s="27" t="n">
        <x:v>161</x:v>
      </x:c>
      <x:c r="H216" s="27" t="n">
        <x:v>483</x:v>
      </x:c>
      <x:c r="I216" s="52" t="n">
        <x:v>0.74</x:v>
      </x:c>
      <x:c r="J216" s="13" t="str">
        <x:v>本港生产/腹地集散/港内加工</x:v>
      </x:c>
      <x:c r="K216" s="13" t="str">
        <x:v>每7个游戏日补充161货载单位。本地、所属岛链或相连腹地供货；成品由港内工坊加工，贸易规模是本作设计。</x:v>
      </x:c>
      <x:c r="L216" s="13" t="str">
        <x:v>港口发展度达到D1（≥100点）；不要求武装度。</x:v>
      </x:c>
    </x:row>
    <x:row r="217" ht="42" customHeight="1">
      <x:c r="A217" s="15" t="str">
        <x:v>P024</x:v>
      </x:c>
      <x:c r="B217" s="15" t="str">
        <x:v>那不勒斯</x:v>
      </x:c>
      <x:c r="C217" s="15" t="str">
        <x:v>G065</x:v>
      </x:c>
      <x:c r="D217" s="15" t="str">
        <x:v>硫磺</x:v>
      </x:c>
      <x:c r="E217" s="30" t="n">
        <x:v>2</x:v>
      </x:c>
      <x:c r="F217" s="30" t="n">
        <x:v>140</x:v>
      </x:c>
      <x:c r="G217" s="30" t="n">
        <x:v>87</x:v>
      </x:c>
      <x:c r="H217" s="30" t="n">
        <x:v>261</x:v>
      </x:c>
      <x:c r="I217" s="54" t="n">
        <x:v>0.8</x:v>
      </x:c>
      <x:c r="J217" s="15" t="str">
        <x:v>本港生产/腹地集散/港内加工</x:v>
      </x:c>
      <x:c r="K217" s="15" t="str">
        <x:v>每7个游戏日补充87货载单位。本地、所属岛链或相连腹地供货；成品由港内工坊加工，贸易规模是本作设计。</x:v>
      </x:c>
      <x:c r="L217" s="15" t="str">
        <x:v>港口发展度达到D2（≥250点）；不要求武装度。</x:v>
      </x:c>
    </x:row>
    <x:row r="218" ht="42" customHeight="1">
      <x:c r="A218" s="13" t="str">
        <x:v>P024</x:v>
      </x:c>
      <x:c r="B218" s="13" t="str">
        <x:v>那不勒斯</x:v>
      </x:c>
      <x:c r="C218" s="13" t="str">
        <x:v>G075</x:v>
      </x:c>
      <x:c r="D218" s="13" t="str">
        <x:v>珊瑚</x:v>
      </x:c>
      <x:c r="E218" s="27" t="n">
        <x:v>3</x:v>
      </x:c>
      <x:c r="F218" s="27" t="n">
        <x:v>330</x:v>
      </x:c>
      <x:c r="G218" s="27" t="n">
        <x:v>7</x:v>
      </x:c>
      <x:c r="H218" s="27" t="n">
        <x:v>21</x:v>
      </x:c>
      <x:c r="I218" s="52" t="n">
        <x:v>0.8</x:v>
      </x:c>
      <x:c r="J218" s="13" t="str">
        <x:v>本港生产/腹地集散/港内加工</x:v>
      </x:c>
      <x:c r="K218" s="13" t="str">
        <x:v>每7个游戏日补充7货载单位。本地、所属岛链或相连腹地供货；成品由港内工坊加工，贸易规模是本作设计。</x:v>
      </x:c>
      <x:c r="L218" s="13" t="str">
        <x:v>港口发展度达到D3（≥450点）；不要求武装度。</x:v>
      </x:c>
    </x:row>
    <x:row r="219" ht="42" customHeight="1">
      <x:c r="A219" s="15" t="str">
        <x:v>P024</x:v>
      </x:c>
      <x:c r="B219" s="15" t="str">
        <x:v>那不勒斯</x:v>
      </x:c>
      <x:c r="C219" s="15" t="str">
        <x:v>G069</x:v>
      </x:c>
      <x:c r="D219" s="15" t="str">
        <x:v>粗陶器</x:v>
      </x:c>
      <x:c r="E219" s="30" t="n">
        <x:v>4</x:v>
      </x:c>
      <x:c r="F219" s="30" t="n">
        <x:v>90</x:v>
      </x:c>
      <x:c r="G219" s="30" t="n">
        <x:v>23</x:v>
      </x:c>
      <x:c r="H219" s="30" t="n">
        <x:v>69</x:v>
      </x:c>
      <x:c r="I219" s="54" t="n">
        <x:v>0.87</x:v>
      </x:c>
      <x:c r="J219" s="15" t="str">
        <x:v>本港生产/腹地集散/港内加工</x:v>
      </x:c>
      <x:c r="K219" s="15" t="str">
        <x:v>每7个游戏日补充23货载单位。本地、所属岛链或相连腹地供货；成品由港内工坊加工，贸易规模是本作设计。</x:v>
      </x:c>
      <x:c r="L219" s="15" t="str">
        <x:v>港口发展度达到D4（≥700点）；不要求武装度。</x:v>
      </x:c>
    </x:row>
    <x:row r="220" ht="42" customHeight="1">
      <x:c r="A220" s="13" t="str">
        <x:v>P024</x:v>
      </x:c>
      <x:c r="B220" s="13" t="str">
        <x:v>那不勒斯</x:v>
      </x:c>
      <x:c r="C220" s="13" t="str">
        <x:v>G073</x:v>
      </x:c>
      <x:c r="D220" s="13" t="str">
        <x:v>珠宝</x:v>
      </x:c>
      <x:c r="E220" s="27" t="n">
        <x:v>5</x:v>
      </x:c>
      <x:c r="F220" s="27" t="n">
        <x:v>760</x:v>
      </x:c>
      <x:c r="G220" s="27" t="n">
        <x:v>8</x:v>
      </x:c>
      <x:c r="H220" s="27" t="n">
        <x:v>24</x:v>
      </x:c>
      <x:c r="I220" s="52" t="n">
        <x:v>0.87</x:v>
      </x:c>
      <x:c r="J220" s="13" t="str">
        <x:v>本港生产/腹地集散/港内加工</x:v>
      </x:c>
      <x:c r="K220" s="13" t="str">
        <x:v>每7个游戏日补充8货载单位。本地、所属岛链或相连腹地供货；成品由港内工坊加工，贸易规模是本作设计。</x:v>
      </x:c>
      <x:c r="L220" s="13" t="str">
        <x:v>港口发展度达到D5（≥1000点）；不要求武装度。</x:v>
      </x:c>
    </x:row>
    <x:row r="221" ht="42" customHeight="1">
      <x:c r="A221" s="15" t="str">
        <x:v>P024</x:v>
      </x:c>
      <x:c r="B221" s="15" t="str">
        <x:v>那不勒斯</x:v>
      </x:c>
      <x:c r="C221" s="15" t="str">
        <x:v>SP024</x:v>
      </x:c>
      <x:c r="D221" s="15" t="str">
        <x:v>火山红珊瑚花结</x:v>
      </x:c>
      <x:c r="E221" s="30" t="n">
        <x:v>4</x:v>
      </x:c>
      <x:c r="F221" s="30" t="n">
        <x:v>950</x:v>
      </x:c>
      <x:c r="G221" s="30" t="n">
        <x:v>7</x:v>
      </x:c>
      <x:c r="H221" s="30" t="n">
        <x:v>14</x:v>
      </x:c>
      <x:c r="I221" s="54" t="n">
        <x:v>0.78</x:v>
      </x:c>
      <x:c r="J221" s="15" t="str">
        <x:v>港口独占原创工坊特产</x:v>
      </x:c>
      <x:c r="K221" s="15" t="str">
        <x:v>每7个游戏日由「湾岸珊瑚金工坊」交货7货载；只在本港形成稳定产源。</x:v>
      </x:c>
      <x:c r="L221" s="15" t="str">
        <x:v>港口发展度达到D4（≥700点）时，投资项目「湾岸珊瑚金工坊」自动完工；不要求武装度。</x:v>
      </x:c>
    </x:row>
    <x:row r="222" ht="42" customHeight="1">
      <x:c r="A222" s="13" t="str">
        <x:v>P025</x:v>
      </x:c>
      <x:c r="B222" s="13" t="str">
        <x:v>巴勒莫</x:v>
      </x:c>
      <x:c r="C222" s="13" t="str">
        <x:v>G001</x:v>
      </x:c>
      <x:c r="D222" s="13" t="str">
        <x:v>小麦</x:v>
      </x:c>
      <x:c r="E222" s="27" t="n">
        <x:v>0</x:v>
      </x:c>
      <x:c r="F222" s="27" t="n">
        <x:v>45</x:v>
      </x:c>
      <x:c r="G222" s="27" t="n">
        <x:v>203</x:v>
      </x:c>
      <x:c r="H222" s="27" t="n">
        <x:v>609</x:v>
      </x:c>
      <x:c r="I222" s="52" t="n">
        <x:v>0.74</x:v>
      </x:c>
      <x:c r="J222" s="13" t="str">
        <x:v>本港生产/腹地集散/港内加工</x:v>
      </x:c>
      <x:c r="K222" s="13" t="str">
        <x:v>每7个游戏日补充203货载单位。本地、所属岛链或相连腹地供货；成品由港内工坊加工，贸易规模是本作设计。</x:v>
      </x:c>
      <x:c r="L222" s="13" t="str">
        <x:v>港口发展度达到D0（≥0点）；不要求武装度。</x:v>
      </x:c>
    </x:row>
    <x:row r="223" ht="42" customHeight="1">
      <x:c r="A223" s="15" t="str">
        <x:v>P025</x:v>
      </x:c>
      <x:c r="B223" s="15" t="str">
        <x:v>巴勒莫</x:v>
      </x:c>
      <x:c r="C223" s="15" t="str">
        <x:v>G013</x:v>
      </x:c>
      <x:c r="D223" s="15" t="str">
        <x:v>橄榄油</x:v>
      </x:c>
      <x:c r="E223" s="30" t="n">
        <x:v>0</x:v>
      </x:c>
      <x:c r="F223" s="30" t="n">
        <x:v>120</x:v>
      </x:c>
      <x:c r="G223" s="30" t="n">
        <x:v>158</x:v>
      </x:c>
      <x:c r="H223" s="30" t="n">
        <x:v>474</x:v>
      </x:c>
      <x:c r="I223" s="54" t="n">
        <x:v>0.74</x:v>
      </x:c>
      <x:c r="J223" s="15" t="str">
        <x:v>本港生产/腹地集散/港内加工</x:v>
      </x:c>
      <x:c r="K223" s="15" t="str">
        <x:v>每7个游戏日补充158货载单位。本地、所属岛链或相连腹地供货；成品由港内工坊加工，贸易规模是本作设计。</x:v>
      </x:c>
      <x:c r="L223" s="15" t="str">
        <x:v>港口发展度达到D0（≥0点）；不要求武装度。</x:v>
      </x:c>
    </x:row>
    <x:row r="224" ht="42" customHeight="1">
      <x:c r="A224" s="13" t="str">
        <x:v>P025</x:v>
      </x:c>
      <x:c r="B224" s="13" t="str">
        <x:v>巴勒莫</x:v>
      </x:c>
      <x:c r="C224" s="13" t="str">
        <x:v>G009</x:v>
      </x:c>
      <x:c r="D224" s="13" t="str">
        <x:v>盐</x:v>
      </x:c>
      <x:c r="E224" s="27" t="n">
        <x:v>1</x:v>
      </x:c>
      <x:c r="F224" s="27" t="n">
        <x:v>28</x:v>
      </x:c>
      <x:c r="G224" s="27" t="n">
        <x:v>150</x:v>
      </x:c>
      <x:c r="H224" s="27" t="n">
        <x:v>450</x:v>
      </x:c>
      <x:c r="I224" s="52" t="n">
        <x:v>0.74</x:v>
      </x:c>
      <x:c r="J224" s="13" t="str">
        <x:v>本港生产/腹地集散/港内加工</x:v>
      </x:c>
      <x:c r="K224" s="13" t="str">
        <x:v>每7个游戏日补充150货载单位。本地、所属岛链或相连腹地供货；成品由港内工坊加工，贸易规模是本作设计。</x:v>
      </x:c>
      <x:c r="L224" s="13" t="str">
        <x:v>港口发展度达到D1（≥100点）；不要求武装度。</x:v>
      </x:c>
    </x:row>
    <x:row r="225" ht="42" customHeight="1">
      <x:c r="A225" s="15" t="str">
        <x:v>P025</x:v>
      </x:c>
      <x:c r="B225" s="15" t="str">
        <x:v>巴勒莫</x:v>
      </x:c>
      <x:c r="C225" s="15" t="str">
        <x:v>G094</x:v>
      </x:c>
      <x:c r="D225" s="15" t="str">
        <x:v>柑橘</x:v>
      </x:c>
      <x:c r="E225" s="30" t="n">
        <x:v>1</x:v>
      </x:c>
      <x:c r="F225" s="30" t="n">
        <x:v>62</x:v>
      </x:c>
      <x:c r="G225" s="30" t="n">
        <x:v>150</x:v>
      </x:c>
      <x:c r="H225" s="30" t="n">
        <x:v>450</x:v>
      </x:c>
      <x:c r="I225" s="54" t="n">
        <x:v>0.74</x:v>
      </x:c>
      <x:c r="J225" s="15" t="str">
        <x:v>本港生产/腹地集散/港内加工</x:v>
      </x:c>
      <x:c r="K225" s="15" t="str">
        <x:v>每7个游戏日补充150货载单位。本地、所属岛链或相连腹地供货；成品由港内工坊加工，贸易规模是本作设计。</x:v>
      </x:c>
      <x:c r="L225" s="15" t="str">
        <x:v>港口发展度达到D1（≥100点）；不要求武装度。</x:v>
      </x:c>
    </x:row>
    <x:row r="226" ht="42" customHeight="1">
      <x:c r="A226" s="13" t="str">
        <x:v>P025</x:v>
      </x:c>
      <x:c r="B226" s="13" t="str">
        <x:v>巴勒莫</x:v>
      </x:c>
      <x:c r="C226" s="13" t="str">
        <x:v>G093</x:v>
      </x:c>
      <x:c r="D226" s="13" t="str">
        <x:v>干果</x:v>
      </x:c>
      <x:c r="E226" s="27" t="n">
        <x:v>2</x:v>
      </x:c>
      <x:c r="F226" s="27" t="n">
        <x:v>85</x:v>
      </x:c>
      <x:c r="G226" s="27" t="n">
        <x:v>134</x:v>
      </x:c>
      <x:c r="H226" s="27" t="n">
        <x:v>402</x:v>
      </x:c>
      <x:c r="I226" s="52" t="n">
        <x:v>0.8</x:v>
      </x:c>
      <x:c r="J226" s="13" t="str">
        <x:v>本港生产/腹地集散/港内加工</x:v>
      </x:c>
      <x:c r="K226" s="13" t="str">
        <x:v>每7个游戏日补充134货载单位。本地、所属岛链或相连腹地供货；成品由港内工坊加工，贸易规模是本作设计。</x:v>
      </x:c>
      <x:c r="L226" s="13" t="str">
        <x:v>港口发展度达到D2（≥250点）；不要求武装度。</x:v>
      </x:c>
    </x:row>
    <x:row r="227" ht="42" customHeight="1">
      <x:c r="A227" s="15" t="str">
        <x:v>P025</x:v>
      </x:c>
      <x:c r="B227" s="15" t="str">
        <x:v>巴勒莫</x:v>
      </x:c>
      <x:c r="C227" s="15" t="str">
        <x:v>G042</x:v>
      </x:c>
      <x:c r="D227" s="15" t="str">
        <x:v>生丝</x:v>
      </x:c>
      <x:c r="E227" s="30" t="n">
        <x:v>3</x:v>
      </x:c>
      <x:c r="F227" s="30" t="n">
        <x:v>390</x:v>
      </x:c>
      <x:c r="G227" s="30" t="n">
        <x:v>98</x:v>
      </x:c>
      <x:c r="H227" s="30" t="n">
        <x:v>294</x:v>
      </x:c>
      <x:c r="I227" s="54" t="n">
        <x:v>0.8</x:v>
      </x:c>
      <x:c r="J227" s="15" t="str">
        <x:v>本港生产/腹地集散/港内加工</x:v>
      </x:c>
      <x:c r="K227" s="15" t="str">
        <x:v>每7个游戏日补充98货载单位。本地、所属岛链或相连腹地供货；成品由港内工坊加工，贸易规模是本作设计。</x:v>
      </x:c>
      <x:c r="L227" s="15" t="str">
        <x:v>港口发展度达到D3（≥450点）；不要求武装度。</x:v>
      </x:c>
    </x:row>
    <x:row r="228" ht="42" customHeight="1">
      <x:c r="A228" s="13" t="str">
        <x:v>P025</x:v>
      </x:c>
      <x:c r="B228" s="13" t="str">
        <x:v>巴勒莫</x:v>
      </x:c>
      <x:c r="C228" s="13" t="str">
        <x:v>G069</x:v>
      </x:c>
      <x:c r="D228" s="13" t="str">
        <x:v>粗陶器</x:v>
      </x:c>
      <x:c r="E228" s="27" t="n">
        <x:v>4</x:v>
      </x:c>
      <x:c r="F228" s="27" t="n">
        <x:v>90</x:v>
      </x:c>
      <x:c r="G228" s="27" t="n">
        <x:v>21</x:v>
      </x:c>
      <x:c r="H228" s="27" t="n">
        <x:v>63</x:v>
      </x:c>
      <x:c r="I228" s="52" t="n">
        <x:v>0.87</x:v>
      </x:c>
      <x:c r="J228" s="13" t="str">
        <x:v>本港生产/腹地集散/港内加工</x:v>
      </x:c>
      <x:c r="K228" s="13" t="str">
        <x:v>每7个游戏日补充21货载单位。本地、所属岛链或相连腹地供货；成品由港内工坊加工，贸易规模是本作设计。</x:v>
      </x:c>
      <x:c r="L228" s="13" t="str">
        <x:v>港口发展度达到D4（≥700点）；不要求武装度。</x:v>
      </x:c>
    </x:row>
    <x:row r="229" ht="42" customHeight="1">
      <x:c r="A229" s="15" t="str">
        <x:v>P025</x:v>
      </x:c>
      <x:c r="B229" s="15" t="str">
        <x:v>巴勒莫</x:v>
      </x:c>
      <x:c r="C229" s="15" t="str">
        <x:v>G087</x:v>
      </x:c>
      <x:c r="D229" s="15" t="str">
        <x:v>香水</x:v>
      </x:c>
      <x:c r="E229" s="30" t="n">
        <x:v>5</x:v>
      </x:c>
      <x:c r="F229" s="30" t="n">
        <x:v>570</x:v>
      </x:c>
      <x:c r="G229" s="30" t="n">
        <x:v>11</x:v>
      </x:c>
      <x:c r="H229" s="30" t="n">
        <x:v>33</x:v>
      </x:c>
      <x:c r="I229" s="54" t="n">
        <x:v>0.87</x:v>
      </x:c>
      <x:c r="J229" s="15" t="str">
        <x:v>本港生产/腹地集散/港内加工</x:v>
      </x:c>
      <x:c r="K229" s="15" t="str">
        <x:v>每7个游戏日补充11货载单位。本地、所属岛链或相连腹地供货；成品由港内工坊加工，贸易规模是本作设计。</x:v>
      </x:c>
      <x:c r="L229" s="15" t="str">
        <x:v>港口发展度达到D5（≥1000点）；不要求武装度。</x:v>
      </x:c>
    </x:row>
    <x:row r="230" ht="42" customHeight="1">
      <x:c r="A230" s="13" t="str">
        <x:v>P025</x:v>
      </x:c>
      <x:c r="B230" s="13" t="str">
        <x:v>巴勒莫</x:v>
      </x:c>
      <x:c r="C230" s="13" t="str">
        <x:v>SP025</x:v>
      </x:c>
      <x:c r="D230" s="13" t="str">
        <x:v>西西里柑橘蜜晶</x:v>
      </x:c>
      <x:c r="E230" s="27" t="n">
        <x:v>3</x:v>
      </x:c>
      <x:c r="F230" s="27" t="n">
        <x:v>330</x:v>
      </x:c>
      <x:c r="G230" s="27" t="n">
        <x:v>9</x:v>
      </x:c>
      <x:c r="H230" s="27" t="n">
        <x:v>18</x:v>
      </x:c>
      <x:c r="I230" s="52" t="n">
        <x:v>0.78</x:v>
      </x:c>
      <x:c r="J230" s="13" t="str">
        <x:v>港口独占原创工坊特产</x:v>
      </x:c>
      <x:c r="K230" s="13" t="str">
        <x:v>每7个游戏日由「柑橘糖果小院」交货9货载；只在本港形成稳定产源。</x:v>
      </x:c>
      <x:c r="L230" s="13" t="str">
        <x:v>港口发展度达到D3（≥450点）时，投资项目「柑橘糖果小院」自动完工；不要求武装度。</x:v>
      </x:c>
    </x:row>
    <x:row r="231" ht="42" customHeight="1">
      <x:c r="A231" s="15" t="str">
        <x:v>P026</x:v>
      </x:c>
      <x:c r="B231" s="15" t="str">
        <x:v>瓦莱塔</x:v>
      </x:c>
      <x:c r="C231" s="15" t="str">
        <x:v>G015</x:v>
      </x:c>
      <x:c r="D231" s="15" t="str">
        <x:v>咸鱼</x:v>
      </x:c>
      <x:c r="E231" s="30" t="n">
        <x:v>0</x:v>
      </x:c>
      <x:c r="F231" s="30" t="n">
        <x:v>65</x:v>
      </x:c>
      <x:c r="G231" s="30" t="n">
        <x:v>150</x:v>
      </x:c>
      <x:c r="H231" s="30" t="n">
        <x:v>450</x:v>
      </x:c>
      <x:c r="I231" s="54" t="n">
        <x:v>0.74</x:v>
      </x:c>
      <x:c r="J231" s="15" t="str">
        <x:v>本港生产/腹地集散/港内加工</x:v>
      </x:c>
      <x:c r="K231" s="15" t="str">
        <x:v>每7个游戏日补充150货载单位。本地、所属岛链或相连腹地供货；成品由港内工坊加工，贸易规模是本作设计。</x:v>
      </x:c>
      <x:c r="L231" s="15" t="str">
        <x:v>港口发展度达到D0（≥0点）；不要求武装度。</x:v>
      </x:c>
    </x:row>
    <x:row r="232" ht="42" customHeight="1">
      <x:c r="A232" s="13" t="str">
        <x:v>P026</x:v>
      </x:c>
      <x:c r="B232" s="13" t="str">
        <x:v>瓦莱塔</x:v>
      </x:c>
      <x:c r="C232" s="13" t="str">
        <x:v>G009</x:v>
      </x:c>
      <x:c r="D232" s="13" t="str">
        <x:v>盐</x:v>
      </x:c>
      <x:c r="E232" s="27" t="n">
        <x:v>0</x:v>
      </x:c>
      <x:c r="F232" s="27" t="n">
        <x:v>28</x:v>
      </x:c>
      <x:c r="G232" s="27" t="n">
        <x:v>150</x:v>
      </x:c>
      <x:c r="H232" s="27" t="n">
        <x:v>450</x:v>
      </x:c>
      <x:c r="I232" s="52" t="n">
        <x:v>0.74</x:v>
      </x:c>
      <x:c r="J232" s="13" t="str">
        <x:v>本港生产/腹地集散/港内加工</x:v>
      </x:c>
      <x:c r="K232" s="13" t="str">
        <x:v>每7个游戏日补充150货载单位。本地、所属岛链或相连腹地供货；成品由港内工坊加工，贸易规模是本作设计。</x:v>
      </x:c>
      <x:c r="L232" s="13" t="str">
        <x:v>港口发展度达到D0（≥0点）；不要求武装度。</x:v>
      </x:c>
    </x:row>
    <x:row r="233" ht="42" customHeight="1">
      <x:c r="A233" s="15" t="str">
        <x:v>P026</x:v>
      </x:c>
      <x:c r="B233" s="15" t="str">
        <x:v>瓦莱塔</x:v>
      </x:c>
      <x:c r="C233" s="15" t="str">
        <x:v>G001</x:v>
      </x:c>
      <x:c r="D233" s="15" t="str">
        <x:v>小麦</x:v>
      </x:c>
      <x:c r="E233" s="30" t="n">
        <x:v>1</x:v>
      </x:c>
      <x:c r="F233" s="30" t="n">
        <x:v>45</x:v>
      </x:c>
      <x:c r="G233" s="30" t="n">
        <x:v>95</x:v>
      </x:c>
      <x:c r="H233" s="30" t="n">
        <x:v>285</x:v>
      </x:c>
      <x:c r="I233" s="54" t="n">
        <x:v>1.08</x:v>
      </x:c>
      <x:c r="J233" s="15" t="str">
        <x:v>进口/区域转口</x:v>
      </x:c>
      <x:c r="K233" s="15" t="str">
        <x:v>每7个游戏日补充95货载单位。由区域商队或NPC货船带入；为港口转售供货，不改变商品的原产地区。</x:v>
      </x:c>
      <x:c r="L233" s="15" t="str">
        <x:v>港口发展度达到D1（≥100点）；不要求武装度。</x:v>
      </x:c>
    </x:row>
    <x:row r="234" ht="42" customHeight="1">
      <x:c r="A234" s="13" t="str">
        <x:v>P026</x:v>
      </x:c>
      <x:c r="B234" s="13" t="str">
        <x:v>瓦莱塔</x:v>
      </x:c>
      <x:c r="C234" s="13" t="str">
        <x:v>G056</x:v>
      </x:c>
      <x:c r="D234" s="13" t="str">
        <x:v>橡木</x:v>
      </x:c>
      <x:c r="E234" s="27" t="n">
        <x:v>1</x:v>
      </x:c>
      <x:c r="F234" s="27" t="n">
        <x:v>90</x:v>
      </x:c>
      <x:c r="G234" s="27" t="n">
        <x:v>58</x:v>
      </x:c>
      <x:c r="H234" s="27" t="n">
        <x:v>174</x:v>
      </x:c>
      <x:c r="I234" s="52" t="n">
        <x:v>1.08</x:v>
      </x:c>
      <x:c r="J234" s="13" t="str">
        <x:v>进口/区域转口</x:v>
      </x:c>
      <x:c r="K234" s="13" t="str">
        <x:v>每7个游戏日补充58货载单位。由区域商队或NPC货船带入；为港口转售供货，不改变商品的原产地区。</x:v>
      </x:c>
      <x:c r="L234" s="13" t="str">
        <x:v>港口发展度达到D1（≥100点）；不要求武装度。</x:v>
      </x:c>
    </x:row>
    <x:row r="235" ht="42" customHeight="1">
      <x:c r="A235" s="15" t="str">
        <x:v>P026</x:v>
      </x:c>
      <x:c r="B235" s="15" t="str">
        <x:v>瓦莱塔</x:v>
      </x:c>
      <x:c r="C235" s="15" t="str">
        <x:v>G068</x:v>
      </x:c>
      <x:c r="D235" s="15" t="str">
        <x:v>铁工具</x:v>
      </x:c>
      <x:c r="E235" s="30" t="n">
        <x:v>2</x:v>
      </x:c>
      <x:c r="F235" s="30" t="n">
        <x:v>190</x:v>
      </x:c>
      <x:c r="G235" s="30" t="n">
        <x:v>33</x:v>
      </x:c>
      <x:c r="H235" s="30" t="n">
        <x:v>99</x:v>
      </x:c>
      <x:c r="I235" s="54" t="n">
        <x:v>1.08</x:v>
      </x:c>
      <x:c r="J235" s="15" t="str">
        <x:v>进口/区域转口</x:v>
      </x:c>
      <x:c r="K235" s="15" t="str">
        <x:v>每7个游戏日补充33货载单位。由区域商队或NPC货船带入；为港口转售供货，不改变商品的原产地区。</x:v>
      </x:c>
      <x:c r="L235" s="15" t="str">
        <x:v>港口发展度达到D2（≥250点）；不要求武装度。</x:v>
      </x:c>
    </x:row>
    <x:row r="236" ht="42" customHeight="1">
      <x:c r="A236" s="13" t="str">
        <x:v>P026</x:v>
      </x:c>
      <x:c r="B236" s="13" t="str">
        <x:v>瓦莱塔</x:v>
      </x:c>
      <x:c r="C236" s="13" t="str">
        <x:v>G067</x:v>
      </x:c>
      <x:c r="D236" s="13" t="str">
        <x:v>火药</x:v>
      </x:c>
      <x:c r="E236" s="27" t="n">
        <x:v>3</x:v>
      </x:c>
      <x:c r="F236" s="27" t="n">
        <x:v>265</x:v>
      </x:c>
      <x:c r="G236" s="27" t="n">
        <x:v>54</x:v>
      </x:c>
      <x:c r="H236" s="27" t="n">
        <x:v>162</x:v>
      </x:c>
      <x:c r="I236" s="52" t="n">
        <x:v>0.8</x:v>
      </x:c>
      <x:c r="J236" s="13" t="str">
        <x:v>本港生产/腹地集散/港内加工</x:v>
      </x:c>
      <x:c r="K236" s="13" t="str">
        <x:v>每7个游戏日补充54货载单位。本地、所属岛链或相连腹地供货；成品由港内工坊加工，贸易规模是本作设计。</x:v>
      </x:c>
      <x:c r="L236" s="13" t="str">
        <x:v>港口发展度达到D3（≥450点）；不要求武装度。</x:v>
      </x:c>
    </x:row>
    <x:row r="237" ht="42" customHeight="1">
      <x:c r="A237" s="15" t="str">
        <x:v>P026</x:v>
      </x:c>
      <x:c r="B237" s="15" t="str">
        <x:v>瓦莱塔</x:v>
      </x:c>
      <x:c r="C237" s="15" t="str">
        <x:v>G071</x:v>
      </x:c>
      <x:c r="D237" s="15" t="str">
        <x:v>玻璃器皿</x:v>
      </x:c>
      <x:c r="E237" s="30" t="n">
        <x:v>4</x:v>
      </x:c>
      <x:c r="F237" s="30" t="n">
        <x:v>310</x:v>
      </x:c>
      <x:c r="G237" s="30" t="n">
        <x:v>10</x:v>
      </x:c>
      <x:c r="H237" s="30" t="n">
        <x:v>30</x:v>
      </x:c>
      <x:c r="I237" s="54" t="n">
        <x:v>1.14</x:v>
      </x:c>
      <x:c r="J237" s="15" t="str">
        <x:v>进口/区域转口</x:v>
      </x:c>
      <x:c r="K237" s="15" t="str">
        <x:v>每7个游戏日补充10货载单位。由区域商队或NPC货船带入；为港口转售供货，不改变商品的原产地区。</x:v>
      </x:c>
      <x:c r="L237" s="15" t="str">
        <x:v>港口发展度达到D4（≥700点）；不要求武装度。</x:v>
      </x:c>
    </x:row>
    <x:row r="238" ht="42" customHeight="1">
      <x:c r="A238" s="13" t="str">
        <x:v>P026</x:v>
      </x:c>
      <x:c r="B238" s="13" t="str">
        <x:v>瓦莱塔</x:v>
      </x:c>
      <x:c r="C238" s="13" t="str">
        <x:v>G099</x:v>
      </x:c>
      <x:c r="D238" s="13" t="str">
        <x:v>航海仪器</x:v>
      </x:c>
      <x:c r="E238" s="27" t="n">
        <x:v>5</x:v>
      </x:c>
      <x:c r="F238" s="27" t="n">
        <x:v>650</x:v>
      </x:c>
      <x:c r="G238" s="27" t="n">
        <x:v>7</x:v>
      </x:c>
      <x:c r="H238" s="27" t="n">
        <x:v>21</x:v>
      </x:c>
      <x:c r="I238" s="52" t="n">
        <x:v>0.87</x:v>
      </x:c>
      <x:c r="J238" s="13" t="str">
        <x:v>本港生产/腹地集散/港内加工</x:v>
      </x:c>
      <x:c r="K238" s="13" t="str">
        <x:v>每7个游戏日补充7货载单位。本地、所属岛链或相连腹地供货；成品由港内工坊加工，贸易规模是本作设计。</x:v>
      </x:c>
      <x:c r="L238" s="13" t="str">
        <x:v>港口发展度达到D5（≥1000点）；不要求武装度。</x:v>
      </x:c>
    </x:row>
    <x:row r="239" ht="42" customHeight="1">
      <x:c r="A239" s="15" t="str">
        <x:v>P026</x:v>
      </x:c>
      <x:c r="B239" s="15" t="str">
        <x:v>瓦莱塔</x:v>
      </x:c>
      <x:c r="C239" s="15" t="str">
        <x:v>SP026</x:v>
      </x:c>
      <x:c r="D239" s="15" t="str">
        <x:v>八角潮针护航仪</x:v>
      </x:c>
      <x:c r="E239" s="30" t="n">
        <x:v>4</x:v>
      </x:c>
      <x:c r="F239" s="30" t="n">
        <x:v>1080</x:v>
      </x:c>
      <x:c r="G239" s="30" t="n">
        <x:v>7</x:v>
      </x:c>
      <x:c r="H239" s="30" t="n">
        <x:v>14</x:v>
      </x:c>
      <x:c r="I239" s="54" t="n">
        <x:v>0.78</x:v>
      </x:c>
      <x:c r="J239" s="15" t="str">
        <x:v>港口独占原创工坊特产</x:v>
      </x:c>
      <x:c r="K239" s="15" t="str">
        <x:v>每7个游戏日由「大港仪器院」交货7货载；只在本港形成稳定产源。</x:v>
      </x:c>
      <x:c r="L239" s="15" t="str">
        <x:v>港口发展度达到D4（≥700点）时，投资项目「大港仪器院」自动完工；不要求武装度。</x:v>
      </x:c>
    </x:row>
    <x:row r="240" ht="42" customHeight="1">
      <x:c r="A240" s="13" t="str">
        <x:v>P027</x:v>
      </x:c>
      <x:c r="B240" s="13" t="str">
        <x:v>巴塞罗那</x:v>
      </x:c>
      <x:c r="C240" s="13" t="str">
        <x:v>G023</x:v>
      </x:c>
      <x:c r="D240" s="13" t="str">
        <x:v>葡萄酒</x:v>
      </x:c>
      <x:c r="E240" s="27" t="n">
        <x:v>0</x:v>
      </x:c>
      <x:c r="F240" s="27" t="n">
        <x:v>115</x:v>
      </x:c>
      <x:c r="G240" s="27" t="n">
        <x:v>90</x:v>
      </x:c>
      <x:c r="H240" s="27" t="n">
        <x:v>270</x:v>
      </x:c>
      <x:c r="I240" s="52" t="n">
        <x:v>0.74</x:v>
      </x:c>
      <x:c r="J240" s="13" t="str">
        <x:v>本港生产/腹地集散/港内加工</x:v>
      </x:c>
      <x:c r="K240" s="13" t="str">
        <x:v>每7个游戏日补充90货载单位。本地、所属岛链或相连腹地供货；成品由港内工坊加工，贸易规模是本作设计。</x:v>
      </x:c>
      <x:c r="L240" s="13" t="str">
        <x:v>港口发展度达到D0（≥0点）；不要求武装度。</x:v>
      </x:c>
    </x:row>
    <x:row r="241" ht="42" customHeight="1">
      <x:c r="A241" s="15" t="str">
        <x:v>P027</x:v>
      </x:c>
      <x:c r="B241" s="15" t="str">
        <x:v>巴塞罗那</x:v>
      </x:c>
      <x:c r="C241" s="15" t="str">
        <x:v>G013</x:v>
      </x:c>
      <x:c r="D241" s="15" t="str">
        <x:v>橄榄油</x:v>
      </x:c>
      <x:c r="E241" s="30" t="n">
        <x:v>0</x:v>
      </x:c>
      <x:c r="F241" s="30" t="n">
        <x:v>120</x:v>
      </x:c>
      <x:c r="G241" s="30" t="n">
        <x:v>175</x:v>
      </x:c>
      <x:c r="H241" s="30" t="n">
        <x:v>525</x:v>
      </x:c>
      <x:c r="I241" s="54" t="n">
        <x:v>0.74</x:v>
      </x:c>
      <x:c r="J241" s="15" t="str">
        <x:v>本港生产/腹地集散/港内加工</x:v>
      </x:c>
      <x:c r="K241" s="15" t="str">
        <x:v>每7个游戏日补充175货载单位。本地、所属岛链或相连腹地供货；成品由港内工坊加工，贸易规模是本作设计。</x:v>
      </x:c>
      <x:c r="L241" s="15" t="str">
        <x:v>港口发展度达到D0（≥0点）；不要求武装度。</x:v>
      </x:c>
    </x:row>
    <x:row r="242" ht="42" customHeight="1">
      <x:c r="A242" s="13" t="str">
        <x:v>P027</x:v>
      </x:c>
      <x:c r="B242" s="13" t="str">
        <x:v>巴塞罗那</x:v>
      </x:c>
      <x:c r="C242" s="13" t="str">
        <x:v>G039</x:v>
      </x:c>
      <x:c r="D242" s="13" t="str">
        <x:v>羊毛</x:v>
      </x:c>
      <x:c r="E242" s="27" t="n">
        <x:v>1</x:v>
      </x:c>
      <x:c r="F242" s="27" t="n">
        <x:v>100</x:v>
      </x:c>
      <x:c r="G242" s="27" t="n">
        <x:v>142</x:v>
      </x:c>
      <x:c r="H242" s="27" t="n">
        <x:v>426</x:v>
      </x:c>
      <x:c r="I242" s="52" t="n">
        <x:v>0.74</x:v>
      </x:c>
      <x:c r="J242" s="13" t="str">
        <x:v>本港生产/腹地集散/港内加工</x:v>
      </x:c>
      <x:c r="K242" s="13" t="str">
        <x:v>每7个游戏日补充142货载单位。本地、所属岛链或相连腹地供货；成品由港内工坊加工，贸易规模是本作设计。</x:v>
      </x:c>
      <x:c r="L242" s="13" t="str">
        <x:v>港口发展度达到D1（≥100点）；不要求武装度。</x:v>
      </x:c>
    </x:row>
    <x:row r="243" ht="42" customHeight="1">
      <x:c r="A243" s="15" t="str">
        <x:v>P027</x:v>
      </x:c>
      <x:c r="B243" s="15" t="str">
        <x:v>巴塞罗那</x:v>
      </x:c>
      <x:c r="C243" s="15" t="str">
        <x:v>G040</x:v>
      </x:c>
      <x:c r="D243" s="15" t="str">
        <x:v>亚麻</x:v>
      </x:c>
      <x:c r="E243" s="30" t="n">
        <x:v>1</x:v>
      </x:c>
      <x:c r="F243" s="30" t="n">
        <x:v>85</x:v>
      </x:c>
      <x:c r="G243" s="30" t="n">
        <x:v>142</x:v>
      </x:c>
      <x:c r="H243" s="30" t="n">
        <x:v>426</x:v>
      </x:c>
      <x:c r="I243" s="54" t="n">
        <x:v>0.74</x:v>
      </x:c>
      <x:c r="J243" s="15" t="str">
        <x:v>本港生产/腹地集散/港内加工</x:v>
      </x:c>
      <x:c r="K243" s="15" t="str">
        <x:v>每7个游戏日补充142货载单位。本地、所属岛链或相连腹地供货；成品由港内工坊加工，贸易规模是本作设计。</x:v>
      </x:c>
      <x:c r="L243" s="15" t="str">
        <x:v>港口发展度达到D1（≥100点）；不要求武装度。</x:v>
      </x:c>
    </x:row>
    <x:row r="244" ht="42" customHeight="1">
      <x:c r="A244" s="13" t="str">
        <x:v>P027</x:v>
      </x:c>
      <x:c r="B244" s="13" t="str">
        <x:v>巴塞罗那</x:v>
      </x:c>
      <x:c r="C244" s="13" t="str">
        <x:v>G050</x:v>
      </x:c>
      <x:c r="D244" s="13" t="str">
        <x:v>茜草染料</x:v>
      </x:c>
      <x:c r="E244" s="27" t="n">
        <x:v>2</x:v>
      </x:c>
      <x:c r="F244" s="27" t="n">
        <x:v>175</x:v>
      </x:c>
      <x:c r="G244" s="27" t="n">
        <x:v>34</x:v>
      </x:c>
      <x:c r="H244" s="27" t="n">
        <x:v>102</x:v>
      </x:c>
      <x:c r="I244" s="52" t="n">
        <x:v>0.8</x:v>
      </x:c>
      <x:c r="J244" s="13" t="str">
        <x:v>本港生产/腹地集散/港内加工</x:v>
      </x:c>
      <x:c r="K244" s="13" t="str">
        <x:v>每7个游戏日补充34货载单位。本地、所属岛链或相连腹地供货；成品由港内工坊加工，贸易规模是本作设计。</x:v>
      </x:c>
      <x:c r="L244" s="13" t="str">
        <x:v>港口发展度达到D2（≥250点）；不要求武装度。</x:v>
      </x:c>
    </x:row>
    <x:row r="245" ht="42" customHeight="1">
      <x:c r="A245" s="15" t="str">
        <x:v>P027</x:v>
      </x:c>
      <x:c r="B245" s="15" t="str">
        <x:v>巴塞罗那</x:v>
      </x:c>
      <x:c r="C245" s="15" t="str">
        <x:v>G045</x:v>
      </x:c>
      <x:c r="D245" s="15" t="str">
        <x:v>毛呢</x:v>
      </x:c>
      <x:c r="E245" s="30" t="n">
        <x:v>3</x:v>
      </x:c>
      <x:c r="F245" s="30" t="n">
        <x:v>260</x:v>
      </x:c>
      <x:c r="G245" s="30" t="n">
        <x:v>63</x:v>
      </x:c>
      <x:c r="H245" s="30" t="n">
        <x:v>189</x:v>
      </x:c>
      <x:c r="I245" s="54" t="n">
        <x:v>0.8</x:v>
      </x:c>
      <x:c r="J245" s="15" t="str">
        <x:v>本港生产/腹地集散/港内加工</x:v>
      </x:c>
      <x:c r="K245" s="15" t="str">
        <x:v>每7个游戏日补充63货载单位。本地、所属岛链或相连腹地供货；成品由港内工坊加工，贸易规模是本作设计。</x:v>
      </x:c>
      <x:c r="L245" s="15" t="str">
        <x:v>港口发展度达到D3（≥450点）；不要求武装度。</x:v>
      </x:c>
    </x:row>
    <x:row r="246" ht="42" customHeight="1">
      <x:c r="A246" s="13" t="str">
        <x:v>P027</x:v>
      </x:c>
      <x:c r="B246" s="13" t="str">
        <x:v>巴塞罗那</x:v>
      </x:c>
      <x:c r="C246" s="13" t="str">
        <x:v>G044</x:v>
      </x:c>
      <x:c r="D246" s="13" t="str">
        <x:v>麻布</x:v>
      </x:c>
      <x:c r="E246" s="27" t="n">
        <x:v>4</x:v>
      </x:c>
      <x:c r="F246" s="27" t="n">
        <x:v>145</x:v>
      </x:c>
      <x:c r="G246" s="27" t="n">
        <x:v>54</x:v>
      </x:c>
      <x:c r="H246" s="27" t="n">
        <x:v>162</x:v>
      </x:c>
      <x:c r="I246" s="52" t="n">
        <x:v>0.87</x:v>
      </x:c>
      <x:c r="J246" s="13" t="str">
        <x:v>本港生产/腹地集散/港内加工</x:v>
      </x:c>
      <x:c r="K246" s="13" t="str">
        <x:v>每7个游戏日补充54货载单位。本地、所属岛链或相连腹地供货；成品由港内工坊加工，贸易规模是本作设计。</x:v>
      </x:c>
      <x:c r="L246" s="13" t="str">
        <x:v>港口发展度达到D4（≥700点）；不要求武装度。</x:v>
      </x:c>
    </x:row>
    <x:row r="247" ht="42" customHeight="1">
      <x:c r="A247" s="15" t="str">
        <x:v>P027</x:v>
      </x:c>
      <x:c r="B247" s="15" t="str">
        <x:v>巴塞罗那</x:v>
      </x:c>
      <x:c r="C247" s="15" t="str">
        <x:v>G071</x:v>
      </x:c>
      <x:c r="D247" s="15" t="str">
        <x:v>玻璃器皿</x:v>
      </x:c>
      <x:c r="E247" s="30" t="n">
        <x:v>5</x:v>
      </x:c>
      <x:c r="F247" s="30" t="n">
        <x:v>310</x:v>
      </x:c>
      <x:c r="G247" s="30" t="n">
        <x:v>20</x:v>
      </x:c>
      <x:c r="H247" s="30" t="n">
        <x:v>60</x:v>
      </x:c>
      <x:c r="I247" s="54" t="n">
        <x:v>0.87</x:v>
      </x:c>
      <x:c r="J247" s="15" t="str">
        <x:v>本港生产/腹地集散/港内加工</x:v>
      </x:c>
      <x:c r="K247" s="15" t="str">
        <x:v>每7个游戏日补充20货载单位。本地、所属岛链或相连腹地供货；成品由港内工坊加工，贸易规模是本作设计。</x:v>
      </x:c>
      <x:c r="L247" s="15" t="str">
        <x:v>港口发展度达到D5（≥1000点）；不要求武装度。</x:v>
      </x:c>
    </x:row>
    <x:row r="248" ht="42" customHeight="1">
      <x:c r="A248" s="13" t="str">
        <x:v>P027</x:v>
      </x:c>
      <x:c r="B248" s="13" t="str">
        <x:v>巴塞罗那</x:v>
      </x:c>
      <x:c r="C248" s="13" t="str">
        <x:v>SP027</x:v>
      </x:c>
      <x:c r="D248" s="13" t="str">
        <x:v>赤拱双面海商呢</x:v>
      </x:c>
      <x:c r="E248" s="27" t="n">
        <x:v>3</x:v>
      </x:c>
      <x:c r="F248" s="27" t="n">
        <x:v>630</x:v>
      </x:c>
      <x:c r="G248" s="27" t="n">
        <x:v>10</x:v>
      </x:c>
      <x:c r="H248" s="27" t="n">
        <x:v>20</x:v>
      </x:c>
      <x:c r="I248" s="52" t="n">
        <x:v>0.78</x:v>
      </x:c>
      <x:c r="J248" s="13" t="str">
        <x:v>港口独占原创工坊特产</x:v>
      </x:c>
      <x:c r="K248" s="13" t="str">
        <x:v>每7个游戏日由「长拱双面织坊」交货10货载；只在本港形成稳定产源。</x:v>
      </x:c>
      <x:c r="L248" s="13" t="str">
        <x:v>港口发展度达到D3（≥450点）时，投资项目「长拱双面织坊」自动完工；不要求武装度。</x:v>
      </x:c>
    </x:row>
    <x:row r="249" ht="42" customHeight="1">
      <x:c r="A249" s="15" t="str">
        <x:v>P028</x:v>
      </x:c>
      <x:c r="B249" s="15" t="str">
        <x:v>阿尔及尔</x:v>
      </x:c>
      <x:c r="C249" s="15" t="str">
        <x:v>G001</x:v>
      </x:c>
      <x:c r="D249" s="15" t="str">
        <x:v>小麦</x:v>
      </x:c>
      <x:c r="E249" s="30" t="n">
        <x:v>0</x:v>
      </x:c>
      <x:c r="F249" s="30" t="n">
        <x:v>45</x:v>
      </x:c>
      <x:c r="G249" s="30" t="n">
        <x:v>214</x:v>
      </x:c>
      <x:c r="H249" s="30" t="n">
        <x:v>642</x:v>
      </x:c>
      <x:c r="I249" s="54" t="n">
        <x:v>0.74</x:v>
      </x:c>
      <x:c r="J249" s="15" t="str">
        <x:v>本港生产/腹地集散/港内加工</x:v>
      </x:c>
      <x:c r="K249" s="15" t="str">
        <x:v>每7个游戏日补充214货载单位。本地、所属岛链或相连腹地供货；成品由港内工坊加工，贸易规模是本作设计。</x:v>
      </x:c>
      <x:c r="L249" s="15" t="str">
        <x:v>港口发展度达到D0（≥0点）；不要求武装度。</x:v>
      </x:c>
    </x:row>
    <x:row r="250" ht="42" customHeight="1">
      <x:c r="A250" s="13" t="str">
        <x:v>P028</x:v>
      </x:c>
      <x:c r="B250" s="13" t="str">
        <x:v>阿尔及尔</x:v>
      </x:c>
      <x:c r="C250" s="13" t="str">
        <x:v>G013</x:v>
      </x:c>
      <x:c r="D250" s="13" t="str">
        <x:v>橄榄油</x:v>
      </x:c>
      <x:c r="E250" s="27" t="n">
        <x:v>0</x:v>
      </x:c>
      <x:c r="F250" s="27" t="n">
        <x:v>120</x:v>
      </x:c>
      <x:c r="G250" s="27" t="n">
        <x:v>167</x:v>
      </x:c>
      <x:c r="H250" s="27" t="n">
        <x:v>501</x:v>
      </x:c>
      <x:c r="I250" s="52" t="n">
        <x:v>0.74</x:v>
      </x:c>
      <x:c r="J250" s="13" t="str">
        <x:v>本港生产/腹地集散/港内加工</x:v>
      </x:c>
      <x:c r="K250" s="13" t="str">
        <x:v>每7个游戏日补充167货载单位。本地、所属岛链或相连腹地供货；成品由港内工坊加工，贸易规模是本作设计。</x:v>
      </x:c>
      <x:c r="L250" s="13" t="str">
        <x:v>港口发展度达到D0（≥0点）；不要求武装度。</x:v>
      </x:c>
    </x:row>
    <x:row r="251" ht="42" customHeight="1">
      <x:c r="A251" s="15" t="str">
        <x:v>P028</x:v>
      </x:c>
      <x:c r="B251" s="15" t="str">
        <x:v>阿尔及尔</x:v>
      </x:c>
      <x:c r="C251" s="15" t="str">
        <x:v>G009</x:v>
      </x:c>
      <x:c r="D251" s="15" t="str">
        <x:v>盐</x:v>
      </x:c>
      <x:c r="E251" s="30" t="n">
        <x:v>1</x:v>
      </x:c>
      <x:c r="F251" s="30" t="n">
        <x:v>28</x:v>
      </x:c>
      <x:c r="G251" s="30" t="n">
        <x:v>158</x:v>
      </x:c>
      <x:c r="H251" s="30" t="n">
        <x:v>474</x:v>
      </x:c>
      <x:c r="I251" s="54" t="n">
        <x:v>0.74</x:v>
      </x:c>
      <x:c r="J251" s="15" t="str">
        <x:v>本港生产/腹地集散/港内加工</x:v>
      </x:c>
      <x:c r="K251" s="15" t="str">
        <x:v>每7个游戏日补充158货载单位。本地、所属岛链或相连腹地供货；成品由港内工坊加工，贸易规模是本作设计。</x:v>
      </x:c>
      <x:c r="L251" s="15" t="str">
        <x:v>港口发展度达到D1（≥100点）；不要求武装度。</x:v>
      </x:c>
    </x:row>
    <x:row r="252" ht="42" customHeight="1">
      <x:c r="A252" s="13" t="str">
        <x:v>P028</x:v>
      </x:c>
      <x:c r="B252" s="13" t="str">
        <x:v>阿尔及尔</x:v>
      </x:c>
      <x:c r="C252" s="13" t="str">
        <x:v>G079</x:v>
      </x:c>
      <x:c r="D252" s="13" t="str">
        <x:v>皮革</x:v>
      </x:c>
      <x:c r="E252" s="27" t="n">
        <x:v>1</x:v>
      </x:c>
      <x:c r="F252" s="27" t="n">
        <x:v>110</x:v>
      </x:c>
      <x:c r="G252" s="27" t="n">
        <x:v>79</x:v>
      </x:c>
      <x:c r="H252" s="27" t="n">
        <x:v>237</x:v>
      </x:c>
      <x:c r="I252" s="52" t="n">
        <x:v>0.74</x:v>
      </x:c>
      <x:c r="J252" s="13" t="str">
        <x:v>本港生产/腹地集散/港内加工</x:v>
      </x:c>
      <x:c r="K252" s="13" t="str">
        <x:v>每7个游戏日补充79货载单位。本地、所属岛链或相连腹地供货；成品由港内工坊加工，贸易规模是本作设计。</x:v>
      </x:c>
      <x:c r="L252" s="13" t="str">
        <x:v>港口发展度达到D1（≥100点）；不要求武装度。</x:v>
      </x:c>
    </x:row>
    <x:row r="253" ht="42" customHeight="1">
      <x:c r="A253" s="15" t="str">
        <x:v>P028</x:v>
      </x:c>
      <x:c r="B253" s="15" t="str">
        <x:v>阿尔及尔</x:v>
      </x:c>
      <x:c r="C253" s="15" t="str">
        <x:v>G093</x:v>
      </x:c>
      <x:c r="D253" s="15" t="str">
        <x:v>干果</x:v>
      </x:c>
      <x:c r="E253" s="30" t="n">
        <x:v>2</x:v>
      </x:c>
      <x:c r="F253" s="30" t="n">
        <x:v>85</x:v>
      </x:c>
      <x:c r="G253" s="30" t="n">
        <x:v>142</x:v>
      </x:c>
      <x:c r="H253" s="30" t="n">
        <x:v>426</x:v>
      </x:c>
      <x:c r="I253" s="54" t="n">
        <x:v>0.8</x:v>
      </x:c>
      <x:c r="J253" s="15" t="str">
        <x:v>本港生产/腹地集散/港内加工</x:v>
      </x:c>
      <x:c r="K253" s="15" t="str">
        <x:v>每7个游戏日补充142货载单位。本地、所属岛链或相连腹地供货；成品由港内工坊加工，贸易规模是本作设计。</x:v>
      </x:c>
      <x:c r="L253" s="15" t="str">
        <x:v>港口发展度达到D2（≥250点）；不要求武装度。</x:v>
      </x:c>
    </x:row>
    <x:row r="254" ht="42" customHeight="1">
      <x:c r="A254" s="13" t="str">
        <x:v>P028</x:v>
      </x:c>
      <x:c r="B254" s="13" t="str">
        <x:v>阿尔及尔</x:v>
      </x:c>
      <x:c r="C254" s="13" t="str">
        <x:v>G050</x:v>
      </x:c>
      <x:c r="D254" s="13" t="str">
        <x:v>茜草染料</x:v>
      </x:c>
      <x:c r="E254" s="27" t="n">
        <x:v>3</x:v>
      </x:c>
      <x:c r="F254" s="27" t="n">
        <x:v>175</x:v>
      </x:c>
      <x:c r="G254" s="27" t="n">
        <x:v>27</x:v>
      </x:c>
      <x:c r="H254" s="27" t="n">
        <x:v>81</x:v>
      </x:c>
      <x:c r="I254" s="52" t="n">
        <x:v>0.8</x:v>
      </x:c>
      <x:c r="J254" s="13" t="str">
        <x:v>本港生产/腹地集散/港内加工</x:v>
      </x:c>
      <x:c r="K254" s="13" t="str">
        <x:v>每7个游戏日补充27货载单位。本地、所属岛链或相连腹地供货；成品由港内工坊加工，贸易规模是本作设计。</x:v>
      </x:c>
      <x:c r="L254" s="13" t="str">
        <x:v>港口发展度达到D3（≥450点）；不要求武装度。</x:v>
      </x:c>
    </x:row>
    <x:row r="255" ht="42" customHeight="1">
      <x:c r="A255" s="15" t="str">
        <x:v>P028</x:v>
      </x:c>
      <x:c r="B255" s="15" t="str">
        <x:v>阿尔及尔</x:v>
      </x:c>
      <x:c r="C255" s="15" t="str">
        <x:v>G075</x:v>
      </x:c>
      <x:c r="D255" s="15" t="str">
        <x:v>珊瑚</x:v>
      </x:c>
      <x:c r="E255" s="30" t="n">
        <x:v>4</x:v>
      </x:c>
      <x:c r="F255" s="30" t="n">
        <x:v>330</x:v>
      </x:c>
      <x:c r="G255" s="30" t="n">
        <x:v>6</x:v>
      </x:c>
      <x:c r="H255" s="30" t="n">
        <x:v>18</x:v>
      </x:c>
      <x:c r="I255" s="54" t="n">
        <x:v>0.87</x:v>
      </x:c>
      <x:c r="J255" s="15" t="str">
        <x:v>本港生产/腹地集散/港内加工</x:v>
      </x:c>
      <x:c r="K255" s="15" t="str">
        <x:v>每7个游戏日补充6货载单位。本地、所属岛链或相连腹地供货；成品由港内工坊加工，贸易规模是本作设计。</x:v>
      </x:c>
      <x:c r="L255" s="15" t="str">
        <x:v>港口发展度达到D4（≥700点）；不要求武装度。</x:v>
      </x:c>
    </x:row>
    <x:row r="256" ht="42" customHeight="1">
      <x:c r="A256" s="13" t="str">
        <x:v>P028</x:v>
      </x:c>
      <x:c r="B256" s="13" t="str">
        <x:v>阿尔及尔</x:v>
      </x:c>
      <x:c r="C256" s="13" t="str">
        <x:v>G087</x:v>
      </x:c>
      <x:c r="D256" s="13" t="str">
        <x:v>香水</x:v>
      </x:c>
      <x:c r="E256" s="27" t="n">
        <x:v>5</x:v>
      </x:c>
      <x:c r="F256" s="27" t="n">
        <x:v>570</x:v>
      </x:c>
      <x:c r="G256" s="27" t="n">
        <x:v>11</x:v>
      </x:c>
      <x:c r="H256" s="27" t="n">
        <x:v>33</x:v>
      </x:c>
      <x:c r="I256" s="52" t="n">
        <x:v>0.87</x:v>
      </x:c>
      <x:c r="J256" s="13" t="str">
        <x:v>本港生产/腹地集散/港内加工</x:v>
      </x:c>
      <x:c r="K256" s="13" t="str">
        <x:v>每7个游戏日补充11货载单位。本地、所属岛链或相连腹地供货；成品由港内工坊加工，贸易规模是本作设计。</x:v>
      </x:c>
      <x:c r="L256" s="13" t="str">
        <x:v>港口发展度达到D5（≥1000点）；不要求武装度。</x:v>
      </x:c>
    </x:row>
    <x:row r="257" ht="42" customHeight="1">
      <x:c r="A257" s="15" t="str">
        <x:v>P028</x:v>
      </x:c>
      <x:c r="B257" s="15" t="str">
        <x:v>阿尔及尔</x:v>
      </x:c>
      <x:c r="C257" s="15" t="str">
        <x:v>SP028</x:v>
      </x:c>
      <x:c r="D257" s="15" t="str">
        <x:v>白城嵌银海靴</x:v>
      </x:c>
      <x:c r="E257" s="30" t="n">
        <x:v>3</x:v>
      </x:c>
      <x:c r="F257" s="30" t="n">
        <x:v>720</x:v>
      </x:c>
      <x:c r="G257" s="30" t="n">
        <x:v>10</x:v>
      </x:c>
      <x:c r="H257" s="30" t="n">
        <x:v>20</x:v>
      </x:c>
      <x:c r="I257" s="54" t="n">
        <x:v>0.78</x:v>
      </x:c>
      <x:c r="J257" s="15" t="str">
        <x:v>港口独占原创工坊特产</x:v>
      </x:c>
      <x:c r="K257" s="15" t="str">
        <x:v>每7个游戏日由「露台皮革工坊」交货10货载；只在本港形成稳定产源。</x:v>
      </x:c>
      <x:c r="L257" s="15" t="str">
        <x:v>港口发展度达到D3（≥450点）时，投资项目「露台皮革工坊」自动完工；不要求武装度。</x:v>
      </x:c>
    </x:row>
    <x:row r="258" ht="42" customHeight="1">
      <x:c r="A258" s="13" t="str">
        <x:v>P029</x:v>
      </x:c>
      <x:c r="B258" s="13" t="str">
        <x:v>突尼斯</x:v>
      </x:c>
      <x:c r="C258" s="13" t="str">
        <x:v>G013</x:v>
      </x:c>
      <x:c r="D258" s="13" t="str">
        <x:v>橄榄油</x:v>
      </x:c>
      <x:c r="E258" s="27" t="n">
        <x:v>0</x:v>
      </x:c>
      <x:c r="F258" s="27" t="n">
        <x:v>120</x:v>
      </x:c>
      <x:c r="G258" s="27" t="n">
        <x:v>167</x:v>
      </x:c>
      <x:c r="H258" s="27" t="n">
        <x:v>501</x:v>
      </x:c>
      <x:c r="I258" s="52" t="n">
        <x:v>0.74</x:v>
      </x:c>
      <x:c r="J258" s="13" t="str">
        <x:v>本港生产/腹地集散/港内加工</x:v>
      </x:c>
      <x:c r="K258" s="13" t="str">
        <x:v>每7个游戏日补充167货载单位。本地、所属岛链或相连腹地供货；成品由港内工坊加工，贸易规模是本作设计。</x:v>
      </x:c>
      <x:c r="L258" s="13" t="str">
        <x:v>港口发展度达到D0（≥0点）；不要求武装度。</x:v>
      </x:c>
    </x:row>
    <x:row r="259" ht="42" customHeight="1">
      <x:c r="A259" s="15" t="str">
        <x:v>P029</x:v>
      </x:c>
      <x:c r="B259" s="15" t="str">
        <x:v>突尼斯</x:v>
      </x:c>
      <x:c r="C259" s="15" t="str">
        <x:v>G001</x:v>
      </x:c>
      <x:c r="D259" s="15" t="str">
        <x:v>小麦</x:v>
      </x:c>
      <x:c r="E259" s="30" t="n">
        <x:v>0</x:v>
      </x:c>
      <x:c r="F259" s="30" t="n">
        <x:v>45</x:v>
      </x:c>
      <x:c r="G259" s="30" t="n">
        <x:v>214</x:v>
      </x:c>
      <x:c r="H259" s="30" t="n">
        <x:v>642</x:v>
      </x:c>
      <x:c r="I259" s="54" t="n">
        <x:v>0.74</x:v>
      </x:c>
      <x:c r="J259" s="15" t="str">
        <x:v>本港生产/腹地集散/港内加工</x:v>
      </x:c>
      <x:c r="K259" s="15" t="str">
        <x:v>每7个游戏日补充214货载单位。本地、所属岛链或相连腹地供货；成品由港内工坊加工，贸易规模是本作设计。</x:v>
      </x:c>
      <x:c r="L259" s="15" t="str">
        <x:v>港口发展度达到D0（≥0点）；不要求武装度。</x:v>
      </x:c>
    </x:row>
    <x:row r="260" ht="42" customHeight="1">
      <x:c r="A260" s="13" t="str">
        <x:v>P029</x:v>
      </x:c>
      <x:c r="B260" s="13" t="str">
        <x:v>突尼斯</x:v>
      </x:c>
      <x:c r="C260" s="13" t="str">
        <x:v>G009</x:v>
      </x:c>
      <x:c r="D260" s="13" t="str">
        <x:v>盐</x:v>
      </x:c>
      <x:c r="E260" s="27" t="n">
        <x:v>1</x:v>
      </x:c>
      <x:c r="F260" s="27" t="n">
        <x:v>28</x:v>
      </x:c>
      <x:c r="G260" s="27" t="n">
        <x:v>158</x:v>
      </x:c>
      <x:c r="H260" s="27" t="n">
        <x:v>474</x:v>
      </x:c>
      <x:c r="I260" s="52" t="n">
        <x:v>0.74</x:v>
      </x:c>
      <x:c r="J260" s="13" t="str">
        <x:v>本港生产/腹地集散/港内加工</x:v>
      </x:c>
      <x:c r="K260" s="13" t="str">
        <x:v>每7个游戏日补充158货载单位。本地、所属岛链或相连腹地供货；成品由港内工坊加工，贸易规模是本作设计。</x:v>
      </x:c>
      <x:c r="L260" s="13" t="str">
        <x:v>港口发展度达到D1（≥100点）；不要求武装度。</x:v>
      </x:c>
    </x:row>
    <x:row r="261" ht="42" customHeight="1">
      <x:c r="A261" s="15" t="str">
        <x:v>P029</x:v>
      </x:c>
      <x:c r="B261" s="15" t="str">
        <x:v>突尼斯</x:v>
      </x:c>
      <x:c r="C261" s="15" t="str">
        <x:v>G039</x:v>
      </x:c>
      <x:c r="D261" s="15" t="str">
        <x:v>羊毛</x:v>
      </x:c>
      <x:c r="E261" s="30" t="n">
        <x:v>1</x:v>
      </x:c>
      <x:c r="F261" s="30" t="n">
        <x:v>100</x:v>
      </x:c>
      <x:c r="G261" s="30" t="n">
        <x:v>136</x:v>
      </x:c>
      <x:c r="H261" s="30" t="n">
        <x:v>408</x:v>
      </x:c>
      <x:c r="I261" s="54" t="n">
        <x:v>0.74</x:v>
      </x:c>
      <x:c r="J261" s="15" t="str">
        <x:v>本港生产/腹地集散/港内加工</x:v>
      </x:c>
      <x:c r="K261" s="15" t="str">
        <x:v>每7个游戏日补充136货载单位。本地、所属岛链或相连腹地供货；成品由港内工坊加工，贸易规模是本作设计。</x:v>
      </x:c>
      <x:c r="L261" s="15" t="str">
        <x:v>港口发展度达到D1（≥100点）；不要求武装度。</x:v>
      </x:c>
    </x:row>
    <x:row r="262" ht="42" customHeight="1">
      <x:c r="A262" s="13" t="str">
        <x:v>P029</x:v>
      </x:c>
      <x:c r="B262" s="13" t="str">
        <x:v>突尼斯</x:v>
      </x:c>
      <x:c r="C262" s="13" t="str">
        <x:v>G050</x:v>
      </x:c>
      <x:c r="D262" s="13" t="str">
        <x:v>茜草染料</x:v>
      </x:c>
      <x:c r="E262" s="27" t="n">
        <x:v>2</x:v>
      </x:c>
      <x:c r="F262" s="27" t="n">
        <x:v>175</x:v>
      </x:c>
      <x:c r="G262" s="27" t="n">
        <x:v>32</x:v>
      </x:c>
      <x:c r="H262" s="27" t="n">
        <x:v>96</x:v>
      </x:c>
      <x:c r="I262" s="52" t="n">
        <x:v>0.8</x:v>
      </x:c>
      <x:c r="J262" s="13" t="str">
        <x:v>本港生产/腹地集散/港内加工</x:v>
      </x:c>
      <x:c r="K262" s="13" t="str">
        <x:v>每7个游戏日补充32货载单位。本地、所属岛链或相连腹地供货；成品由港内工坊加工，贸易规模是本作设计。</x:v>
      </x:c>
      <x:c r="L262" s="13" t="str">
        <x:v>港口发展度达到D2（≥250点）；不要求武装度。</x:v>
      </x:c>
    </x:row>
    <x:row r="263" ht="42" customHeight="1">
      <x:c r="A263" s="15" t="str">
        <x:v>P029</x:v>
      </x:c>
      <x:c r="B263" s="15" t="str">
        <x:v>突尼斯</x:v>
      </x:c>
      <x:c r="C263" s="15" t="str">
        <x:v>G079</x:v>
      </x:c>
      <x:c r="D263" s="15" t="str">
        <x:v>皮革</x:v>
      </x:c>
      <x:c r="E263" s="30" t="n">
        <x:v>3</x:v>
      </x:c>
      <x:c r="F263" s="30" t="n">
        <x:v>110</x:v>
      </x:c>
      <x:c r="G263" s="30" t="n">
        <x:v>60</x:v>
      </x:c>
      <x:c r="H263" s="30" t="n">
        <x:v>180</x:v>
      </x:c>
      <x:c r="I263" s="54" t="n">
        <x:v>0.8</x:v>
      </x:c>
      <x:c r="J263" s="15" t="str">
        <x:v>本港生产/腹地集散/港内加工</x:v>
      </x:c>
      <x:c r="K263" s="15" t="str">
        <x:v>每7个游戏日补充60货载单位。本地、所属岛链或相连腹地供货；成品由港内工坊加工，贸易规模是本作设计。</x:v>
      </x:c>
      <x:c r="L263" s="15" t="str">
        <x:v>港口发展度达到D3（≥450点）；不要求武装度。</x:v>
      </x:c>
    </x:row>
    <x:row r="264" ht="42" customHeight="1">
      <x:c r="A264" s="13" t="str">
        <x:v>P029</x:v>
      </x:c>
      <x:c r="B264" s="13" t="str">
        <x:v>突尼斯</x:v>
      </x:c>
      <x:c r="C264" s="13" t="str">
        <x:v>G069</x:v>
      </x:c>
      <x:c r="D264" s="13" t="str">
        <x:v>粗陶器</x:v>
      </x:c>
      <x:c r="E264" s="27" t="n">
        <x:v>4</x:v>
      </x:c>
      <x:c r="F264" s="27" t="n">
        <x:v>90</x:v>
      </x:c>
      <x:c r="G264" s="27" t="n">
        <x:v>22</x:v>
      </x:c>
      <x:c r="H264" s="27" t="n">
        <x:v>66</x:v>
      </x:c>
      <x:c r="I264" s="52" t="n">
        <x:v>0.87</x:v>
      </x:c>
      <x:c r="J264" s="13" t="str">
        <x:v>本港生产/腹地集散/港内加工</x:v>
      </x:c>
      <x:c r="K264" s="13" t="str">
        <x:v>每7个游戏日补充22货载单位。本地、所属岛链或相连腹地供货；成品由港内工坊加工，贸易规模是本作设计。</x:v>
      </x:c>
      <x:c r="L264" s="13" t="str">
        <x:v>港口发展度达到D4（≥700点）；不要求武装度。</x:v>
      </x:c>
    </x:row>
    <x:row r="265" ht="42" customHeight="1">
      <x:c r="A265" s="15" t="str">
        <x:v>P029</x:v>
      </x:c>
      <x:c r="B265" s="15" t="str">
        <x:v>突尼斯</x:v>
      </x:c>
      <x:c r="C265" s="15" t="str">
        <x:v>G048</x:v>
      </x:c>
      <x:c r="D265" s="15" t="str">
        <x:v>天鹅绒</x:v>
      </x:c>
      <x:c r="E265" s="30" t="n">
        <x:v>5</x:v>
      </x:c>
      <x:c r="F265" s="30" t="n">
        <x:v>720</x:v>
      </x:c>
      <x:c r="G265" s="30" t="n">
        <x:v>43</x:v>
      </x:c>
      <x:c r="H265" s="30" t="n">
        <x:v>129</x:v>
      </x:c>
      <x:c r="I265" s="54" t="n">
        <x:v>0.87</x:v>
      </x:c>
      <x:c r="J265" s="15" t="str">
        <x:v>本港生产/腹地集散/港内加工</x:v>
      </x:c>
      <x:c r="K265" s="15" t="str">
        <x:v>每7个游戏日补充43货载单位。本地、所属岛链或相连腹地供货；成品由港内工坊加工，贸易规模是本作设计。</x:v>
      </x:c>
      <x:c r="L265" s="15" t="str">
        <x:v>港口发展度达到D5（≥1000点）；不要求武装度。</x:v>
      </x:c>
    </x:row>
    <x:row r="266" ht="42" customHeight="1">
      <x:c r="A266" s="13" t="str">
        <x:v>P029</x:v>
      </x:c>
      <x:c r="B266" s="13" t="str">
        <x:v>突尼斯</x:v>
      </x:c>
      <x:c r="C266" s="13" t="str">
        <x:v>SP029</x:v>
      </x:c>
      <x:c r="D266" s="13" t="str">
        <x:v>潟湖石榴红织毯</x:v>
      </x:c>
      <x:c r="E266" s="27" t="n">
        <x:v>3</x:v>
      </x:c>
      <x:c r="F266" s="27" t="n">
        <x:v>850</x:v>
      </x:c>
      <x:c r="G266" s="27" t="n">
        <x:v>10</x:v>
      </x:c>
      <x:c r="H266" s="27" t="n">
        <x:v>20</x:v>
      </x:c>
      <x:c r="I266" s="52" t="n">
        <x:v>0.78</x:v>
      </x:c>
      <x:c r="J266" s="13" t="str">
        <x:v>港口独占原创工坊特产</x:v>
      </x:c>
      <x:c r="K266" s="13" t="str">
        <x:v>每7个游戏日由「潟湖染毯行会」交货10货载；只在本港形成稳定产源。</x:v>
      </x:c>
      <x:c r="L266" s="13" t="str">
        <x:v>港口发展度达到D3（≥450点）时，投资项目「潟湖染毯行会」自动完工；不要求武装度。</x:v>
      </x:c>
    </x:row>
    <x:row r="267" ht="42" customHeight="1">
      <x:c r="A267" s="15" t="str">
        <x:v>P030</x:v>
      </x:c>
      <x:c r="B267" s="15" t="str">
        <x:v>亚历山大</x:v>
      </x:c>
      <x:c r="C267" s="15" t="str">
        <x:v>G001</x:v>
      </x:c>
      <x:c r="D267" s="15" t="str">
        <x:v>小麦</x:v>
      </x:c>
      <x:c r="E267" s="30" t="n">
        <x:v>0</x:v>
      </x:c>
      <x:c r="F267" s="30" t="n">
        <x:v>45</x:v>
      </x:c>
      <x:c r="G267" s="30" t="n">
        <x:v>239</x:v>
      </x:c>
      <x:c r="H267" s="30" t="n">
        <x:v>717</x:v>
      </x:c>
      <x:c r="I267" s="54" t="n">
        <x:v>0.74</x:v>
      </x:c>
      <x:c r="J267" s="15" t="str">
        <x:v>本港生产/腹地集散/港内加工</x:v>
      </x:c>
      <x:c r="K267" s="15" t="str">
        <x:v>每7个游戏日补充239货载单位。本地、所属岛链或相连腹地供货；成品由港内工坊加工，贸易规模是本作设计。</x:v>
      </x:c>
      <x:c r="L267" s="15" t="str">
        <x:v>港口发展度达到D0（≥0点）；不要求武装度。</x:v>
      </x:c>
    </x:row>
    <x:row r="268" ht="42" customHeight="1">
      <x:c r="A268" s="13" t="str">
        <x:v>P030</x:v>
      </x:c>
      <x:c r="B268" s="13" t="str">
        <x:v>亚历山大</x:v>
      </x:c>
      <x:c r="C268" s="13" t="str">
        <x:v>G040</x:v>
      </x:c>
      <x:c r="D268" s="13" t="str">
        <x:v>亚麻</x:v>
      </x:c>
      <x:c r="E268" s="27" t="n">
        <x:v>0</x:v>
      </x:c>
      <x:c r="F268" s="27" t="n">
        <x:v>85</x:v>
      </x:c>
      <x:c r="G268" s="27" t="n">
        <x:v>160</x:v>
      </x:c>
      <x:c r="H268" s="27" t="n">
        <x:v>480</x:v>
      </x:c>
      <x:c r="I268" s="52" t="n">
        <x:v>0.74</x:v>
      </x:c>
      <x:c r="J268" s="13" t="str">
        <x:v>本港生产/腹地集散/港内加工</x:v>
      </x:c>
      <x:c r="K268" s="13" t="str">
        <x:v>每7个游戏日补充160货载单位。本地、所属岛链或相连腹地供货；成品由港内工坊加工，贸易规模是本作设计。</x:v>
      </x:c>
      <x:c r="L268" s="13" t="str">
        <x:v>港口发展度达到D0（≥0点）；不要求武装度。</x:v>
      </x:c>
    </x:row>
    <x:row r="269" ht="42" customHeight="1">
      <x:c r="A269" s="15" t="str">
        <x:v>P030</x:v>
      </x:c>
      <x:c r="B269" s="15" t="str">
        <x:v>亚历山大</x:v>
      </x:c>
      <x:c r="C269" s="15" t="str">
        <x:v>G009</x:v>
      </x:c>
      <x:c r="D269" s="15" t="str">
        <x:v>盐</x:v>
      </x:c>
      <x:c r="E269" s="30" t="n">
        <x:v>1</x:v>
      </x:c>
      <x:c r="F269" s="30" t="n">
        <x:v>28</x:v>
      </x:c>
      <x:c r="G269" s="30" t="n">
        <x:v>177</x:v>
      </x:c>
      <x:c r="H269" s="30" t="n">
        <x:v>531</x:v>
      </x:c>
      <x:c r="I269" s="54" t="n">
        <x:v>0.74</x:v>
      </x:c>
      <x:c r="J269" s="15" t="str">
        <x:v>本港生产/腹地集散/港内加工</x:v>
      </x:c>
      <x:c r="K269" s="15" t="str">
        <x:v>每7个游戏日补充177货载单位。本地、所属岛链或相连腹地供货；成品由港内工坊加工，贸易规模是本作设计。</x:v>
      </x:c>
      <x:c r="L269" s="15" t="str">
        <x:v>港口发展度达到D1（≥100点）；不要求武装度。</x:v>
      </x:c>
    </x:row>
    <x:row r="270" ht="42" customHeight="1">
      <x:c r="A270" s="13" t="str">
        <x:v>P030</x:v>
      </x:c>
      <x:c r="B270" s="13" t="str">
        <x:v>亚历山大</x:v>
      </x:c>
      <x:c r="C270" s="13" t="str">
        <x:v>G069</x:v>
      </x:c>
      <x:c r="D270" s="13" t="str">
        <x:v>粗陶器</x:v>
      </x:c>
      <x:c r="E270" s="27" t="n">
        <x:v>1</x:v>
      </x:c>
      <x:c r="F270" s="27" t="n">
        <x:v>90</x:v>
      </x:c>
      <x:c r="G270" s="27" t="n">
        <x:v>38</x:v>
      </x:c>
      <x:c r="H270" s="27" t="n">
        <x:v>114</x:v>
      </x:c>
      <x:c r="I270" s="52" t="n">
        <x:v>0.74</x:v>
      </x:c>
      <x:c r="J270" s="13" t="str">
        <x:v>本港生产/腹地集散/港内加工</x:v>
      </x:c>
      <x:c r="K270" s="13" t="str">
        <x:v>每7个游戏日补充38货载单位。本地、所属岛链或相连腹地供货；成品由港内工坊加工，贸易规模是本作设计。</x:v>
      </x:c>
      <x:c r="L270" s="13" t="str">
        <x:v>港口发展度达到D1（≥100点）；不要求武装度。</x:v>
      </x:c>
    </x:row>
    <x:row r="271" ht="42" customHeight="1">
      <x:c r="A271" s="15" t="str">
        <x:v>P030</x:v>
      </x:c>
      <x:c r="B271" s="15" t="str">
        <x:v>亚历山大</x:v>
      </x:c>
      <x:c r="C271" s="15" t="str">
        <x:v>G043</x:v>
      </x:c>
      <x:c r="D271" s="15" t="str">
        <x:v>棉布</x:v>
      </x:c>
      <x:c r="E271" s="30" t="n">
        <x:v>2</x:v>
      </x:c>
      <x:c r="F271" s="30" t="n">
        <x:v>160</x:v>
      </x:c>
      <x:c r="G271" s="30" t="n">
        <x:v>79</x:v>
      </x:c>
      <x:c r="H271" s="30" t="n">
        <x:v>237</x:v>
      </x:c>
      <x:c r="I271" s="54" t="n">
        <x:v>0.8</x:v>
      </x:c>
      <x:c r="J271" s="15" t="str">
        <x:v>本港生产/腹地集散/港内加工</x:v>
      </x:c>
      <x:c r="K271" s="15" t="str">
        <x:v>每7个游戏日补充79货载单位。本地、所属岛链或相连腹地供货；成品由港内工坊加工，贸易规模是本作设计。</x:v>
      </x:c>
      <x:c r="L271" s="15" t="str">
        <x:v>港口发展度达到D2（≥250点）；不要求武装度。</x:v>
      </x:c>
    </x:row>
    <x:row r="272" ht="42" customHeight="1">
      <x:c r="A272" s="13" t="str">
        <x:v>P030</x:v>
      </x:c>
      <x:c r="B272" s="13" t="str">
        <x:v>亚历山大</x:v>
      </x:c>
      <x:c r="C272" s="13" t="str">
        <x:v>G084</x:v>
      </x:c>
      <x:c r="D272" s="13" t="str">
        <x:v>乳香</x:v>
      </x:c>
      <x:c r="E272" s="27" t="n">
        <x:v>3</x:v>
      </x:c>
      <x:c r="F272" s="27" t="n">
        <x:v>340</x:v>
      </x:c>
      <x:c r="G272" s="27" t="n">
        <x:v>9</x:v>
      </x:c>
      <x:c r="H272" s="27" t="n">
        <x:v>27</x:v>
      </x:c>
      <x:c r="I272" s="52" t="n">
        <x:v>1.14</x:v>
      </x:c>
      <x:c r="J272" s="13" t="str">
        <x:v>进口/区域转口</x:v>
      </x:c>
      <x:c r="K272" s="13" t="str">
        <x:v>每7个游戏日补充9货载单位。由区域商队或NPC货船带入；为港口转售供货，不改变商品的原产地区。</x:v>
      </x:c>
      <x:c r="L272" s="13" t="str">
        <x:v>港口发展度达到D3（≥450点）；不要求武装度。</x:v>
      </x:c>
    </x:row>
    <x:row r="273" ht="42" customHeight="1">
      <x:c r="A273" s="15" t="str">
        <x:v>P030</x:v>
      </x:c>
      <x:c r="B273" s="15" t="str">
        <x:v>亚历山大</x:v>
      </x:c>
      <x:c r="C273" s="15" t="str">
        <x:v>G071</x:v>
      </x:c>
      <x:c r="D273" s="15" t="str">
        <x:v>玻璃器皿</x:v>
      </x:c>
      <x:c r="E273" s="30" t="n">
        <x:v>4</x:v>
      </x:c>
      <x:c r="F273" s="30" t="n">
        <x:v>310</x:v>
      </x:c>
      <x:c r="G273" s="30" t="n">
        <x:v>25</x:v>
      </x:c>
      <x:c r="H273" s="30" t="n">
        <x:v>75</x:v>
      </x:c>
      <x:c r="I273" s="54" t="n">
        <x:v>0.87</x:v>
      </x:c>
      <x:c r="J273" s="15" t="str">
        <x:v>本港生产/腹地集散/港内加工</x:v>
      </x:c>
      <x:c r="K273" s="15" t="str">
        <x:v>每7个游戏日补充25货载单位。本地、所属岛链或相连腹地供货；成品由港内工坊加工，贸易规模是本作设计。</x:v>
      </x:c>
      <x:c r="L273" s="15" t="str">
        <x:v>港口发展度达到D4（≥700点）；不要求武装度。</x:v>
      </x:c>
    </x:row>
    <x:row r="274" ht="42" customHeight="1">
      <x:c r="A274" s="13" t="str">
        <x:v>P030</x:v>
      </x:c>
      <x:c r="B274" s="13" t="str">
        <x:v>亚历山大</x:v>
      </x:c>
      <x:c r="C274" s="13" t="str">
        <x:v>G098</x:v>
      </x:c>
      <x:c r="D274" s="13" t="str">
        <x:v>书籍</x:v>
      </x:c>
      <x:c r="E274" s="27" t="n">
        <x:v>5</x:v>
      </x:c>
      <x:c r="F274" s="27" t="n">
        <x:v>280</x:v>
      </x:c>
      <x:c r="G274" s="27" t="n">
        <x:v>8</x:v>
      </x:c>
      <x:c r="H274" s="27" t="n">
        <x:v>24</x:v>
      </x:c>
      <x:c r="I274" s="52" t="n">
        <x:v>0.87</x:v>
      </x:c>
      <x:c r="J274" s="13" t="str">
        <x:v>本港生产/腹地集散/港内加工</x:v>
      </x:c>
      <x:c r="K274" s="13" t="str">
        <x:v>每7个游戏日补充8货载单位。本地、所属岛链或相连腹地供货；成品由港内工坊加工，贸易规模是本作设计。</x:v>
      </x:c>
      <x:c r="L274" s="13" t="str">
        <x:v>港口发展度达到D5（≥1000点）；不要求武装度。</x:v>
      </x:c>
    </x:row>
    <x:row r="275" ht="42" customHeight="1">
      <x:c r="A275" s="15" t="str">
        <x:v>P030</x:v>
      </x:c>
      <x:c r="B275" s="15" t="str">
        <x:v>亚历山大</x:v>
      </x:c>
      <x:c r="C275" s="15" t="str">
        <x:v>SP030</x:v>
      </x:c>
      <x:c r="D275" s="15" t="str">
        <x:v>星沙彩绘航路册</x:v>
      </x:c>
      <x:c r="E275" s="30" t="n">
        <x:v>4</x:v>
      </x:c>
      <x:c r="F275" s="30" t="n">
        <x:v>980</x:v>
      </x:c>
      <x:c r="G275" s="30" t="n">
        <x:v>8</x:v>
      </x:c>
      <x:c r="H275" s="30" t="n">
        <x:v>16</x:v>
      </x:c>
      <x:c r="I275" s="54" t="n">
        <x:v>0.78</x:v>
      </x:c>
      <x:c r="J275" s="15" t="str">
        <x:v>港口独占原创工坊特产</x:v>
      </x:c>
      <x:c r="K275" s="15" t="str">
        <x:v>每7个游戏日由「港湾抄绘与装帧院」交货8货载；只在本港形成稳定产源。</x:v>
      </x:c>
      <x:c r="L275" s="15" t="str">
        <x:v>港口发展度达到D4（≥700点）时，投资项目「港湾抄绘与装帧院」自动完工；不要求武装度。</x:v>
      </x:c>
    </x:row>
    <x:row r="276" ht="42" customHeight="1">
      <x:c r="A276" s="13" t="str">
        <x:v>P031</x:v>
      </x:c>
      <x:c r="B276" s="13" t="str">
        <x:v>坎迪亚</x:v>
      </x:c>
      <x:c r="C276" s="13" t="str">
        <x:v>G023</x:v>
      </x:c>
      <x:c r="D276" s="13" t="str">
        <x:v>葡萄酒</x:v>
      </x:c>
      <x:c r="E276" s="27" t="n">
        <x:v>0</x:v>
      </x:c>
      <x:c r="F276" s="27" t="n">
        <x:v>115</x:v>
      </x:c>
      <x:c r="G276" s="27" t="n">
        <x:v>73</x:v>
      </x:c>
      <x:c r="H276" s="27" t="n">
        <x:v>219</x:v>
      </x:c>
      <x:c r="I276" s="52" t="n">
        <x:v>0.74</x:v>
      </x:c>
      <x:c r="J276" s="13" t="str">
        <x:v>本港生产/腹地集散/港内加工</x:v>
      </x:c>
      <x:c r="K276" s="13" t="str">
        <x:v>每7个游戏日补充73货载单位。本地、所属岛链或相连腹地供货；成品由港内工坊加工，贸易规模是本作设计。</x:v>
      </x:c>
      <x:c r="L276" s="13" t="str">
        <x:v>港口发展度达到D0（≥0点）；不要求武装度。</x:v>
      </x:c>
    </x:row>
    <x:row r="277" ht="42" customHeight="1">
      <x:c r="A277" s="15" t="str">
        <x:v>P031</x:v>
      </x:c>
      <x:c r="B277" s="15" t="str">
        <x:v>坎迪亚</x:v>
      </x:c>
      <x:c r="C277" s="15" t="str">
        <x:v>G013</x:v>
      </x:c>
      <x:c r="D277" s="15" t="str">
        <x:v>橄榄油</x:v>
      </x:c>
      <x:c r="E277" s="30" t="n">
        <x:v>0</x:v>
      </x:c>
      <x:c r="F277" s="30" t="n">
        <x:v>120</x:v>
      </x:c>
      <x:c r="G277" s="30" t="n">
        <x:v>141</x:v>
      </x:c>
      <x:c r="H277" s="30" t="n">
        <x:v>423</x:v>
      </x:c>
      <x:c r="I277" s="54" t="n">
        <x:v>0.74</x:v>
      </x:c>
      <x:c r="J277" s="15" t="str">
        <x:v>本港生产/腹地集散/港内加工</x:v>
      </x:c>
      <x:c r="K277" s="15" t="str">
        <x:v>每7个游戏日补充141货载单位。本地、所属岛链或相连腹地供货；成品由港内工坊加工，贸易规模是本作设计。</x:v>
      </x:c>
      <x:c r="L277" s="15" t="str">
        <x:v>港口发展度达到D0（≥0点）；不要求武装度。</x:v>
      </x:c>
    </x:row>
    <x:row r="278" ht="42" customHeight="1">
      <x:c r="A278" s="13" t="str">
        <x:v>P031</x:v>
      </x:c>
      <x:c r="B278" s="13" t="str">
        <x:v>坎迪亚</x:v>
      </x:c>
      <x:c r="C278" s="13" t="str">
        <x:v>G009</x:v>
      </x:c>
      <x:c r="D278" s="13" t="str">
        <x:v>盐</x:v>
      </x:c>
      <x:c r="E278" s="27" t="n">
        <x:v>1</x:v>
      </x:c>
      <x:c r="F278" s="27" t="n">
        <x:v>28</x:v>
      </x:c>
      <x:c r="G278" s="27" t="n">
        <x:v>134</x:v>
      </x:c>
      <x:c r="H278" s="27" t="n">
        <x:v>402</x:v>
      </x:c>
      <x:c r="I278" s="52" t="n">
        <x:v>0.74</x:v>
      </x:c>
      <x:c r="J278" s="13" t="str">
        <x:v>本港生产/腹地集散/港内加工</x:v>
      </x:c>
      <x:c r="K278" s="13" t="str">
        <x:v>每7个游戏日补充134货载单位。本地、所属岛链或相连腹地供货；成品由港内工坊加工，贸易规模是本作设计。</x:v>
      </x:c>
      <x:c r="L278" s="13" t="str">
        <x:v>港口发展度达到D1（≥100点）；不要求武装度。</x:v>
      </x:c>
    </x:row>
    <x:row r="279" ht="42" customHeight="1">
      <x:c r="A279" s="15" t="str">
        <x:v>P031</x:v>
      </x:c>
      <x:c r="B279" s="15" t="str">
        <x:v>坎迪亚</x:v>
      </x:c>
      <x:c r="C279" s="15" t="str">
        <x:v>G093</x:v>
      </x:c>
      <x:c r="D279" s="15" t="str">
        <x:v>干果</x:v>
      </x:c>
      <x:c r="E279" s="30" t="n">
        <x:v>1</x:v>
      </x:c>
      <x:c r="F279" s="30" t="n">
        <x:v>85</x:v>
      </x:c>
      <x:c r="G279" s="30" t="n">
        <x:v>134</x:v>
      </x:c>
      <x:c r="H279" s="30" t="n">
        <x:v>402</x:v>
      </x:c>
      <x:c r="I279" s="54" t="n">
        <x:v>0.74</x:v>
      </x:c>
      <x:c r="J279" s="15" t="str">
        <x:v>本港生产/腹地集散/港内加工</x:v>
      </x:c>
      <x:c r="K279" s="15" t="str">
        <x:v>每7个游戏日补充134货载单位。本地、所属岛链或相连腹地供货；成品由港内工坊加工，贸易规模是本作设计。</x:v>
      </x:c>
      <x:c r="L279" s="15" t="str">
        <x:v>港口发展度达到D1（≥100点）；不要求武装度。</x:v>
      </x:c>
    </x:row>
    <x:row r="280" ht="42" customHeight="1">
      <x:c r="A280" s="13" t="str">
        <x:v>P031</x:v>
      </x:c>
      <x:c r="B280" s="13" t="str">
        <x:v>坎迪亚</x:v>
      </x:c>
      <x:c r="C280" s="13" t="str">
        <x:v>G010</x:v>
      </x:c>
      <x:c r="D280" s="13" t="str">
        <x:v>蜂蜜</x:v>
      </x:c>
      <x:c r="E280" s="27" t="n">
        <x:v>2</x:v>
      </x:c>
      <x:c r="F280" s="27" t="n">
        <x:v>95</x:v>
      </x:c>
      <x:c r="G280" s="27" t="n">
        <x:v>120</x:v>
      </x:c>
      <x:c r="H280" s="27" t="n">
        <x:v>360</x:v>
      </x:c>
      <x:c r="I280" s="52" t="n">
        <x:v>0.8</x:v>
      </x:c>
      <x:c r="J280" s="13" t="str">
        <x:v>本港生产/腹地集散/港内加工</x:v>
      </x:c>
      <x:c r="K280" s="13" t="str">
        <x:v>每7个游戏日补充120货载单位。本地、所属岛链或相连腹地供货；成品由港内工坊加工，贸易规模是本作设计。</x:v>
      </x:c>
      <x:c r="L280" s="13" t="str">
        <x:v>港口发展度达到D2（≥250点）；不要求武装度。</x:v>
      </x:c>
    </x:row>
    <x:row r="281" ht="42" customHeight="1">
      <x:c r="A281" s="15" t="str">
        <x:v>P031</x:v>
      </x:c>
      <x:c r="B281" s="15" t="str">
        <x:v>坎迪亚</x:v>
      </x:c>
      <x:c r="C281" s="15" t="str">
        <x:v>G069</x:v>
      </x:c>
      <x:c r="D281" s="15" t="str">
        <x:v>粗陶器</x:v>
      </x:c>
      <x:c r="E281" s="30" t="n">
        <x:v>3</x:v>
      </x:c>
      <x:c r="F281" s="30" t="n">
        <x:v>90</x:v>
      </x:c>
      <x:c r="G281" s="30" t="n">
        <x:v>22</x:v>
      </x:c>
      <x:c r="H281" s="30" t="n">
        <x:v>66</x:v>
      </x:c>
      <x:c r="I281" s="54" t="n">
        <x:v>0.8</x:v>
      </x:c>
      <x:c r="J281" s="15" t="str">
        <x:v>本港生产/腹地集散/港内加工</x:v>
      </x:c>
      <x:c r="K281" s="15" t="str">
        <x:v>每7个游戏日补充22货载单位。本地、所属岛链或相连腹地供货；成品由港内工坊加工，贸易规模是本作设计。</x:v>
      </x:c>
      <x:c r="L281" s="15" t="str">
        <x:v>港口发展度达到D3（≥450点）；不要求武装度。</x:v>
      </x:c>
    </x:row>
    <x:row r="282" ht="42" customHeight="1">
      <x:c r="A282" s="13" t="str">
        <x:v>P031</x:v>
      </x:c>
      <x:c r="B282" s="13" t="str">
        <x:v>坎迪亚</x:v>
      </x:c>
      <x:c r="C282" s="13" t="str">
        <x:v>G075</x:v>
      </x:c>
      <x:c r="D282" s="13" t="str">
        <x:v>珊瑚</x:v>
      </x:c>
      <x:c r="E282" s="27" t="n">
        <x:v>4</x:v>
      </x:c>
      <x:c r="F282" s="27" t="n">
        <x:v>330</x:v>
      </x:c>
      <x:c r="G282" s="27" t="n">
        <x:v>5</x:v>
      </x:c>
      <x:c r="H282" s="27" t="n">
        <x:v>15</x:v>
      </x:c>
      <x:c r="I282" s="52" t="n">
        <x:v>0.87</x:v>
      </x:c>
      <x:c r="J282" s="13" t="str">
        <x:v>本港生产/腹地集散/港内加工</x:v>
      </x:c>
      <x:c r="K282" s="13" t="str">
        <x:v>每7个游戏日补充5货载单位。本地、所属岛链或相连腹地供货；成品由港内工坊加工，贸易规模是本作设计。</x:v>
      </x:c>
      <x:c r="L282" s="13" t="str">
        <x:v>港口发展度达到D4（≥700点）；不要求武装度。</x:v>
      </x:c>
    </x:row>
    <x:row r="283" ht="42" customHeight="1">
      <x:c r="A283" s="15" t="str">
        <x:v>P031</x:v>
      </x:c>
      <x:c r="B283" s="15" t="str">
        <x:v>坎迪亚</x:v>
      </x:c>
      <x:c r="C283" s="15" t="str">
        <x:v>G087</x:v>
      </x:c>
      <x:c r="D283" s="15" t="str">
        <x:v>香水</x:v>
      </x:c>
      <x:c r="E283" s="30" t="n">
        <x:v>5</x:v>
      </x:c>
      <x:c r="F283" s="30" t="n">
        <x:v>570</x:v>
      </x:c>
      <x:c r="G283" s="30" t="n">
        <x:v>9</x:v>
      </x:c>
      <x:c r="H283" s="30" t="n">
        <x:v>27</x:v>
      </x:c>
      <x:c r="I283" s="54" t="n">
        <x:v>0.87</x:v>
      </x:c>
      <x:c r="J283" s="15" t="str">
        <x:v>本港生产/腹地集散/港内加工</x:v>
      </x:c>
      <x:c r="K283" s="15" t="str">
        <x:v>每7个游戏日补充9货载单位。本地、所属岛链或相连腹地供货；成品由港内工坊加工，贸易规模是本作设计。</x:v>
      </x:c>
      <x:c r="L283" s="15" t="str">
        <x:v>港口发展度达到D5（≥1000点）；不要求武装度。</x:v>
      </x:c>
    </x:row>
    <x:row r="284" ht="42" customHeight="1">
      <x:c r="A284" s="13" t="str">
        <x:v>P031</x:v>
      </x:c>
      <x:c r="B284" s="13" t="str">
        <x:v>坎迪亚</x:v>
      </x:c>
      <x:c r="C284" s="13" t="str">
        <x:v>SP031</x:v>
      </x:c>
      <x:c r="D284" s="13" t="str">
        <x:v>迷宫叶脉橄榄油</x:v>
      </x:c>
      <x:c r="E284" s="27" t="n">
        <x:v>3</x:v>
      </x:c>
      <x:c r="F284" s="27" t="n">
        <x:v>310</x:v>
      </x:c>
      <x:c r="G284" s="27" t="n">
        <x:v>8</x:v>
      </x:c>
      <x:c r="H284" s="27" t="n">
        <x:v>16</x:v>
      </x:c>
      <x:c r="I284" s="52" t="n">
        <x:v>0.78</x:v>
      </x:c>
      <x:c r="J284" s="13" t="str">
        <x:v>港口独占原创工坊特产</x:v>
      </x:c>
      <x:c r="K284" s="13" t="str">
        <x:v>每7个游戏日由「山坡低温榨油坊」交货8货载；只在本港形成稳定产源。</x:v>
      </x:c>
      <x:c r="L284" s="13" t="str">
        <x:v>港口发展度达到D3（≥450点）时，投资项目「山坡低温榨油坊」自动完工；不要求武装度。</x:v>
      </x:c>
    </x:row>
    <x:row r="285" ht="42" customHeight="1">
      <x:c r="A285" s="15" t="str">
        <x:v>P032</x:v>
      </x:c>
      <x:c r="B285" s="15" t="str">
        <x:v>君士坦丁堡</x:v>
      </x:c>
      <x:c r="C285" s="15" t="str">
        <x:v>G001</x:v>
      </x:c>
      <x:c r="D285" s="15" t="str">
        <x:v>小麦</x:v>
      </x:c>
      <x:c r="E285" s="30" t="n">
        <x:v>0</x:v>
      </x:c>
      <x:c r="F285" s="30" t="n">
        <x:v>45</x:v>
      </x:c>
      <x:c r="G285" s="30" t="n">
        <x:v>261</x:v>
      </x:c>
      <x:c r="H285" s="30" t="n">
        <x:v>783</x:v>
      </x:c>
      <x:c r="I285" s="54" t="n">
        <x:v>0.74</x:v>
      </x:c>
      <x:c r="J285" s="15" t="str">
        <x:v>本港生产/腹地集散/港内加工</x:v>
      </x:c>
      <x:c r="K285" s="15" t="str">
        <x:v>每7个游戏日补充261货载单位。本地、所属岛链或相连腹地供货；成品由港内工坊加工，贸易规模是本作设计。</x:v>
      </x:c>
      <x:c r="L285" s="15" t="str">
        <x:v>港口发展度达到D0（≥0点）；不要求武装度。</x:v>
      </x:c>
    </x:row>
    <x:row r="286" ht="42" customHeight="1">
      <x:c r="A286" s="13" t="str">
        <x:v>P032</x:v>
      </x:c>
      <x:c r="B286" s="13" t="str">
        <x:v>君士坦丁堡</x:v>
      </x:c>
      <x:c r="C286" s="13" t="str">
        <x:v>G013</x:v>
      </x:c>
      <x:c r="D286" s="13" t="str">
        <x:v>橄榄油</x:v>
      </x:c>
      <x:c r="E286" s="27" t="n">
        <x:v>0</x:v>
      </x:c>
      <x:c r="F286" s="27" t="n">
        <x:v>120</x:v>
      </x:c>
      <x:c r="G286" s="27" t="n">
        <x:v>203</x:v>
      </x:c>
      <x:c r="H286" s="27" t="n">
        <x:v>609</x:v>
      </x:c>
      <x:c r="I286" s="52" t="n">
        <x:v>0.74</x:v>
      </x:c>
      <x:c r="J286" s="13" t="str">
        <x:v>本港生产/腹地集散/港内加工</x:v>
      </x:c>
      <x:c r="K286" s="13" t="str">
        <x:v>每7个游戏日补充203货载单位。本地、所属岛链或相连腹地供货；成品由港内工坊加工，贸易规模是本作设计。</x:v>
      </x:c>
      <x:c r="L286" s="13" t="str">
        <x:v>港口发展度达到D0（≥0点）；不要求武装度。</x:v>
      </x:c>
    </x:row>
    <x:row r="287" ht="42" customHeight="1">
      <x:c r="A287" s="15" t="str">
        <x:v>P032</x:v>
      </x:c>
      <x:c r="B287" s="15" t="str">
        <x:v>君士坦丁堡</x:v>
      </x:c>
      <x:c r="C287" s="15" t="str">
        <x:v>G042</x:v>
      </x:c>
      <x:c r="D287" s="15" t="str">
        <x:v>生丝</x:v>
      </x:c>
      <x:c r="E287" s="30" t="n">
        <x:v>1</x:v>
      </x:c>
      <x:c r="F287" s="30" t="n">
        <x:v>390</x:v>
      </x:c>
      <x:c r="G287" s="30" t="n">
        <x:v>165</x:v>
      </x:c>
      <x:c r="H287" s="30" t="n">
        <x:v>495</x:v>
      </x:c>
      <x:c r="I287" s="54" t="n">
        <x:v>0.74</x:v>
      </x:c>
      <x:c r="J287" s="15" t="str">
        <x:v>本港生产/腹地集散/港内加工</x:v>
      </x:c>
      <x:c r="K287" s="15" t="str">
        <x:v>每7个游戏日补充165货载单位。本地、所属岛链或相连腹地供货；成品由港内工坊加工，贸易规模是本作设计。</x:v>
      </x:c>
      <x:c r="L287" s="15" t="str">
        <x:v>港口发展度达到D1（≥100点）；不要求武装度。</x:v>
      </x:c>
    </x:row>
    <x:row r="288" ht="42" customHeight="1">
      <x:c r="A288" s="13" t="str">
        <x:v>P032</x:v>
      </x:c>
      <x:c r="B288" s="13" t="str">
        <x:v>君士坦丁堡</x:v>
      </x:c>
      <x:c r="C288" s="13" t="str">
        <x:v>G079</x:v>
      </x:c>
      <x:c r="D288" s="13" t="str">
        <x:v>皮革</x:v>
      </x:c>
      <x:c r="E288" s="27" t="n">
        <x:v>1</x:v>
      </x:c>
      <x:c r="F288" s="27" t="n">
        <x:v>110</x:v>
      </x:c>
      <x:c r="G288" s="27" t="n">
        <x:v>96</x:v>
      </x:c>
      <x:c r="H288" s="27" t="n">
        <x:v>288</x:v>
      </x:c>
      <x:c r="I288" s="52" t="n">
        <x:v>0.74</x:v>
      </x:c>
      <x:c r="J288" s="13" t="str">
        <x:v>本港生产/腹地集散/港内加工</x:v>
      </x:c>
      <x:c r="K288" s="13" t="str">
        <x:v>每7个游戏日补充96货载单位。本地、所属岛链或相连腹地供货；成品由港内工坊加工，贸易规模是本作设计。</x:v>
      </x:c>
      <x:c r="L288" s="13" t="str">
        <x:v>港口发展度达到D1（≥100点）；不要求武装度。</x:v>
      </x:c>
    </x:row>
    <x:row r="289" ht="42" customHeight="1">
      <x:c r="A289" s="15" t="str">
        <x:v>P032</x:v>
      </x:c>
      <x:c r="B289" s="15" t="str">
        <x:v>君士坦丁堡</x:v>
      </x:c>
      <x:c r="C289" s="15" t="str">
        <x:v>G046</x:v>
      </x:c>
      <x:c r="D289" s="15" t="str">
        <x:v>丝绸</x:v>
      </x:c>
      <x:c r="E289" s="30" t="n">
        <x:v>2</x:v>
      </x:c>
      <x:c r="F289" s="30" t="n">
        <x:v>620</x:v>
      </x:c>
      <x:c r="G289" s="30" t="n">
        <x:v>86</x:v>
      </x:c>
      <x:c r="H289" s="30" t="n">
        <x:v>258</x:v>
      </x:c>
      <x:c r="I289" s="54" t="n">
        <x:v>0.8</x:v>
      </x:c>
      <x:c r="J289" s="15" t="str">
        <x:v>本港生产/腹地集散/港内加工</x:v>
      </x:c>
      <x:c r="K289" s="15" t="str">
        <x:v>每7个游戏日补充86货载单位。本地、所属岛链或相连腹地供货；成品由港内工坊加工，贸易规模是本作设计。</x:v>
      </x:c>
      <x:c r="L289" s="15" t="str">
        <x:v>港口发展度达到D2（≥250点）；不要求武装度。</x:v>
      </x:c>
    </x:row>
    <x:row r="290" ht="42" customHeight="1">
      <x:c r="A290" s="13" t="str">
        <x:v>P032</x:v>
      </x:c>
      <x:c r="B290" s="13" t="str">
        <x:v>君士坦丁堡</x:v>
      </x:c>
      <x:c r="C290" s="13" t="str">
        <x:v>G021</x:v>
      </x:c>
      <x:c r="D290" s="13" t="str">
        <x:v>咖啡</x:v>
      </x:c>
      <x:c r="E290" s="27" t="n">
        <x:v>3</x:v>
      </x:c>
      <x:c r="F290" s="27" t="n">
        <x:v>240</x:v>
      </x:c>
      <x:c r="G290" s="27" t="n">
        <x:v>26</x:v>
      </x:c>
      <x:c r="H290" s="27" t="n">
        <x:v>78</x:v>
      </x:c>
      <x:c r="I290" s="52" t="n">
        <x:v>1.14</x:v>
      </x:c>
      <x:c r="J290" s="13" t="str">
        <x:v>进口/区域转口</x:v>
      </x:c>
      <x:c r="K290" s="13" t="str">
        <x:v>每7个游戏日补充26货载单位。由区域商队或NPC货船带入；为港口转售供货，不改变商品的原产地区。</x:v>
      </x:c>
      <x:c r="L290" s="13" t="str">
        <x:v>港口发展度达到D3（≥450点）；不要求武装度。</x:v>
      </x:c>
    </x:row>
    <x:row r="291" ht="42" customHeight="1">
      <x:c r="A291" s="15" t="str">
        <x:v>P032</x:v>
      </x:c>
      <x:c r="B291" s="15" t="str">
        <x:v>君士坦丁堡</x:v>
      </x:c>
      <x:c r="C291" s="15" t="str">
        <x:v>G047</x:v>
      </x:c>
      <x:c r="D291" s="15" t="str">
        <x:v>锦缎</x:v>
      </x:c>
      <x:c r="E291" s="30" t="n">
        <x:v>4</x:v>
      </x:c>
      <x:c r="F291" s="30" t="n">
        <x:v>850</x:v>
      </x:c>
      <x:c r="G291" s="30" t="n">
        <x:v>63</x:v>
      </x:c>
      <x:c r="H291" s="30" t="n">
        <x:v>189</x:v>
      </x:c>
      <x:c r="I291" s="54" t="n">
        <x:v>0.87</x:v>
      </x:c>
      <x:c r="J291" s="15" t="str">
        <x:v>本港生产/腹地集散/港内加工</x:v>
      </x:c>
      <x:c r="K291" s="15" t="str">
        <x:v>每7个游戏日补充63货载单位。本地、所属岛链或相连腹地供货；成品由港内工坊加工，贸易规模是本作设计。</x:v>
      </x:c>
      <x:c r="L291" s="15" t="str">
        <x:v>港口发展度达到D4（≥700点）；不要求武装度。</x:v>
      </x:c>
    </x:row>
    <x:row r="292" ht="42" customHeight="1">
      <x:c r="A292" s="13" t="str">
        <x:v>P032</x:v>
      </x:c>
      <x:c r="B292" s="13" t="str">
        <x:v>君士坦丁堡</x:v>
      </x:c>
      <x:c r="C292" s="13" t="str">
        <x:v>G073</x:v>
      </x:c>
      <x:c r="D292" s="13" t="str">
        <x:v>珠宝</x:v>
      </x:c>
      <x:c r="E292" s="27" t="n">
        <x:v>5</x:v>
      </x:c>
      <x:c r="F292" s="27" t="n">
        <x:v>760</x:v>
      </x:c>
      <x:c r="G292" s="27" t="n">
        <x:v>9</x:v>
      </x:c>
      <x:c r="H292" s="27" t="n">
        <x:v>27</x:v>
      </x:c>
      <x:c r="I292" s="52" t="n">
        <x:v>0.87</x:v>
      </x:c>
      <x:c r="J292" s="13" t="str">
        <x:v>本港生产/腹地集散/港内加工</x:v>
      </x:c>
      <x:c r="K292" s="13" t="str">
        <x:v>每7个游戏日补充9货载单位。本地、所属岛链或相连腹地供货；成品由港内工坊加工，贸易规模是本作设计。</x:v>
      </x:c>
      <x:c r="L292" s="13" t="str">
        <x:v>港口发展度达到D5（≥1000点）；不要求武装度。</x:v>
      </x:c>
    </x:row>
    <x:row r="293" ht="42" customHeight="1">
      <x:c r="A293" s="15" t="str">
        <x:v>P032</x:v>
      </x:c>
      <x:c r="B293" s="15" t="str">
        <x:v>君士坦丁堡</x:v>
      </x:c>
      <x:c r="C293" s="15" t="str">
        <x:v>SP032</x:v>
      </x:c>
      <x:c r="D293" s="15" t="str">
        <x:v>月穹郁金香嵌瓷匣</x:v>
      </x:c>
      <x:c r="E293" s="30" t="n">
        <x:v>4</x:v>
      </x:c>
      <x:c r="F293" s="30" t="n">
        <x:v>1380</x:v>
      </x:c>
      <x:c r="G293" s="30" t="n">
        <x:v>9</x:v>
      </x:c>
      <x:c r="H293" s="30" t="n">
        <x:v>18</x:v>
      </x:c>
      <x:c r="I293" s="54" t="n">
        <x:v>0.78</x:v>
      </x:c>
      <x:c r="J293" s="15" t="str">
        <x:v>港口独占原创工坊特产</x:v>
      </x:c>
      <x:c r="K293" s="15" t="str">
        <x:v>每7个游戏日由「金角湾嵌瓷总作坊」交货9货载；只在本港形成稳定产源。</x:v>
      </x:c>
      <x:c r="L293" s="15" t="str">
        <x:v>港口发展度达到D4（≥700点）时，投资项目「金角湾嵌瓷总作坊」自动完工；不要求武装度。</x:v>
      </x:c>
    </x:row>
    <x:row r="294" ht="42" customHeight="1">
      <x:c r="A294" s="13" t="str">
        <x:v>P033</x:v>
      </x:c>
      <x:c r="B294" s="13" t="str">
        <x:v>拉古萨</x:v>
      </x:c>
      <x:c r="C294" s="13" t="str">
        <x:v>G009</x:v>
      </x:c>
      <x:c r="D294" s="13" t="str">
        <x:v>盐</x:v>
      </x:c>
      <x:c r="E294" s="27" t="n">
        <x:v>0</x:v>
      </x:c>
      <x:c r="F294" s="27" t="n">
        <x:v>28</x:v>
      </x:c>
      <x:c r="G294" s="27" t="n">
        <x:v>161</x:v>
      </x:c>
      <x:c r="H294" s="27" t="n">
        <x:v>483</x:v>
      </x:c>
      <x:c r="I294" s="52" t="n">
        <x:v>0.74</x:v>
      </x:c>
      <x:c r="J294" s="13" t="str">
        <x:v>本港生产/腹地集散/港内加工</x:v>
      </x:c>
      <x:c r="K294" s="13" t="str">
        <x:v>每7个游戏日补充161货载单位。本地、所属岛链或相连腹地供货；成品由港内工坊加工，贸易规模是本作设计。</x:v>
      </x:c>
      <x:c r="L294" s="13" t="str">
        <x:v>港口发展度达到D0（≥0点）；不要求武装度。</x:v>
      </x:c>
    </x:row>
    <x:row r="295" ht="42" customHeight="1">
      <x:c r="A295" s="15" t="str">
        <x:v>P033</x:v>
      </x:c>
      <x:c r="B295" s="15" t="str">
        <x:v>拉古萨</x:v>
      </x:c>
      <x:c r="C295" s="15" t="str">
        <x:v>G023</x:v>
      </x:c>
      <x:c r="D295" s="15" t="str">
        <x:v>葡萄酒</x:v>
      </x:c>
      <x:c r="E295" s="30" t="n">
        <x:v>0</x:v>
      </x:c>
      <x:c r="F295" s="30" t="n">
        <x:v>115</x:v>
      </x:c>
      <x:c r="G295" s="30" t="n">
        <x:v>83</x:v>
      </x:c>
      <x:c r="H295" s="30" t="n">
        <x:v>249</x:v>
      </x:c>
      <x:c r="I295" s="54" t="n">
        <x:v>0.74</x:v>
      </x:c>
      <x:c r="J295" s="15" t="str">
        <x:v>本港生产/腹地集散/港内加工</x:v>
      </x:c>
      <x:c r="K295" s="15" t="str">
        <x:v>每7个游戏日补充83货载单位。本地、所属岛链或相连腹地供货；成品由港内工坊加工，贸易规模是本作设计。</x:v>
      </x:c>
      <x:c r="L295" s="15" t="str">
        <x:v>港口发展度达到D0（≥0点）；不要求武装度。</x:v>
      </x:c>
    </x:row>
    <x:row r="296" ht="42" customHeight="1">
      <x:c r="A296" s="13" t="str">
        <x:v>P033</x:v>
      </x:c>
      <x:c r="B296" s="13" t="str">
        <x:v>拉古萨</x:v>
      </x:c>
      <x:c r="C296" s="13" t="str">
        <x:v>G013</x:v>
      </x:c>
      <x:c r="D296" s="13" t="str">
        <x:v>橄榄油</x:v>
      </x:c>
      <x:c r="E296" s="27" t="n">
        <x:v>1</x:v>
      </x:c>
      <x:c r="F296" s="27" t="n">
        <x:v>120</x:v>
      </x:c>
      <x:c r="G296" s="27" t="n">
        <x:v>153</x:v>
      </x:c>
      <x:c r="H296" s="27" t="n">
        <x:v>459</x:v>
      </x:c>
      <x:c r="I296" s="52" t="n">
        <x:v>0.74</x:v>
      </x:c>
      <x:c r="J296" s="13" t="str">
        <x:v>本港生产/腹地集散/港内加工</x:v>
      </x:c>
      <x:c r="K296" s="13" t="str">
        <x:v>每7个游戏日补充153货载单位。本地、所属岛链或相连腹地供货；成品由港内工坊加工，贸易规模是本作设计。</x:v>
      </x:c>
      <x:c r="L296" s="13" t="str">
        <x:v>港口发展度达到D1（≥100点）；不要求武装度。</x:v>
      </x:c>
    </x:row>
    <x:row r="297" ht="42" customHeight="1">
      <x:c r="A297" s="15" t="str">
        <x:v>P033</x:v>
      </x:c>
      <x:c r="B297" s="15" t="str">
        <x:v>拉古萨</x:v>
      </x:c>
      <x:c r="C297" s="15" t="str">
        <x:v>G056</x:v>
      </x:c>
      <x:c r="D297" s="15" t="str">
        <x:v>橡木</x:v>
      </x:c>
      <x:c r="E297" s="30" t="n">
        <x:v>1</x:v>
      </x:c>
      <x:c r="F297" s="30" t="n">
        <x:v>90</x:v>
      </x:c>
      <x:c r="G297" s="30" t="n">
        <x:v>62</x:v>
      </x:c>
      <x:c r="H297" s="30" t="n">
        <x:v>186</x:v>
      </x:c>
      <x:c r="I297" s="54" t="n">
        <x:v>1.08</x:v>
      </x:c>
      <x:c r="J297" s="15" t="str">
        <x:v>进口/区域转口</x:v>
      </x:c>
      <x:c r="K297" s="15" t="str">
        <x:v>每7个游戏日补充62货载单位。由区域商队或NPC货船带入；为港口转售供货，不改变商品的原产地区。</x:v>
      </x:c>
      <x:c r="L297" s="15" t="str">
        <x:v>港口发展度达到D1（≥100点）；不要求武装度。</x:v>
      </x:c>
    </x:row>
    <x:row r="298" ht="42" customHeight="1">
      <x:c r="A298" s="13" t="str">
        <x:v>P033</x:v>
      </x:c>
      <x:c r="B298" s="13" t="str">
        <x:v>拉古萨</x:v>
      </x:c>
      <x:c r="C298" s="13" t="str">
        <x:v>G044</x:v>
      </x:c>
      <x:c r="D298" s="13" t="str">
        <x:v>麻布</x:v>
      </x:c>
      <x:c r="E298" s="27" t="n">
        <x:v>2</x:v>
      </x:c>
      <x:c r="F298" s="27" t="n">
        <x:v>145</x:v>
      </x:c>
      <x:c r="G298" s="27" t="n">
        <x:v>68</x:v>
      </x:c>
      <x:c r="H298" s="27" t="n">
        <x:v>204</x:v>
      </x:c>
      <x:c r="I298" s="52" t="n">
        <x:v>0.8</x:v>
      </x:c>
      <x:c r="J298" s="13" t="str">
        <x:v>本港生产/腹地集散/港内加工</x:v>
      </x:c>
      <x:c r="K298" s="13" t="str">
        <x:v>每7个游戏日补充68货载单位。本地、所属岛链或相连腹地供货；成品由港内工坊加工，贸易规模是本作设计。</x:v>
      </x:c>
      <x:c r="L298" s="13" t="str">
        <x:v>港口发展度达到D2（≥250点）；不要求武装度。</x:v>
      </x:c>
    </x:row>
    <x:row r="299" ht="42" customHeight="1">
      <x:c r="A299" s="15" t="str">
        <x:v>P033</x:v>
      </x:c>
      <x:c r="B299" s="15" t="str">
        <x:v>拉古萨</x:v>
      </x:c>
      <x:c r="C299" s="15" t="str">
        <x:v>G088</x:v>
      </x:c>
      <x:c r="D299" s="15" t="str">
        <x:v>蜂蜡</x:v>
      </x:c>
      <x:c r="E299" s="30" t="n">
        <x:v>3</x:v>
      </x:c>
      <x:c r="F299" s="30" t="n">
        <x:v>110</x:v>
      </x:c>
      <x:c r="G299" s="30" t="n">
        <x:v>58</x:v>
      </x:c>
      <x:c r="H299" s="30" t="n">
        <x:v>174</x:v>
      </x:c>
      <x:c r="I299" s="54" t="n">
        <x:v>0.8</x:v>
      </x:c>
      <x:c r="J299" s="15" t="str">
        <x:v>本港生产/腹地集散/港内加工</x:v>
      </x:c>
      <x:c r="K299" s="15" t="str">
        <x:v>每7个游戏日补充58货载单位。本地、所属岛链或相连腹地供货；成品由港内工坊加工，贸易规模是本作设计。</x:v>
      </x:c>
      <x:c r="L299" s="15" t="str">
        <x:v>港口发展度达到D3（≥450点）；不要求武装度。</x:v>
      </x:c>
    </x:row>
    <x:row r="300" ht="42" customHeight="1">
      <x:c r="A300" s="13" t="str">
        <x:v>P033</x:v>
      </x:c>
      <x:c r="B300" s="13" t="str">
        <x:v>拉古萨</x:v>
      </x:c>
      <x:c r="C300" s="13" t="str">
        <x:v>G073</x:v>
      </x:c>
      <x:c r="D300" s="13" t="str">
        <x:v>珠宝</x:v>
      </x:c>
      <x:c r="E300" s="27" t="n">
        <x:v>4</x:v>
      </x:c>
      <x:c r="F300" s="27" t="n">
        <x:v>760</x:v>
      </x:c>
      <x:c r="G300" s="27" t="n">
        <x:v>9</x:v>
      </x:c>
      <x:c r="H300" s="27" t="n">
        <x:v>27</x:v>
      </x:c>
      <x:c r="I300" s="52" t="n">
        <x:v>0.87</x:v>
      </x:c>
      <x:c r="J300" s="13" t="str">
        <x:v>本港生产/腹地集散/港内加工</x:v>
      </x:c>
      <x:c r="K300" s="13" t="str">
        <x:v>每7个游戏日补充9货载单位。本地、所属岛链或相连腹地供货；成品由港内工坊加工，贸易规模是本作设计。</x:v>
      </x:c>
      <x:c r="L300" s="13" t="str">
        <x:v>港口发展度达到D4（≥700点）；不要求武装度。</x:v>
      </x:c>
    </x:row>
    <x:row r="301" ht="42" customHeight="1">
      <x:c r="A301" s="15" t="str">
        <x:v>P033</x:v>
      </x:c>
      <x:c r="B301" s="15" t="str">
        <x:v>拉古萨</x:v>
      </x:c>
      <x:c r="C301" s="15" t="str">
        <x:v>G099</x:v>
      </x:c>
      <x:c r="D301" s="15" t="str">
        <x:v>航海仪器</x:v>
      </x:c>
      <x:c r="E301" s="30" t="n">
        <x:v>5</x:v>
      </x:c>
      <x:c r="F301" s="30" t="n">
        <x:v>650</x:v>
      </x:c>
      <x:c r="G301" s="30" t="n">
        <x:v>7</x:v>
      </x:c>
      <x:c r="H301" s="30" t="n">
        <x:v>21</x:v>
      </x:c>
      <x:c r="I301" s="54" t="n">
        <x:v>0.87</x:v>
      </x:c>
      <x:c r="J301" s="15" t="str">
        <x:v>本港生产/腹地集散/港内加工</x:v>
      </x:c>
      <x:c r="K301" s="15" t="str">
        <x:v>每7个游戏日补充7货载单位。本地、所属岛链或相连腹地供货；成品由港内工坊加工，贸易规模是本作设计。</x:v>
      </x:c>
      <x:c r="L301" s="15" t="str">
        <x:v>港口发展度达到D5（≥1000点）；不要求武装度。</x:v>
      </x:c>
    </x:row>
    <x:row r="302" ht="42" customHeight="1">
      <x:c r="A302" s="13" t="str">
        <x:v>P033</x:v>
      </x:c>
      <x:c r="B302" s="13" t="str">
        <x:v>拉古萨</x:v>
      </x:c>
      <x:c r="C302" s="13" t="str">
        <x:v>SP033</x:v>
      </x:c>
      <x:c r="D302" s="13" t="str">
        <x:v>白石城银丝船徽</x:v>
      </x:c>
      <x:c r="E302" s="27" t="n">
        <x:v>3</x:v>
      </x:c>
      <x:c r="F302" s="27" t="n">
        <x:v>910</x:v>
      </x:c>
      <x:c r="G302" s="27" t="n">
        <x:v>9</x:v>
      </x:c>
      <x:c r="H302" s="27" t="n">
        <x:v>18</x:v>
      </x:c>
      <x:c r="I302" s="52" t="n">
        <x:v>0.78</x:v>
      </x:c>
      <x:c r="J302" s="13" t="str">
        <x:v>港口独占原创工坊特产</x:v>
      </x:c>
      <x:c r="K302" s="13" t="str">
        <x:v>每7个游戏日由「银丝船徽工坊」交货9货载；只在本港形成稳定产源。</x:v>
      </x:c>
      <x:c r="L302" s="13" t="str">
        <x:v>港口发展度达到D3（≥450点）时，投资项目「银丝船徽工坊」自动完工；不要求武装度。</x:v>
      </x:c>
    </x:row>
    <x:row r="303" ht="42" customHeight="1">
      <x:c r="A303" s="15" t="str">
        <x:v>P034</x:v>
      </x:c>
      <x:c r="B303" s="15" t="str">
        <x:v>卡法</x:v>
      </x:c>
      <x:c r="C303" s="15" t="str">
        <x:v>G001</x:v>
      </x:c>
      <x:c r="D303" s="15" t="str">
        <x:v>小麦</x:v>
      </x:c>
      <x:c r="E303" s="30" t="n">
        <x:v>0</x:v>
      </x:c>
      <x:c r="F303" s="30" t="n">
        <x:v>45</x:v>
      </x:c>
      <x:c r="G303" s="30" t="n">
        <x:v>178</x:v>
      </x:c>
      <x:c r="H303" s="30" t="n">
        <x:v>534</x:v>
      </x:c>
      <x:c r="I303" s="54" t="n">
        <x:v>0.74</x:v>
      </x:c>
      <x:c r="J303" s="15" t="str">
        <x:v>本港生产/腹地集散/港内加工</x:v>
      </x:c>
      <x:c r="K303" s="15" t="str">
        <x:v>每7个游戏日补充178货载单位。本地、所属岛链或相连腹地供货；成品由港内工坊加工，贸易规模是本作设计。</x:v>
      </x:c>
      <x:c r="L303" s="15" t="str">
        <x:v>港口发展度达到D0（≥0点）；不要求武装度。</x:v>
      </x:c>
    </x:row>
    <x:row r="304" ht="42" customHeight="1">
      <x:c r="A304" s="13" t="str">
        <x:v>P034</x:v>
      </x:c>
      <x:c r="B304" s="13" t="str">
        <x:v>卡法</x:v>
      </x:c>
      <x:c r="C304" s="13" t="str">
        <x:v>G003</x:v>
      </x:c>
      <x:c r="D304" s="13" t="str">
        <x:v>黑麦</x:v>
      </x:c>
      <x:c r="E304" s="27" t="n">
        <x:v>0</x:v>
      </x:c>
      <x:c r="F304" s="27" t="n">
        <x:v>38</x:v>
      </x:c>
      <x:c r="G304" s="27" t="n">
        <x:v>178</x:v>
      </x:c>
      <x:c r="H304" s="27" t="n">
        <x:v>534</x:v>
      </x:c>
      <x:c r="I304" s="52" t="n">
        <x:v>0.74</x:v>
      </x:c>
      <x:c r="J304" s="13" t="str">
        <x:v>本港生产/腹地集散/港内加工</x:v>
      </x:c>
      <x:c r="K304" s="13" t="str">
        <x:v>每7个游戏日补充178货载单位。本地、所属岛链或相连腹地供货；成品由港内工坊加工，贸易规模是本作设计。</x:v>
      </x:c>
      <x:c r="L304" s="13" t="str">
        <x:v>港口发展度达到D0（≥0点）；不要求武装度。</x:v>
      </x:c>
    </x:row>
    <x:row r="305" ht="42" customHeight="1">
      <x:c r="A305" s="15" t="str">
        <x:v>P034</x:v>
      </x:c>
      <x:c r="B305" s="15" t="str">
        <x:v>卡法</x:v>
      </x:c>
      <x:c r="C305" s="15" t="str">
        <x:v>G079</x:v>
      </x:c>
      <x:c r="D305" s="15" t="str">
        <x:v>皮革</x:v>
      </x:c>
      <x:c r="E305" s="30" t="n">
        <x:v>1</x:v>
      </x:c>
      <x:c r="F305" s="30" t="n">
        <x:v>110</x:v>
      </x:c>
      <x:c r="G305" s="30" t="n">
        <x:v>66</x:v>
      </x:c>
      <x:c r="H305" s="30" t="n">
        <x:v>198</x:v>
      </x:c>
      <x:c r="I305" s="54" t="n">
        <x:v>0.74</x:v>
      </x:c>
      <x:c r="J305" s="15" t="str">
        <x:v>本港生产/腹地集散/港内加工</x:v>
      </x:c>
      <x:c r="K305" s="15" t="str">
        <x:v>每7个游戏日补充66货载单位。本地、所属岛链或相连腹地供货；成品由港内工坊加工，贸易规模是本作设计。</x:v>
      </x:c>
      <x:c r="L305" s="15" t="str">
        <x:v>港口发展度达到D1（≥100点）；不要求武装度。</x:v>
      </x:c>
    </x:row>
    <x:row r="306" ht="42" customHeight="1">
      <x:c r="A306" s="13" t="str">
        <x:v>P034</x:v>
      </x:c>
      <x:c r="B306" s="13" t="str">
        <x:v>卡法</x:v>
      </x:c>
      <x:c r="C306" s="13" t="str">
        <x:v>G039</x:v>
      </x:c>
      <x:c r="D306" s="13" t="str">
        <x:v>羊毛</x:v>
      </x:c>
      <x:c r="E306" s="27" t="n">
        <x:v>1</x:v>
      </x:c>
      <x:c r="F306" s="27" t="n">
        <x:v>100</x:v>
      </x:c>
      <x:c r="G306" s="27" t="n">
        <x:v>113</x:v>
      </x:c>
      <x:c r="H306" s="27" t="n">
        <x:v>339</x:v>
      </x:c>
      <x:c r="I306" s="52" t="n">
        <x:v>0.74</x:v>
      </x:c>
      <x:c r="J306" s="13" t="str">
        <x:v>本港生产/腹地集散/港内加工</x:v>
      </x:c>
      <x:c r="K306" s="13" t="str">
        <x:v>每7个游戏日补充113货载单位。本地、所属岛链或相连腹地供货；成品由港内工坊加工，贸易规模是本作设计。</x:v>
      </x:c>
      <x:c r="L306" s="13" t="str">
        <x:v>港口发展度达到D1（≥100点）；不要求武装度。</x:v>
      </x:c>
    </x:row>
    <x:row r="307" ht="42" customHeight="1">
      <x:c r="A307" s="15" t="str">
        <x:v>P034</x:v>
      </x:c>
      <x:c r="B307" s="15" t="str">
        <x:v>卡法</x:v>
      </x:c>
      <x:c r="C307" s="15" t="str">
        <x:v>G010</x:v>
      </x:c>
      <x:c r="D307" s="15" t="str">
        <x:v>蜂蜜</x:v>
      </x:c>
      <x:c r="E307" s="30" t="n">
        <x:v>2</x:v>
      </x:c>
      <x:c r="F307" s="30" t="n">
        <x:v>95</x:v>
      </x:c>
      <x:c r="G307" s="30" t="n">
        <x:v>118</x:v>
      </x:c>
      <x:c r="H307" s="30" t="n">
        <x:v>354</x:v>
      </x:c>
      <x:c r="I307" s="54" t="n">
        <x:v>0.8</x:v>
      </x:c>
      <x:c r="J307" s="15" t="str">
        <x:v>本港生产/腹地集散/港内加工</x:v>
      </x:c>
      <x:c r="K307" s="15" t="str">
        <x:v>每7个游戏日补充118货载单位。本地、所属岛链或相连腹地供货；成品由港内工坊加工，贸易规模是本作设计。</x:v>
      </x:c>
      <x:c r="L307" s="15" t="str">
        <x:v>港口发展度达到D2（≥250点）；不要求武装度。</x:v>
      </x:c>
    </x:row>
    <x:row r="308" ht="42" customHeight="1">
      <x:c r="A308" s="13" t="str">
        <x:v>P034</x:v>
      </x:c>
      <x:c r="B308" s="13" t="str">
        <x:v>卡法</x:v>
      </x:c>
      <x:c r="C308" s="13" t="str">
        <x:v>G080</x:v>
      </x:c>
      <x:c r="D308" s="13" t="str">
        <x:v>毛皮</x:v>
      </x:c>
      <x:c r="E308" s="27" t="n">
        <x:v>3</x:v>
      </x:c>
      <x:c r="F308" s="27" t="n">
        <x:v>240</x:v>
      </x:c>
      <x:c r="G308" s="27" t="n">
        <x:v>9</x:v>
      </x:c>
      <x:c r="H308" s="27" t="n">
        <x:v>27</x:v>
      </x:c>
      <x:c r="I308" s="52" t="n">
        <x:v>0.8</x:v>
      </x:c>
      <x:c r="J308" s="13" t="str">
        <x:v>本港生产/腹地集散/港内加工</x:v>
      </x:c>
      <x:c r="K308" s="13" t="str">
        <x:v>每7个游戏日补充9货载单位。本地、所属岛链或相连腹地供货；成品由港内工坊加工，贸易规模是本作设计。</x:v>
      </x:c>
      <x:c r="L308" s="13" t="str">
        <x:v>港口发展度达到D3（≥450点）；不要求武装度。</x:v>
      </x:c>
    </x:row>
    <x:row r="309" ht="42" customHeight="1">
      <x:c r="A309" s="15" t="str">
        <x:v>P034</x:v>
      </x:c>
      <x:c r="B309" s="15" t="str">
        <x:v>卡法</x:v>
      </x:c>
      <x:c r="C309" s="15" t="str">
        <x:v>G076</x:v>
      </x:c>
      <x:c r="D309" s="15" t="str">
        <x:v>琥珀</x:v>
      </x:c>
      <x:c r="E309" s="30" t="n">
        <x:v>4</x:v>
      </x:c>
      <x:c r="F309" s="30" t="n">
        <x:v>390</x:v>
      </x:c>
      <x:c r="G309" s="30" t="n">
        <x:v>3</x:v>
      </x:c>
      <x:c r="H309" s="30" t="n">
        <x:v>9</x:v>
      </x:c>
      <x:c r="I309" s="54" t="n">
        <x:v>1.14</x:v>
      </x:c>
      <x:c r="J309" s="15" t="str">
        <x:v>进口/区域转口</x:v>
      </x:c>
      <x:c r="K309" s="15" t="str">
        <x:v>每7个游戏日补充3货载单位。由区域商队或NPC货船带入；为港口转售供货，不改变商品的原产地区。</x:v>
      </x:c>
      <x:c r="L309" s="15" t="str">
        <x:v>港口发展度达到D4（≥700点）；不要求武装度。</x:v>
      </x:c>
    </x:row>
    <x:row r="310" ht="42" customHeight="1">
      <x:c r="A310" s="13" t="str">
        <x:v>P034</x:v>
      </x:c>
      <x:c r="B310" s="13" t="str">
        <x:v>卡法</x:v>
      </x:c>
      <x:c r="C310" s="13" t="str">
        <x:v>G073</x:v>
      </x:c>
      <x:c r="D310" s="13" t="str">
        <x:v>珠宝</x:v>
      </x:c>
      <x:c r="E310" s="27" t="n">
        <x:v>5</x:v>
      </x:c>
      <x:c r="F310" s="27" t="n">
        <x:v>760</x:v>
      </x:c>
      <x:c r="G310" s="27" t="n">
        <x:v>3</x:v>
      </x:c>
      <x:c r="H310" s="27" t="n">
        <x:v>9</x:v>
      </x:c>
      <x:c r="I310" s="52" t="n">
        <x:v>1.14</x:v>
      </x:c>
      <x:c r="J310" s="13" t="str">
        <x:v>进口/区域转口</x:v>
      </x:c>
      <x:c r="K310" s="13" t="str">
        <x:v>每7个游戏日补充3货载单位。由区域商队或NPC货船带入；为港口转售供货，不改变商品的原产地区。</x:v>
      </x:c>
      <x:c r="L310" s="13" t="str">
        <x:v>港口发展度达到D5（≥1000点）；不要求武装度。</x:v>
      </x:c>
    </x:row>
    <x:row r="311" ht="42" customHeight="1">
      <x:c r="A311" s="15" t="str">
        <x:v>P034</x:v>
      </x:c>
      <x:c r="B311" s="15" t="str">
        <x:v>卡法</x:v>
      </x:c>
      <x:c r="C311" s="15" t="str">
        <x:v>SP034</x:v>
      </x:c>
      <x:c r="D311" s="15" t="str">
        <x:v>草海银扣旅行毯</x:v>
      </x:c>
      <x:c r="E311" s="30" t="n">
        <x:v>3</x:v>
      </x:c>
      <x:c r="F311" s="30" t="n">
        <x:v>690</x:v>
      </x:c>
      <x:c r="G311" s="30" t="n">
        <x:v>8</x:v>
      </x:c>
      <x:c r="H311" s="30" t="n">
        <x:v>16</x:v>
      </x:c>
      <x:c r="I311" s="54" t="n">
        <x:v>0.78</x:v>
      </x:c>
      <x:c r="J311" s="15" t="str">
        <x:v>港口独占原创工坊特产</x:v>
      </x:c>
      <x:c r="K311" s="15" t="str">
        <x:v>每7个游戏日由「商队与船团织作坊」交货8货载；只在本港形成稳定产源。</x:v>
      </x:c>
      <x:c r="L311" s="15" t="str">
        <x:v>港口发展度达到D3（≥450点）时，投资项目「商队与船团织作坊」自动完工；不要求武装度。</x:v>
      </x:c>
    </x:row>
    <x:row r="312" ht="42" customHeight="1">
      <x:c r="A312" s="13" t="str">
        <x:v>P035</x:v>
      </x:c>
      <x:c r="B312" s="13" t="str">
        <x:v>丰沙尔</x:v>
      </x:c>
      <x:c r="C312" s="13" t="str">
        <x:v>G023</x:v>
      </x:c>
      <x:c r="D312" s="13" t="str">
        <x:v>葡萄酒</x:v>
      </x:c>
      <x:c r="E312" s="27" t="n">
        <x:v>0</x:v>
      </x:c>
      <x:c r="F312" s="27" t="n">
        <x:v>115</x:v>
      </x:c>
      <x:c r="G312" s="27" t="n">
        <x:v>74</x:v>
      </x:c>
      <x:c r="H312" s="27" t="n">
        <x:v>222</x:v>
      </x:c>
      <x:c r="I312" s="52" t="n">
        <x:v>0.74</x:v>
      </x:c>
      <x:c r="J312" s="13" t="str">
        <x:v>本港生产/腹地集散/港内加工</x:v>
      </x:c>
      <x:c r="K312" s="13" t="str">
        <x:v>每7个游戏日补充74货载单位。本地、所属岛链或相连腹地供货；成品由港内工坊加工，贸易规模是本作设计。</x:v>
      </x:c>
      <x:c r="L312" s="13" t="str">
        <x:v>港口发展度达到D0（≥0点）；不要求武装度。</x:v>
      </x:c>
    </x:row>
    <x:row r="313" ht="42" customHeight="1">
      <x:c r="A313" s="15" t="str">
        <x:v>P035</x:v>
      </x:c>
      <x:c r="B313" s="15" t="str">
        <x:v>丰沙尔</x:v>
      </x:c>
      <x:c r="C313" s="15" t="str">
        <x:v>G094</x:v>
      </x:c>
      <x:c r="D313" s="15" t="str">
        <x:v>柑橘</x:v>
      </x:c>
      <x:c r="E313" s="30" t="n">
        <x:v>0</x:v>
      </x:c>
      <x:c r="F313" s="30" t="n">
        <x:v>62</x:v>
      </x:c>
      <x:c r="G313" s="30" t="n">
        <x:v>144</x:v>
      </x:c>
      <x:c r="H313" s="30" t="n">
        <x:v>432</x:v>
      </x:c>
      <x:c r="I313" s="54" t="n">
        <x:v>0.74</x:v>
      </x:c>
      <x:c r="J313" s="15" t="str">
        <x:v>本港生产/腹地集散/港内加工</x:v>
      </x:c>
      <x:c r="K313" s="15" t="str">
        <x:v>每7个游戏日补充144货载单位。本地、所属岛链或相连腹地供货；成品由港内工坊加工，贸易规模是本作设计。</x:v>
      </x:c>
      <x:c r="L313" s="15" t="str">
        <x:v>港口发展度达到D0（≥0点）；不要求武装度。</x:v>
      </x:c>
    </x:row>
    <x:row r="314" ht="42" customHeight="1">
      <x:c r="A314" s="13" t="str">
        <x:v>P035</x:v>
      </x:c>
      <x:c r="B314" s="13" t="str">
        <x:v>丰沙尔</x:v>
      </x:c>
      <x:c r="C314" s="13" t="str">
        <x:v>G015</x:v>
      </x:c>
      <x:c r="D314" s="13" t="str">
        <x:v>咸鱼</x:v>
      </x:c>
      <x:c r="E314" s="27" t="n">
        <x:v>1</x:v>
      </x:c>
      <x:c r="F314" s="27" t="n">
        <x:v>65</x:v>
      </x:c>
      <x:c r="G314" s="27" t="n">
        <x:v>137</x:v>
      </x:c>
      <x:c r="H314" s="27" t="n">
        <x:v>411</x:v>
      </x:c>
      <x:c r="I314" s="52" t="n">
        <x:v>0.74</x:v>
      </x:c>
      <x:c r="J314" s="13" t="str">
        <x:v>本港生产/腹地集散/港内加工</x:v>
      </x:c>
      <x:c r="K314" s="13" t="str">
        <x:v>每7个游戏日补充137货载单位。本地、所属岛链或相连腹地供货；成品由港内工坊加工，贸易规模是本作设计。</x:v>
      </x:c>
      <x:c r="L314" s="13" t="str">
        <x:v>港口发展度达到D1（≥100点）；不要求武装度。</x:v>
      </x:c>
    </x:row>
    <x:row r="315" ht="42" customHeight="1">
      <x:c r="A315" s="15" t="str">
        <x:v>P035</x:v>
      </x:c>
      <x:c r="B315" s="15" t="str">
        <x:v>丰沙尔</x:v>
      </x:c>
      <x:c r="C315" s="15" t="str">
        <x:v>G011</x:v>
      </x:c>
      <x:c r="D315" s="15" t="str">
        <x:v>砂糖</x:v>
      </x:c>
      <x:c r="E315" s="30" t="n">
        <x:v>1</x:v>
      </x:c>
      <x:c r="F315" s="30" t="n">
        <x:v>140</x:v>
      </x:c>
      <x:c r="G315" s="30" t="n">
        <x:v>137</x:v>
      </x:c>
      <x:c r="H315" s="30" t="n">
        <x:v>411</x:v>
      </x:c>
      <x:c r="I315" s="54" t="n">
        <x:v>0.74</x:v>
      </x:c>
      <x:c r="J315" s="15" t="str">
        <x:v>本港生产/腹地集散/港内加工</x:v>
      </x:c>
      <x:c r="K315" s="15" t="str">
        <x:v>每7个游戏日补充137货载单位。本地、所属岛链或相连腹地供货；成品由港内工坊加工，贸易规模是本作设计。</x:v>
      </x:c>
      <x:c r="L315" s="15" t="str">
        <x:v>港口发展度达到D1（≥100点）；不要求武装度。</x:v>
      </x:c>
    </x:row>
    <x:row r="316" ht="42" customHeight="1">
      <x:c r="A316" s="13" t="str">
        <x:v>P035</x:v>
      </x:c>
      <x:c r="B316" s="13" t="str">
        <x:v>丰沙尔</x:v>
      </x:c>
      <x:c r="C316" s="13" t="str">
        <x:v>G012</x:v>
      </x:c>
      <x:c r="D316" s="13" t="str">
        <x:v>糖蜜</x:v>
      </x:c>
      <x:c r="E316" s="27" t="n">
        <x:v>2</x:v>
      </x:c>
      <x:c r="F316" s="27" t="n">
        <x:v>70</x:v>
      </x:c>
      <x:c r="G316" s="27" t="n">
        <x:v>123</x:v>
      </x:c>
      <x:c r="H316" s="27" t="n">
        <x:v>369</x:v>
      </x:c>
      <x:c r="I316" s="52" t="n">
        <x:v>0.8</x:v>
      </x:c>
      <x:c r="J316" s="13" t="str">
        <x:v>本港生产/腹地集散/港内加工</x:v>
      </x:c>
      <x:c r="K316" s="13" t="str">
        <x:v>每7个游戏日补充123货载单位。本地、所属岛链或相连腹地供货；成品由港内工坊加工，贸易规模是本作设计。</x:v>
      </x:c>
      <x:c r="L316" s="13" t="str">
        <x:v>港口发展度达到D2（≥250点）；不要求武装度。</x:v>
      </x:c>
    </x:row>
    <x:row r="317" ht="42" customHeight="1">
      <x:c r="A317" s="15" t="str">
        <x:v>P035</x:v>
      </x:c>
      <x:c r="B317" s="15" t="str">
        <x:v>丰沙尔</x:v>
      </x:c>
      <x:c r="C317" s="15" t="str">
        <x:v>G024</x:v>
      </x:c>
      <x:c r="D317" s="15" t="str">
        <x:v>烈酒</x:v>
      </x:c>
      <x:c r="E317" s="30" t="n">
        <x:v>3</x:v>
      </x:c>
      <x:c r="F317" s="30" t="n">
        <x:v>135</x:v>
      </x:c>
      <x:c r="G317" s="30" t="n">
        <x:v>53</x:v>
      </x:c>
      <x:c r="H317" s="30" t="n">
        <x:v>159</x:v>
      </x:c>
      <x:c r="I317" s="54" t="n">
        <x:v>0.8</x:v>
      </x:c>
      <x:c r="J317" s="15" t="str">
        <x:v>本港生产/腹地集散/港内加工</x:v>
      </x:c>
      <x:c r="K317" s="15" t="str">
        <x:v>每7个游戏日补充53货载单位。本地、所属岛链或相连腹地供货；成品由港内工坊加工，贸易规模是本作设计。</x:v>
      </x:c>
      <x:c r="L317" s="15" t="str">
        <x:v>港口发展度达到D3（≥450点）；不要求武装度。</x:v>
      </x:c>
    </x:row>
    <x:row r="318" ht="42" customHeight="1">
      <x:c r="A318" s="13" t="str">
        <x:v>P035</x:v>
      </x:c>
      <x:c r="B318" s="13" t="str">
        <x:v>丰沙尔</x:v>
      </x:c>
      <x:c r="C318" s="13" t="str">
        <x:v>G044</x:v>
      </x:c>
      <x:c r="D318" s="13" t="str">
        <x:v>麻布</x:v>
      </x:c>
      <x:c r="E318" s="27" t="n">
        <x:v>4</x:v>
      </x:c>
      <x:c r="F318" s="27" t="n">
        <x:v>145</x:v>
      </x:c>
      <x:c r="G318" s="27" t="n">
        <x:v>23</x:v>
      </x:c>
      <x:c r="H318" s="27" t="n">
        <x:v>69</x:v>
      </x:c>
      <x:c r="I318" s="52" t="n">
        <x:v>1.14</x:v>
      </x:c>
      <x:c r="J318" s="13" t="str">
        <x:v>进口/区域转口</x:v>
      </x:c>
      <x:c r="K318" s="13" t="str">
        <x:v>每7个游戏日补充23货载单位。由区域商队或NPC货船带入；为港口转售供货，不改变商品的原产地区。</x:v>
      </x:c>
      <x:c r="L318" s="13" t="str">
        <x:v>港口发展度达到D4（≥700点）；不要求武装度。</x:v>
      </x:c>
    </x:row>
    <x:row r="319" ht="42" customHeight="1">
      <x:c r="A319" s="15" t="str">
        <x:v>P035</x:v>
      </x:c>
      <x:c r="B319" s="15" t="str">
        <x:v>丰沙尔</x:v>
      </x:c>
      <x:c r="C319" s="15" t="str">
        <x:v>G087</x:v>
      </x:c>
      <x:c r="D319" s="15" t="str">
        <x:v>香水</x:v>
      </x:c>
      <x:c r="E319" s="30" t="n">
        <x:v>5</x:v>
      </x:c>
      <x:c r="F319" s="30" t="n">
        <x:v>570</x:v>
      </x:c>
      <x:c r="G319" s="30" t="n">
        <x:v>5</x:v>
      </x:c>
      <x:c r="H319" s="30" t="n">
        <x:v>15</x:v>
      </x:c>
      <x:c r="I319" s="54" t="n">
        <x:v>1.14</x:v>
      </x:c>
      <x:c r="J319" s="15" t="str">
        <x:v>进口/区域转口</x:v>
      </x:c>
      <x:c r="K319" s="15" t="str">
        <x:v>每7个游戏日补充5货载单位。由区域商队或NPC货船带入；为港口转售供货，不改变商品的原产地区。</x:v>
      </x:c>
      <x:c r="L319" s="15" t="str">
        <x:v>港口发展度达到D5（≥1000点）；不要求武装度。</x:v>
      </x:c>
    </x:row>
    <x:row r="320" ht="42" customHeight="1">
      <x:c r="A320" s="13" t="str">
        <x:v>P035</x:v>
      </x:c>
      <x:c r="B320" s="13" t="str">
        <x:v>丰沙尔</x:v>
      </x:c>
      <x:c r="C320" s="13" t="str">
        <x:v>SP035</x:v>
      </x:c>
      <x:c r="D320" s="13" t="str">
        <x:v>火山温窖马德拉酒</x:v>
      </x:c>
      <x:c r="E320" s="27" t="n">
        <x:v>3</x:v>
      </x:c>
      <x:c r="F320" s="27" t="n">
        <x:v>540</x:v>
      </x:c>
      <x:c r="G320" s="27" t="n">
        <x:v>8</x:v>
      </x:c>
      <x:c r="H320" s="27" t="n">
        <x:v>16</x:v>
      </x:c>
      <x:c r="I320" s="52" t="n">
        <x:v>0.78</x:v>
      </x:c>
      <x:c r="J320" s="13" t="str">
        <x:v>港口独占原创工坊特产</x:v>
      </x:c>
      <x:c r="K320" s="13" t="str">
        <x:v>每7个游戏日由「火山温窖酒厂」交货8货载；只在本港形成稳定产源。</x:v>
      </x:c>
      <x:c r="L320" s="13" t="str">
        <x:v>港口发展度达到D3（≥450点）时，投资项目「火山温窖酒厂」自动完工；不要求武装度。</x:v>
      </x:c>
    </x:row>
    <x:row r="321" ht="42" customHeight="1">
      <x:c r="A321" s="15" t="str">
        <x:v>P036</x:v>
      </x:c>
      <x:c r="B321" s="15" t="str">
        <x:v>蓬塔德尔加达</x:v>
      </x:c>
      <x:c r="C321" s="15" t="str">
        <x:v>G001</x:v>
      </x:c>
      <x:c r="D321" s="15" t="str">
        <x:v>小麦</x:v>
      </x:c>
      <x:c r="E321" s="30" t="n">
        <x:v>0</x:v>
      </x:c>
      <x:c r="F321" s="30" t="n">
        <x:v>45</x:v>
      </x:c>
      <x:c r="G321" s="30" t="n">
        <x:v>153</x:v>
      </x:c>
      <x:c r="H321" s="30" t="n">
        <x:v>459</x:v>
      </x:c>
      <x:c r="I321" s="54" t="n">
        <x:v>0.74</x:v>
      </x:c>
      <x:c r="J321" s="15" t="str">
        <x:v>本港生产/腹地集散/港内加工</x:v>
      </x:c>
      <x:c r="K321" s="15" t="str">
        <x:v>每7个游戏日补充153货载单位。本地、所属岛链或相连腹地供货；成品由港内工坊加工，贸易规模是本作设计。</x:v>
      </x:c>
      <x:c r="L321" s="15" t="str">
        <x:v>港口发展度达到D0（≥0点）；不要求武装度。</x:v>
      </x:c>
    </x:row>
    <x:row r="322" ht="42" customHeight="1">
      <x:c r="A322" s="13" t="str">
        <x:v>P036</x:v>
      </x:c>
      <x:c r="B322" s="13" t="str">
        <x:v>蓬塔德尔加达</x:v>
      </x:c>
      <x:c r="C322" s="13" t="str">
        <x:v>G019</x:v>
      </x:c>
      <x:c r="D322" s="13" t="str">
        <x:v>奶酪</x:v>
      </x:c>
      <x:c r="E322" s="27" t="n">
        <x:v>0</x:v>
      </x:c>
      <x:c r="F322" s="27" t="n">
        <x:v>95</x:v>
      </x:c>
      <x:c r="G322" s="27" t="n">
        <x:v>119</x:v>
      </x:c>
      <x:c r="H322" s="27" t="n">
        <x:v>357</x:v>
      </x:c>
      <x:c r="I322" s="52" t="n">
        <x:v>0.74</x:v>
      </x:c>
      <x:c r="J322" s="13" t="str">
        <x:v>本港生产/腹地集散/港内加工</x:v>
      </x:c>
      <x:c r="K322" s="13" t="str">
        <x:v>每7个游戏日补充119货载单位。本地、所属岛链或相连腹地供货；成品由港内工坊加工，贸易规模是本作设计。</x:v>
      </x:c>
      <x:c r="L322" s="13" t="str">
        <x:v>港口发展度达到D0（≥0点）；不要求武装度。</x:v>
      </x:c>
    </x:row>
    <x:row r="323" ht="42" customHeight="1">
      <x:c r="A323" s="15" t="str">
        <x:v>P036</x:v>
      </x:c>
      <x:c r="B323" s="15" t="str">
        <x:v>蓬塔德尔加达</x:v>
      </x:c>
      <x:c r="C323" s="15" t="str">
        <x:v>G015</x:v>
      </x:c>
      <x:c r="D323" s="15" t="str">
        <x:v>咸鱼</x:v>
      </x:c>
      <x:c r="E323" s="30" t="n">
        <x:v>1</x:v>
      </x:c>
      <x:c r="F323" s="30" t="n">
        <x:v>65</x:v>
      </x:c>
      <x:c r="G323" s="30" t="n">
        <x:v>113</x:v>
      </x:c>
      <x:c r="H323" s="30" t="n">
        <x:v>339</x:v>
      </x:c>
      <x:c r="I323" s="54" t="n">
        <x:v>0.74</x:v>
      </x:c>
      <x:c r="J323" s="15" t="str">
        <x:v>本港生产/腹地集散/港内加工</x:v>
      </x:c>
      <x:c r="K323" s="15" t="str">
        <x:v>每7个游戏日补充113货载单位。本地、所属岛链或相连腹地供货；成品由港内工坊加工，贸易规模是本作设计。</x:v>
      </x:c>
      <x:c r="L323" s="15" t="str">
        <x:v>港口发展度达到D1（≥100点）；不要求武装度。</x:v>
      </x:c>
    </x:row>
    <x:row r="324" ht="42" customHeight="1">
      <x:c r="A324" s="13" t="str">
        <x:v>P036</x:v>
      </x:c>
      <x:c r="B324" s="13" t="str">
        <x:v>蓬塔德尔加达</x:v>
      </x:c>
      <x:c r="C324" s="13" t="str">
        <x:v>G018</x:v>
      </x:c>
      <x:c r="D324" s="13" t="str">
        <x:v>咸牛肉</x:v>
      </x:c>
      <x:c r="E324" s="27" t="n">
        <x:v>1</x:v>
      </x:c>
      <x:c r="F324" s="27" t="n">
        <x:v>82</x:v>
      </x:c>
      <x:c r="G324" s="27" t="n">
        <x:v>113</x:v>
      </x:c>
      <x:c r="H324" s="27" t="n">
        <x:v>339</x:v>
      </x:c>
      <x:c r="I324" s="52" t="n">
        <x:v>0.74</x:v>
      </x:c>
      <x:c r="J324" s="13" t="str">
        <x:v>本港生产/腹地集散/港内加工</x:v>
      </x:c>
      <x:c r="K324" s="13" t="str">
        <x:v>每7个游戏日补充113货载单位。本地、所属岛链或相连腹地供货；成品由港内工坊加工，贸易规模是本作设计。</x:v>
      </x:c>
      <x:c r="L324" s="13" t="str">
        <x:v>港口发展度达到D1（≥100点）；不要求武装度。</x:v>
      </x:c>
    </x:row>
    <x:row r="325" ht="42" customHeight="1">
      <x:c r="A325" s="15" t="str">
        <x:v>P036</x:v>
      </x:c>
      <x:c r="B325" s="15" t="str">
        <x:v>蓬塔德尔加达</x:v>
      </x:c>
      <x:c r="C325" s="15" t="str">
        <x:v>G093</x:v>
      </x:c>
      <x:c r="D325" s="15" t="str">
        <x:v>干果</x:v>
      </x:c>
      <x:c r="E325" s="30" t="n">
        <x:v>2</x:v>
      </x:c>
      <x:c r="F325" s="30" t="n">
        <x:v>85</x:v>
      </x:c>
      <x:c r="G325" s="30" t="n">
        <x:v>101</x:v>
      </x:c>
      <x:c r="H325" s="30" t="n">
        <x:v>303</x:v>
      </x:c>
      <x:c r="I325" s="54" t="n">
        <x:v>0.8</x:v>
      </x:c>
      <x:c r="J325" s="15" t="str">
        <x:v>本港生产/腹地集散/港内加工</x:v>
      </x:c>
      <x:c r="K325" s="15" t="str">
        <x:v>每7个游戏日补充101货载单位。本地、所属岛链或相连腹地供货；成品由港内工坊加工，贸易规模是本作设计。</x:v>
      </x:c>
      <x:c r="L325" s="15" t="str">
        <x:v>港口发展度达到D2（≥250点）；不要求武装度。</x:v>
      </x:c>
    </x:row>
    <x:row r="326" ht="42" customHeight="1">
      <x:c r="A326" s="13" t="str">
        <x:v>P036</x:v>
      </x:c>
      <x:c r="B326" s="13" t="str">
        <x:v>蓬塔德尔加达</x:v>
      </x:c>
      <x:c r="C326" s="13" t="str">
        <x:v>G023</x:v>
      </x:c>
      <x:c r="D326" s="13" t="str">
        <x:v>葡萄酒</x:v>
      </x:c>
      <x:c r="E326" s="27" t="n">
        <x:v>3</x:v>
      </x:c>
      <x:c r="F326" s="27" t="n">
        <x:v>115</x:v>
      </x:c>
      <x:c r="G326" s="27" t="n">
        <x:v>44</x:v>
      </x:c>
      <x:c r="H326" s="27" t="n">
        <x:v>132</x:v>
      </x:c>
      <x:c r="I326" s="52" t="n">
        <x:v>0.8</x:v>
      </x:c>
      <x:c r="J326" s="13" t="str">
        <x:v>本港生产/腹地集散/港内加工</x:v>
      </x:c>
      <x:c r="K326" s="13" t="str">
        <x:v>每7个游戏日补充44货载单位。本地、所属岛链或相连腹地供货；成品由港内工坊加工，贸易规模是本作设计。</x:v>
      </x:c>
      <x:c r="L326" s="13" t="str">
        <x:v>港口发展度达到D3（≥450点）；不要求武装度。</x:v>
      </x:c>
    </x:row>
    <x:row r="327" ht="42" customHeight="1">
      <x:c r="A327" s="15" t="str">
        <x:v>P036</x:v>
      </x:c>
      <x:c r="B327" s="15" t="str">
        <x:v>蓬塔德尔加达</x:v>
      </x:c>
      <x:c r="C327" s="15" t="str">
        <x:v>G088</x:v>
      </x:c>
      <x:c r="D327" s="15" t="str">
        <x:v>蜂蜡</x:v>
      </x:c>
      <x:c r="E327" s="30" t="n">
        <x:v>4</x:v>
      </x:c>
      <x:c r="F327" s="30" t="n">
        <x:v>110</x:v>
      </x:c>
      <x:c r="G327" s="30" t="n">
        <x:v>37</x:v>
      </x:c>
      <x:c r="H327" s="30" t="n">
        <x:v>111</x:v>
      </x:c>
      <x:c r="I327" s="54" t="n">
        <x:v>0.87</x:v>
      </x:c>
      <x:c r="J327" s="15" t="str">
        <x:v>本港生产/腹地集散/港内加工</x:v>
      </x:c>
      <x:c r="K327" s="15" t="str">
        <x:v>每7个游戏日补充37货载单位。本地、所属岛链或相连腹地供货；成品由港内工坊加工，贸易规模是本作设计。</x:v>
      </x:c>
      <x:c r="L327" s="15" t="str">
        <x:v>港口发展度达到D4（≥700点）；不要求武装度。</x:v>
      </x:c>
    </x:row>
    <x:row r="328" ht="42" customHeight="1">
      <x:c r="A328" s="13" t="str">
        <x:v>P036</x:v>
      </x:c>
      <x:c r="B328" s="13" t="str">
        <x:v>蓬塔德尔加达</x:v>
      </x:c>
      <x:c r="C328" s="13" t="str">
        <x:v>G096</x:v>
      </x:c>
      <x:c r="D328" s="13" t="str">
        <x:v>贝壳工艺品</x:v>
      </x:c>
      <x:c r="E328" s="27" t="n">
        <x:v>5</x:v>
      </x:c>
      <x:c r="F328" s="27" t="n">
        <x:v>210</x:v>
      </x:c>
      <x:c r="G328" s="27" t="n">
        <x:v>13</x:v>
      </x:c>
      <x:c r="H328" s="27" t="n">
        <x:v>39</x:v>
      </x:c>
      <x:c r="I328" s="52" t="n">
        <x:v>0.87</x:v>
      </x:c>
      <x:c r="J328" s="13" t="str">
        <x:v>本港生产/腹地集散/港内加工</x:v>
      </x:c>
      <x:c r="K328" s="13" t="str">
        <x:v>每7个游戏日补充13货载单位。本地、所属岛链或相连腹地供货；成品由港内工坊加工，贸易规模是本作设计。</x:v>
      </x:c>
      <x:c r="L328" s="13" t="str">
        <x:v>港口发展度达到D5（≥1000点）；不要求武装度。</x:v>
      </x:c>
    </x:row>
    <x:row r="329" ht="42" customHeight="1">
      <x:c r="A329" s="15" t="str">
        <x:v>P036</x:v>
      </x:c>
      <x:c r="B329" s="15" t="str">
        <x:v>蓬塔德尔加达</x:v>
      </x:c>
      <x:c r="C329" s="15" t="str">
        <x:v>SP036</x:v>
      </x:c>
      <x:c r="D329" s="15" t="str">
        <x:v>雨岛海盐熟成乳酪</x:v>
      </x:c>
      <x:c r="E329" s="30" t="n">
        <x:v>3</x:v>
      </x:c>
      <x:c r="F329" s="30" t="n">
        <x:v>295</x:v>
      </x:c>
      <x:c r="G329" s="30" t="n">
        <x:v>7</x:v>
      </x:c>
      <x:c r="H329" s="30" t="n">
        <x:v>14</x:v>
      </x:c>
      <x:c r="I329" s="54" t="n">
        <x:v>0.78</x:v>
      </x:c>
      <x:c r="J329" s="15" t="str">
        <x:v>港口独占原创工坊特产</x:v>
      </x:c>
      <x:c r="K329" s="15" t="str">
        <x:v>每7个游戏日由「雨岛乳酪熟成库」交货7货载；只在本港形成稳定产源。</x:v>
      </x:c>
      <x:c r="L329" s="15" t="str">
        <x:v>港口发展度达到D3（≥450点）时，投资项目「雨岛乳酪熟成库」自动完工；不要求武装度。</x:v>
      </x:c>
    </x:row>
    <x:row r="330" ht="42" customHeight="1">
      <x:c r="A330" s="13" t="str">
        <x:v>P037</x:v>
      </x:c>
      <x:c r="B330" s="13" t="str">
        <x:v>拉斯帕尔马斯</x:v>
      </x:c>
      <x:c r="C330" s="13" t="str">
        <x:v>G023</x:v>
      </x:c>
      <x:c r="D330" s="13" t="str">
        <x:v>葡萄酒</x:v>
      </x:c>
      <x:c r="E330" s="27" t="n">
        <x:v>0</x:v>
      </x:c>
      <x:c r="F330" s="27" t="n">
        <x:v>115</x:v>
      </x:c>
      <x:c r="G330" s="27" t="n">
        <x:v>73</x:v>
      </x:c>
      <x:c r="H330" s="27" t="n">
        <x:v>219</x:v>
      </x:c>
      <x:c r="I330" s="52" t="n">
        <x:v>0.74</x:v>
      </x:c>
      <x:c r="J330" s="13" t="str">
        <x:v>本港生产/腹地集散/港内加工</x:v>
      </x:c>
      <x:c r="K330" s="13" t="str">
        <x:v>每7个游戏日补充73货载单位。本地、所属岛链或相连腹地供货；成品由港内工坊加工，贸易规模是本作设计。</x:v>
      </x:c>
      <x:c r="L330" s="13" t="str">
        <x:v>港口发展度达到D0（≥0点）；不要求武装度。</x:v>
      </x:c>
    </x:row>
    <x:row r="331" ht="42" customHeight="1">
      <x:c r="A331" s="15" t="str">
        <x:v>P037</x:v>
      </x:c>
      <x:c r="B331" s="15" t="str">
        <x:v>拉斯帕尔马斯</x:v>
      </x:c>
      <x:c r="C331" s="15" t="str">
        <x:v>G009</x:v>
      </x:c>
      <x:c r="D331" s="15" t="str">
        <x:v>盐</x:v>
      </x:c>
      <x:c r="E331" s="30" t="n">
        <x:v>0</x:v>
      </x:c>
      <x:c r="F331" s="30" t="n">
        <x:v>28</x:v>
      </x:c>
      <x:c r="G331" s="30" t="n">
        <x:v>141</x:v>
      </x:c>
      <x:c r="H331" s="30" t="n">
        <x:v>423</x:v>
      </x:c>
      <x:c r="I331" s="54" t="n">
        <x:v>0.74</x:v>
      </x:c>
      <x:c r="J331" s="15" t="str">
        <x:v>本港生产/腹地集散/港内加工</x:v>
      </x:c>
      <x:c r="K331" s="15" t="str">
        <x:v>每7个游戏日补充141货载单位。本地、所属岛链或相连腹地供货；成品由港内工坊加工，贸易规模是本作设计。</x:v>
      </x:c>
      <x:c r="L331" s="15" t="str">
        <x:v>港口发展度达到D0（≥0点）；不要求武装度。</x:v>
      </x:c>
    </x:row>
    <x:row r="332" ht="42" customHeight="1">
      <x:c r="A332" s="13" t="str">
        <x:v>P037</x:v>
      </x:c>
      <x:c r="B332" s="13" t="str">
        <x:v>拉斯帕尔马斯</x:v>
      </x:c>
      <x:c r="C332" s="13" t="str">
        <x:v>G094</x:v>
      </x:c>
      <x:c r="D332" s="13" t="str">
        <x:v>柑橘</x:v>
      </x:c>
      <x:c r="E332" s="27" t="n">
        <x:v>1</x:v>
      </x:c>
      <x:c r="F332" s="27" t="n">
        <x:v>62</x:v>
      </x:c>
      <x:c r="G332" s="27" t="n">
        <x:v>134</x:v>
      </x:c>
      <x:c r="H332" s="27" t="n">
        <x:v>402</x:v>
      </x:c>
      <x:c r="I332" s="52" t="n">
        <x:v>0.74</x:v>
      </x:c>
      <x:c r="J332" s="13" t="str">
        <x:v>本港生产/腹地集散/港内加工</x:v>
      </x:c>
      <x:c r="K332" s="13" t="str">
        <x:v>每7个游戏日补充134货载单位。本地、所属岛链或相连腹地供货；成品由港内工坊加工，贸易规模是本作设计。</x:v>
      </x:c>
      <x:c r="L332" s="13" t="str">
        <x:v>港口发展度达到D1（≥100点）；不要求武装度。</x:v>
      </x:c>
    </x:row>
    <x:row r="333" ht="42" customHeight="1">
      <x:c r="A333" s="15" t="str">
        <x:v>P037</x:v>
      </x:c>
      <x:c r="B333" s="15" t="str">
        <x:v>拉斯帕尔马斯</x:v>
      </x:c>
      <x:c r="C333" s="15" t="str">
        <x:v>G011</x:v>
      </x:c>
      <x:c r="D333" s="15" t="str">
        <x:v>砂糖</x:v>
      </x:c>
      <x:c r="E333" s="30" t="n">
        <x:v>1</x:v>
      </x:c>
      <x:c r="F333" s="30" t="n">
        <x:v>140</x:v>
      </x:c>
      <x:c r="G333" s="30" t="n">
        <x:v>134</x:v>
      </x:c>
      <x:c r="H333" s="30" t="n">
        <x:v>402</x:v>
      </x:c>
      <x:c r="I333" s="54" t="n">
        <x:v>0.74</x:v>
      </x:c>
      <x:c r="J333" s="15" t="str">
        <x:v>本港生产/腹地集散/港内加工</x:v>
      </x:c>
      <x:c r="K333" s="15" t="str">
        <x:v>每7个游戏日补充134货载单位。本地、所属岛链或相连腹地供货；成品由港内工坊加工，贸易规模是本作设计。</x:v>
      </x:c>
      <x:c r="L333" s="15" t="str">
        <x:v>港口发展度达到D1（≥100点）；不要求武装度。</x:v>
      </x:c>
    </x:row>
    <x:row r="334" ht="42" customHeight="1">
      <x:c r="A334" s="13" t="str">
        <x:v>P037</x:v>
      </x:c>
      <x:c r="B334" s="13" t="str">
        <x:v>拉斯帕尔马斯</x:v>
      </x:c>
      <x:c r="C334" s="13" t="str">
        <x:v>G012</x:v>
      </x:c>
      <x:c r="D334" s="13" t="str">
        <x:v>糖蜜</x:v>
      </x:c>
      <x:c r="E334" s="27" t="n">
        <x:v>2</x:v>
      </x:c>
      <x:c r="F334" s="27" t="n">
        <x:v>70</x:v>
      </x:c>
      <x:c r="G334" s="27" t="n">
        <x:v>120</x:v>
      </x:c>
      <x:c r="H334" s="27" t="n">
        <x:v>360</x:v>
      </x:c>
      <x:c r="I334" s="52" t="n">
        <x:v>0.8</x:v>
      </x:c>
      <x:c r="J334" s="13" t="str">
        <x:v>本港生产/腹地集散/港内加工</x:v>
      </x:c>
      <x:c r="K334" s="13" t="str">
        <x:v>每7个游戏日补充120货载单位。本地、所属岛链或相连腹地供货；成品由港内工坊加工，贸易规模是本作设计。</x:v>
      </x:c>
      <x:c r="L334" s="13" t="str">
        <x:v>港口发展度达到D2（≥250点）；不要求武装度。</x:v>
      </x:c>
    </x:row>
    <x:row r="335" ht="42" customHeight="1">
      <x:c r="A335" s="15" t="str">
        <x:v>P037</x:v>
      </x:c>
      <x:c r="B335" s="15" t="str">
        <x:v>拉斯帕尔马斯</x:v>
      </x:c>
      <x:c r="C335" s="15" t="str">
        <x:v>G065</x:v>
      </x:c>
      <x:c r="D335" s="15" t="str">
        <x:v>硫磺</x:v>
      </x:c>
      <x:c r="E335" s="30" t="n">
        <x:v>3</x:v>
      </x:c>
      <x:c r="F335" s="30" t="n">
        <x:v>140</x:v>
      </x:c>
      <x:c r="G335" s="30" t="n">
        <x:v>62</x:v>
      </x:c>
      <x:c r="H335" s="30" t="n">
        <x:v>186</x:v>
      </x:c>
      <x:c r="I335" s="54" t="n">
        <x:v>0.8</x:v>
      </x:c>
      <x:c r="J335" s="15" t="str">
        <x:v>本港生产/腹地集散/港内加工</x:v>
      </x:c>
      <x:c r="K335" s="15" t="str">
        <x:v>每7个游戏日补充62货载单位。本地、所属岛链或相连腹地供货；成品由港内工坊加工，贸易规模是本作设计。</x:v>
      </x:c>
      <x:c r="L335" s="15" t="str">
        <x:v>港口发展度达到D3（≥450点）；不要求武装度。</x:v>
      </x:c>
    </x:row>
    <x:row r="336" ht="42" customHeight="1">
      <x:c r="A336" s="13" t="str">
        <x:v>P037</x:v>
      </x:c>
      <x:c r="B336" s="13" t="str">
        <x:v>拉斯帕尔马斯</x:v>
      </x:c>
      <x:c r="C336" s="13" t="str">
        <x:v>G044</x:v>
      </x:c>
      <x:c r="D336" s="13" t="str">
        <x:v>麻布</x:v>
      </x:c>
      <x:c r="E336" s="27" t="n">
        <x:v>4</x:v>
      </x:c>
      <x:c r="F336" s="27" t="n">
        <x:v>145</x:v>
      </x:c>
      <x:c r="G336" s="27" t="n">
        <x:v>23</x:v>
      </x:c>
      <x:c r="H336" s="27" t="n">
        <x:v>69</x:v>
      </x:c>
      <x:c r="I336" s="52" t="n">
        <x:v>1.14</x:v>
      </x:c>
      <x:c r="J336" s="13" t="str">
        <x:v>进口/区域转口</x:v>
      </x:c>
      <x:c r="K336" s="13" t="str">
        <x:v>每7个游戏日补充23货载单位。由区域商队或NPC货船带入；为港口转售供货，不改变商品的原产地区。</x:v>
      </x:c>
      <x:c r="L336" s="13" t="str">
        <x:v>港口发展度达到D4（≥700点）；不要求武装度。</x:v>
      </x:c>
    </x:row>
    <x:row r="337" ht="42" customHeight="1">
      <x:c r="A337" s="15" t="str">
        <x:v>P037</x:v>
      </x:c>
      <x:c r="B337" s="15" t="str">
        <x:v>拉斯帕尔马斯</x:v>
      </x:c>
      <x:c r="C337" s="15" t="str">
        <x:v>G096</x:v>
      </x:c>
      <x:c r="D337" s="15" t="str">
        <x:v>贝壳工艺品</x:v>
      </x:c>
      <x:c r="E337" s="30" t="n">
        <x:v>5</x:v>
      </x:c>
      <x:c r="F337" s="30" t="n">
        <x:v>210</x:v>
      </x:c>
      <x:c r="G337" s="30" t="n">
        <x:v>16</x:v>
      </x:c>
      <x:c r="H337" s="30" t="n">
        <x:v>48</x:v>
      </x:c>
      <x:c r="I337" s="54" t="n">
        <x:v>0.87</x:v>
      </x:c>
      <x:c r="J337" s="15" t="str">
        <x:v>本港生产/腹地集散/港内加工</x:v>
      </x:c>
      <x:c r="K337" s="15" t="str">
        <x:v>每7个游戏日补充16货载单位。本地、所属岛链或相连腹地供货；成品由港内工坊加工，贸易规模是本作设计。</x:v>
      </x:c>
      <x:c r="L337" s="15" t="str">
        <x:v>港口发展度达到D5（≥1000点）；不要求武装度。</x:v>
      </x:c>
    </x:row>
    <x:row r="338" ht="42" customHeight="1">
      <x:c r="A338" s="13" t="str">
        <x:v>P037</x:v>
      </x:c>
      <x:c r="B338" s="13" t="str">
        <x:v>拉斯帕尔马斯</x:v>
      </x:c>
      <x:c r="C338" s="13" t="str">
        <x:v>SP037</x:v>
      </x:c>
      <x:c r="D338" s="13" t="str">
        <x:v>信风紫苔染粉</x:v>
      </x:c>
      <x:c r="E338" s="27" t="n">
        <x:v>4</x:v>
      </x:c>
      <x:c r="F338" s="27" t="n">
        <x:v>490</x:v>
      </x:c>
      <x:c r="G338" s="27" t="n">
        <x:v>6</x:v>
      </x:c>
      <x:c r="H338" s="27" t="n">
        <x:v>12</x:v>
      </x:c>
      <x:c r="I338" s="52" t="n">
        <x:v>0.78</x:v>
      </x:c>
      <x:c r="J338" s="13" t="str">
        <x:v>港口独占原创工坊特产</x:v>
      </x:c>
      <x:c r="K338" s="13" t="str">
        <x:v>每7个游戏日由「海崖紫苔染坊」交货6货载；只在本港形成稳定产源。</x:v>
      </x:c>
      <x:c r="L338" s="13" t="str">
        <x:v>港口发展度达到D4（≥700点）时，投资项目「海崖紫苔染坊」自动完工；不要求武装度。</x:v>
      </x:c>
    </x:row>
    <x:row r="339" ht="42" customHeight="1">
      <x:c r="A339" s="15" t="str">
        <x:v>P038</x:v>
      </x:c>
      <x:c r="B339" s="15" t="str">
        <x:v>阿尔金</x:v>
      </x:c>
      <x:c r="C339" s="15" t="str">
        <x:v>G009</x:v>
      </x:c>
      <x:c r="D339" s="15" t="str">
        <x:v>盐</x:v>
      </x:c>
      <x:c r="E339" s="30" t="n">
        <x:v>0</x:v>
      </x:c>
      <x:c r="F339" s="30" t="n">
        <x:v>28</x:v>
      </x:c>
      <x:c r="G339" s="30" t="n">
        <x:v>102</x:v>
      </x:c>
      <x:c r="H339" s="30" t="n">
        <x:v>306</x:v>
      </x:c>
      <x:c r="I339" s="54" t="n">
        <x:v>0.74</x:v>
      </x:c>
      <x:c r="J339" s="15" t="str">
        <x:v>本港生产/腹地集散/港内加工</x:v>
      </x:c>
      <x:c r="K339" s="15" t="str">
        <x:v>每7个游戏日补充102货载单位。本地、所属岛链或相连腹地供货；成品由港内工坊加工，贸易规模是本作设计。</x:v>
      </x:c>
      <x:c r="L339" s="15" t="str">
        <x:v>港口发展度达到D0（≥0点）；不要求武装度。</x:v>
      </x:c>
    </x:row>
    <x:row r="340" ht="42" customHeight="1">
      <x:c r="A340" s="13" t="str">
        <x:v>P038</x:v>
      </x:c>
      <x:c r="B340" s="13" t="str">
        <x:v>阿尔金</x:v>
      </x:c>
      <x:c r="C340" s="13" t="str">
        <x:v>G015</x:v>
      </x:c>
      <x:c r="D340" s="13" t="str">
        <x:v>咸鱼</x:v>
      </x:c>
      <x:c r="E340" s="27" t="n">
        <x:v>0</x:v>
      </x:c>
      <x:c r="F340" s="27" t="n">
        <x:v>65</x:v>
      </x:c>
      <x:c r="G340" s="27" t="n">
        <x:v>102</x:v>
      </x:c>
      <x:c r="H340" s="27" t="n">
        <x:v>306</x:v>
      </x:c>
      <x:c r="I340" s="52" t="n">
        <x:v>0.74</x:v>
      </x:c>
      <x:c r="J340" s="13" t="str">
        <x:v>本港生产/腹地集散/港内加工</x:v>
      </x:c>
      <x:c r="K340" s="13" t="str">
        <x:v>每7个游戏日补充102货载单位。本地、所属岛链或相连腹地供货；成品由港内工坊加工，贸易规模是本作设计。</x:v>
      </x:c>
      <x:c r="L340" s="13" t="str">
        <x:v>港口发展度达到D0（≥0点）；不要求武装度。</x:v>
      </x:c>
    </x:row>
    <x:row r="341" ht="42" customHeight="1">
      <x:c r="A341" s="15" t="str">
        <x:v>P038</x:v>
      </x:c>
      <x:c r="B341" s="15" t="str">
        <x:v>阿尔金</x:v>
      </x:c>
      <x:c r="C341" s="15" t="str">
        <x:v>G102</x:v>
      </x:c>
      <x:c r="D341" s="15" t="str">
        <x:v>椰枣</x:v>
      </x:c>
      <x:c r="E341" s="30" t="n">
        <x:v>1</x:v>
      </x:c>
      <x:c r="F341" s="30" t="n">
        <x:v>78</x:v>
      </x:c>
      <x:c r="G341" s="30" t="n">
        <x:v>50</x:v>
      </x:c>
      <x:c r="H341" s="30" t="n">
        <x:v>150</x:v>
      </x:c>
      <x:c r="I341" s="54" t="n">
        <x:v>1.08</x:v>
      </x:c>
      <x:c r="J341" s="15" t="str">
        <x:v>进口/区域转口</x:v>
      </x:c>
      <x:c r="K341" s="15" t="str">
        <x:v>每7个游戏日补充50货载单位。由区域商队或NPC货船带入；为港口转售供货，不改变商品的原产地区。</x:v>
      </x:c>
      <x:c r="L341" s="15" t="str">
        <x:v>港口发展度达到D1（≥100点）；不要求武装度。</x:v>
      </x:c>
    </x:row>
    <x:row r="342" ht="42" customHeight="1">
      <x:c r="A342" s="13" t="str">
        <x:v>P038</x:v>
      </x:c>
      <x:c r="B342" s="13" t="str">
        <x:v>阿尔金</x:v>
      </x:c>
      <x:c r="C342" s="13" t="str">
        <x:v>G089</x:v>
      </x:c>
      <x:c r="D342" s="13" t="str">
        <x:v>阿拉伯胶</x:v>
      </x:c>
      <x:c r="E342" s="27" t="n">
        <x:v>1</x:v>
      </x:c>
      <x:c r="F342" s="27" t="n">
        <x:v>160</x:v>
      </x:c>
      <x:c r="G342" s="27" t="n">
        <x:v>25</x:v>
      </x:c>
      <x:c r="H342" s="27" t="n">
        <x:v>75</x:v>
      </x:c>
      <x:c r="I342" s="52" t="n">
        <x:v>1.08</x:v>
      </x:c>
      <x:c r="J342" s="13" t="str">
        <x:v>进口/区域转口</x:v>
      </x:c>
      <x:c r="K342" s="13" t="str">
        <x:v>每7个游戏日补充25货载单位。由区域商队或NPC货船带入；为港口转售供货，不改变商品的原产地区。</x:v>
      </x:c>
      <x:c r="L342" s="13" t="str">
        <x:v>港口发展度达到D1（≥100点）；不要求武装度。</x:v>
      </x:c>
    </x:row>
    <x:row r="343" ht="42" customHeight="1">
      <x:c r="A343" s="15" t="str">
        <x:v>P038</x:v>
      </x:c>
      <x:c r="B343" s="15" t="str">
        <x:v>阿尔金</x:v>
      </x:c>
      <x:c r="C343" s="15" t="str">
        <x:v>G079</x:v>
      </x:c>
      <x:c r="D343" s="15" t="str">
        <x:v>皮革</x:v>
      </x:c>
      <x:c r="E343" s="30" t="n">
        <x:v>2</x:v>
      </x:c>
      <x:c r="F343" s="30" t="n">
        <x:v>110</x:v>
      </x:c>
      <x:c r="G343" s="30" t="n">
        <x:v>23</x:v>
      </x:c>
      <x:c r="H343" s="30" t="n">
        <x:v>69</x:v>
      </x:c>
      <x:c r="I343" s="54" t="n">
        <x:v>1.08</x:v>
      </x:c>
      <x:c r="J343" s="15" t="str">
        <x:v>进口/区域转口</x:v>
      </x:c>
      <x:c r="K343" s="15" t="str">
        <x:v>每7个游戏日补充23货载单位。由区域商队或NPC货船带入；为港口转售供货，不改变商品的原产地区。</x:v>
      </x:c>
      <x:c r="L343" s="15" t="str">
        <x:v>港口发展度达到D2（≥250点）；不要求武装度。</x:v>
      </x:c>
    </x:row>
    <x:row r="344" ht="42" customHeight="1">
      <x:c r="A344" s="13" t="str">
        <x:v>P038</x:v>
      </x:c>
      <x:c r="B344" s="13" t="str">
        <x:v>阿尔金</x:v>
      </x:c>
      <x:c r="C344" s="13" t="str">
        <x:v>G091</x:v>
      </x:c>
      <x:c r="D344" s="13" t="str">
        <x:v>鱼油</x:v>
      </x:c>
      <x:c r="E344" s="27" t="n">
        <x:v>3</x:v>
      </x:c>
      <x:c r="F344" s="27" t="n">
        <x:v>80</x:v>
      </x:c>
      <x:c r="G344" s="27" t="n">
        <x:v>37</x:v>
      </x:c>
      <x:c r="H344" s="27" t="n">
        <x:v>111</x:v>
      </x:c>
      <x:c r="I344" s="52" t="n">
        <x:v>0.8</x:v>
      </x:c>
      <x:c r="J344" s="13" t="str">
        <x:v>本港生产/腹地集散/港内加工</x:v>
      </x:c>
      <x:c r="K344" s="13" t="str">
        <x:v>每7个游戏日补充37货载单位。本地、所属岛链或相连腹地供货；成品由港内工坊加工，贸易规模是本作设计。</x:v>
      </x:c>
      <x:c r="L344" s="13" t="str">
        <x:v>港口发展度达到D3（≥450点）；不要求武装度。</x:v>
      </x:c>
    </x:row>
    <x:row r="345" ht="42" customHeight="1">
      <x:c r="A345" s="15" t="str">
        <x:v>P038</x:v>
      </x:c>
      <x:c r="B345" s="15" t="str">
        <x:v>阿尔金</x:v>
      </x:c>
      <x:c r="C345" s="15" t="str">
        <x:v>G043</x:v>
      </x:c>
      <x:c r="D345" s="15" t="str">
        <x:v>棉布</x:v>
      </x:c>
      <x:c r="E345" s="30" t="n">
        <x:v>4</x:v>
      </x:c>
      <x:c r="F345" s="30" t="n">
        <x:v>160</x:v>
      </x:c>
      <x:c r="G345" s="30" t="n">
        <x:v>16</x:v>
      </x:c>
      <x:c r="H345" s="30" t="n">
        <x:v>48</x:v>
      </x:c>
      <x:c r="I345" s="54" t="n">
        <x:v>1.14</x:v>
      </x:c>
      <x:c r="J345" s="15" t="str">
        <x:v>进口/区域转口</x:v>
      </x:c>
      <x:c r="K345" s="15" t="str">
        <x:v>每7个游戏日补充16货载单位。由区域商队或NPC货船带入；为港口转售供货，不改变商品的原产地区。</x:v>
      </x:c>
      <x:c r="L345" s="15" t="str">
        <x:v>港口发展度达到D4（≥700点）；不要求武装度。</x:v>
      </x:c>
    </x:row>
    <x:row r="346" ht="42" customHeight="1">
      <x:c r="A346" s="13" t="str">
        <x:v>P038</x:v>
      </x:c>
      <x:c r="B346" s="13" t="str">
        <x:v>阿尔金</x:v>
      </x:c>
      <x:c r="C346" s="13" t="str">
        <x:v>G096</x:v>
      </x:c>
      <x:c r="D346" s="13" t="str">
        <x:v>贝壳工艺品</x:v>
      </x:c>
      <x:c r="E346" s="27" t="n">
        <x:v>5</x:v>
      </x:c>
      <x:c r="F346" s="27" t="n">
        <x:v>210</x:v>
      </x:c>
      <x:c r="G346" s="27" t="n">
        <x:v>11</x:v>
      </x:c>
      <x:c r="H346" s="27" t="n">
        <x:v>33</x:v>
      </x:c>
      <x:c r="I346" s="52" t="n">
        <x:v>0.87</x:v>
      </x:c>
      <x:c r="J346" s="13" t="str">
        <x:v>本港生产/腹地集散/港内加工</x:v>
      </x:c>
      <x:c r="K346" s="13" t="str">
        <x:v>每7个游戏日补充11货载单位。本地、所属岛链或相连腹地供货；成品由港内工坊加工，贸易规模是本作设计。</x:v>
      </x:c>
      <x:c r="L346" s="13" t="str">
        <x:v>港口发展度达到D5（≥1000点）；不要求武装度。</x:v>
      </x:c>
    </x:row>
    <x:row r="347" ht="42" customHeight="1">
      <x:c r="A347" s="15" t="str">
        <x:v>P038</x:v>
      </x:c>
      <x:c r="B347" s="15" t="str">
        <x:v>阿尔金</x:v>
      </x:c>
      <x:c r="C347" s="15" t="str">
        <x:v>SP038</x:v>
      </x:c>
      <x:c r="D347" s="15" t="str">
        <x:v>白沙航迹贝珠串</x:v>
      </x:c>
      <x:c r="E347" s="30" t="n">
        <x:v>3</x:v>
      </x:c>
      <x:c r="F347" s="30" t="n">
        <x:v>355</x:v>
      </x:c>
      <x:c r="G347" s="30" t="n">
        <x:v>6</x:v>
      </x:c>
      <x:c r="H347" s="30" t="n">
        <x:v>12</x:v>
      </x:c>
      <x:c r="I347" s="54" t="n">
        <x:v>0.78</x:v>
      </x:c>
      <x:c r="J347" s="15" t="str">
        <x:v>港口独占原创工坊特产</x:v>
      </x:c>
      <x:c r="K347" s="15" t="str">
        <x:v>每7个游戏日由「浅滩贝珠工坊」交货6货载；只在本港形成稳定产源。</x:v>
      </x:c>
      <x:c r="L347" s="15" t="str">
        <x:v>港口发展度达到D3（≥450点）时，投资项目「浅滩贝珠工坊」自动完工；不要求武装度。</x:v>
      </x:c>
    </x:row>
    <x:row r="348" ht="42" customHeight="1">
      <x:c r="A348" s="13" t="str">
        <x:v>P039</x:v>
      </x:c>
      <x:c r="B348" s="13" t="str">
        <x:v>圣路易</x:v>
      </x:c>
      <x:c r="C348" s="13" t="str">
        <x:v>G005</x:v>
      </x:c>
      <x:c r="D348" s="13" t="str">
        <x:v>玉米</x:v>
      </x:c>
      <x:c r="E348" s="27" t="n">
        <x:v>0</x:v>
      </x:c>
      <x:c r="F348" s="27" t="n">
        <x:v>42</x:v>
      </x:c>
      <x:c r="G348" s="27" t="n">
        <x:v>81</x:v>
      </x:c>
      <x:c r="H348" s="27" t="n">
        <x:v>243</x:v>
      </x:c>
      <x:c r="I348" s="52" t="n">
        <x:v>1.08</x:v>
      </x:c>
      <x:c r="J348" s="13" t="str">
        <x:v>进口/区域转口</x:v>
      </x:c>
      <x:c r="K348" s="13" t="str">
        <x:v>每7个游戏日补充81货载单位。由区域商队或NPC货船带入；为港口转售供货，不改变商品的原产地区。</x:v>
      </x:c>
      <x:c r="L348" s="13" t="str">
        <x:v>港口发展度达到D0（≥0点）；不要求武装度。</x:v>
      </x:c>
    </x:row>
    <x:row r="349" ht="42" customHeight="1">
      <x:c r="A349" s="15" t="str">
        <x:v>P039</x:v>
      </x:c>
      <x:c r="B349" s="15" t="str">
        <x:v>圣路易</x:v>
      </x:c>
      <x:c r="C349" s="15" t="str">
        <x:v>G015</x:v>
      </x:c>
      <x:c r="D349" s="15" t="str">
        <x:v>咸鱼</x:v>
      </x:c>
      <x:c r="E349" s="30" t="n">
        <x:v>0</x:v>
      </x:c>
      <x:c r="F349" s="30" t="n">
        <x:v>65</x:v>
      </x:c>
      <x:c r="G349" s="30" t="n">
        <x:v>122</x:v>
      </x:c>
      <x:c r="H349" s="30" t="n">
        <x:v>366</x:v>
      </x:c>
      <x:c r="I349" s="54" t="n">
        <x:v>0.74</x:v>
      </x:c>
      <x:c r="J349" s="15" t="str">
        <x:v>本港生产/腹地集散/港内加工</x:v>
      </x:c>
      <x:c r="K349" s="15" t="str">
        <x:v>每7个游戏日补充122货载单位。本地、所属岛链或相连腹地供货；成品由港内工坊加工，贸易规模是本作设计。</x:v>
      </x:c>
      <x:c r="L349" s="15" t="str">
        <x:v>港口发展度达到D0（≥0点）；不要求武装度。</x:v>
      </x:c>
    </x:row>
    <x:row r="350" ht="42" customHeight="1">
      <x:c r="A350" s="13" t="str">
        <x:v>P039</x:v>
      </x:c>
      <x:c r="B350" s="13" t="str">
        <x:v>圣路易</x:v>
      </x:c>
      <x:c r="C350" s="13" t="str">
        <x:v>G089</x:v>
      </x:c>
      <x:c r="D350" s="13" t="str">
        <x:v>阿拉伯胶</x:v>
      </x:c>
      <x:c r="E350" s="27" t="n">
        <x:v>1</x:v>
      </x:c>
      <x:c r="F350" s="27" t="n">
        <x:v>160</x:v>
      </x:c>
      <x:c r="G350" s="27" t="n">
        <x:v>58</x:v>
      </x:c>
      <x:c r="H350" s="27" t="n">
        <x:v>174</x:v>
      </x:c>
      <x:c r="I350" s="52" t="n">
        <x:v>0.74</x:v>
      </x:c>
      <x:c r="J350" s="13" t="str">
        <x:v>本港生产/腹地集散/港内加工</x:v>
      </x:c>
      <x:c r="K350" s="13" t="str">
        <x:v>每7个游戏日补充58货载单位。本地、所属岛链或相连腹地供货；成品由港内工坊加工，贸易规模是本作设计。</x:v>
      </x:c>
      <x:c r="L350" s="13" t="str">
        <x:v>港口发展度达到D1（≥100点）；不要求武装度。</x:v>
      </x:c>
    </x:row>
    <x:row r="351" ht="42" customHeight="1">
      <x:c r="A351" s="15" t="str">
        <x:v>P039</x:v>
      </x:c>
      <x:c r="B351" s="15" t="str">
        <x:v>圣路易</x:v>
      </x:c>
      <x:c r="C351" s="15" t="str">
        <x:v>G079</x:v>
      </x:c>
      <x:c r="D351" s="15" t="str">
        <x:v>皮革</x:v>
      </x:c>
      <x:c r="E351" s="30" t="n">
        <x:v>1</x:v>
      </x:c>
      <x:c r="F351" s="30" t="n">
        <x:v>110</x:v>
      </x:c>
      <x:c r="G351" s="30" t="n">
        <x:v>58</x:v>
      </x:c>
      <x:c r="H351" s="30" t="n">
        <x:v>174</x:v>
      </x:c>
      <x:c r="I351" s="54" t="n">
        <x:v>0.74</x:v>
      </x:c>
      <x:c r="J351" s="15" t="str">
        <x:v>本港生产/腹地集散/港内加工</x:v>
      </x:c>
      <x:c r="K351" s="15" t="str">
        <x:v>每7个游戏日补充58货载单位。本地、所属岛链或相连腹地供货；成品由港内工坊加工，贸易规模是本作设计。</x:v>
      </x:c>
      <x:c r="L351" s="15" t="str">
        <x:v>港口发展度达到D1（≥100点）；不要求武装度。</x:v>
      </x:c>
    </x:row>
    <x:row r="352" ht="42" customHeight="1">
      <x:c r="A352" s="13" t="str">
        <x:v>P039</x:v>
      </x:c>
      <x:c r="B352" s="13" t="str">
        <x:v>圣路易</x:v>
      </x:c>
      <x:c r="C352" s="13" t="str">
        <x:v>G038</x:v>
      </x:c>
      <x:c r="D352" s="13" t="str">
        <x:v>原棉</x:v>
      </x:c>
      <x:c r="E352" s="27" t="n">
        <x:v>2</x:v>
      </x:c>
      <x:c r="F352" s="27" t="n">
        <x:v>95</x:v>
      </x:c>
      <x:c r="G352" s="27" t="n">
        <x:v>89</x:v>
      </x:c>
      <x:c r="H352" s="27" t="n">
        <x:v>267</x:v>
      </x:c>
      <x:c r="I352" s="52" t="n">
        <x:v>0.8</x:v>
      </x:c>
      <x:c r="J352" s="13" t="str">
        <x:v>本港生产/腹地集散/港内加工</x:v>
      </x:c>
      <x:c r="K352" s="13" t="str">
        <x:v>每7个游戏日补充89货载单位。本地、所属岛链或相连腹地供货；成品由港内工坊加工，贸易规模是本作设计。</x:v>
      </x:c>
      <x:c r="L352" s="13" t="str">
        <x:v>港口发展度达到D2（≥250点）；不要求武装度。</x:v>
      </x:c>
    </x:row>
    <x:row r="353" ht="42" customHeight="1">
      <x:c r="A353" s="15" t="str">
        <x:v>P039</x:v>
      </x:c>
      <x:c r="B353" s="15" t="str">
        <x:v>圣路易</x:v>
      </x:c>
      <x:c r="C353" s="15" t="str">
        <x:v>G049</x:v>
      </x:c>
      <x:c r="D353" s="15" t="str">
        <x:v>靛蓝</x:v>
      </x:c>
      <x:c r="E353" s="30" t="n">
        <x:v>3</x:v>
      </x:c>
      <x:c r="F353" s="30" t="n">
        <x:v>280</x:v>
      </x:c>
      <x:c r="G353" s="30" t="n">
        <x:v>20</x:v>
      </x:c>
      <x:c r="H353" s="30" t="n">
        <x:v>60</x:v>
      </x:c>
      <x:c r="I353" s="54" t="n">
        <x:v>0.8</x:v>
      </x:c>
      <x:c r="J353" s="15" t="str">
        <x:v>本港生产/腹地集散/港内加工</x:v>
      </x:c>
      <x:c r="K353" s="15" t="str">
        <x:v>每7个游戏日补充20货载单位。本地、所属岛链或相连腹地供货；成品由港内工坊加工，贸易规模是本作设计。</x:v>
      </x:c>
      <x:c r="L353" s="15" t="str">
        <x:v>港口发展度达到D3（≥450点）；不要求武装度。</x:v>
      </x:c>
    </x:row>
    <x:row r="354" ht="42" customHeight="1">
      <x:c r="A354" s="13" t="str">
        <x:v>P039</x:v>
      </x:c>
      <x:c r="B354" s="13" t="str">
        <x:v>圣路易</x:v>
      </x:c>
      <x:c r="C354" s="13" t="str">
        <x:v>G043</x:v>
      </x:c>
      <x:c r="D354" s="13" t="str">
        <x:v>棉布</x:v>
      </x:c>
      <x:c r="E354" s="27" t="n">
        <x:v>4</x:v>
      </x:c>
      <x:c r="F354" s="27" t="n">
        <x:v>160</x:v>
      </x:c>
      <x:c r="G354" s="27" t="n">
        <x:v>38</x:v>
      </x:c>
      <x:c r="H354" s="27" t="n">
        <x:v>114</x:v>
      </x:c>
      <x:c r="I354" s="52" t="n">
        <x:v>0.87</x:v>
      </x:c>
      <x:c r="J354" s="13" t="str">
        <x:v>本港生产/腹地集散/港内加工</x:v>
      </x:c>
      <x:c r="K354" s="13" t="str">
        <x:v>每7个游戏日补充38货载单位。本地、所属岛链或相连腹地供货；成品由港内工坊加工，贸易规模是本作设计。</x:v>
      </x:c>
      <x:c r="L354" s="13" t="str">
        <x:v>港口发展度达到D4（≥700点）；不要求武装度。</x:v>
      </x:c>
    </x:row>
    <x:row r="355" ht="42" customHeight="1">
      <x:c r="A355" s="15" t="str">
        <x:v>P039</x:v>
      </x:c>
      <x:c r="B355" s="15" t="str">
        <x:v>圣路易</x:v>
      </x:c>
      <x:c r="C355" s="15" t="str">
        <x:v>G096</x:v>
      </x:c>
      <x:c r="D355" s="15" t="str">
        <x:v>贝壳工艺品</x:v>
      </x:c>
      <x:c r="E355" s="30" t="n">
        <x:v>5</x:v>
      </x:c>
      <x:c r="F355" s="30" t="n">
        <x:v>210</x:v>
      </x:c>
      <x:c r="G355" s="30" t="n">
        <x:v>14</x:v>
      </x:c>
      <x:c r="H355" s="30" t="n">
        <x:v>42</x:v>
      </x:c>
      <x:c r="I355" s="54" t="n">
        <x:v>0.87</x:v>
      </x:c>
      <x:c r="J355" s="15" t="str">
        <x:v>本港生产/腹地集散/港内加工</x:v>
      </x:c>
      <x:c r="K355" s="15" t="str">
        <x:v>每7个游戏日补充14货载单位。本地、所属岛链或相连腹地供货；成品由港内工坊加工，贸易规模是本作设计。</x:v>
      </x:c>
      <x:c r="L355" s="15" t="str">
        <x:v>港口发展度达到D5（≥1000点）；不要求武装度。</x:v>
      </x:c>
    </x:row>
    <x:row r="356" ht="42" customHeight="1">
      <x:c r="A356" s="13" t="str">
        <x:v>P039</x:v>
      </x:c>
      <x:c r="B356" s="13" t="str">
        <x:v>圣路易</x:v>
      </x:c>
      <x:c r="C356" s="13" t="str">
        <x:v>SP039</x:v>
      </x:c>
      <x:c r="D356" s="13" t="str">
        <x:v>金河阿拉伯胶画彩</x:v>
      </x:c>
      <x:c r="E356" s="27" t="n">
        <x:v>3</x:v>
      </x:c>
      <x:c r="F356" s="27" t="n">
        <x:v>465</x:v>
      </x:c>
      <x:c r="G356" s="27" t="n">
        <x:v>7</x:v>
      </x:c>
      <x:c r="H356" s="27" t="n">
        <x:v>14</x:v>
      </x:c>
      <x:c r="I356" s="52" t="n">
        <x:v>0.78</x:v>
      </x:c>
      <x:c r="J356" s="13" t="str">
        <x:v>港口独占原创工坊特产</x:v>
      </x:c>
      <x:c r="K356" s="13" t="str">
        <x:v>每7个游戏日由「金河胶彩精制作坊」交货7货载；只在本港形成稳定产源。</x:v>
      </x:c>
      <x:c r="L356" s="13" t="str">
        <x:v>港口发展度达到D3（≥450点）时，投资项目「金河胶彩精制作坊」自动完工；不要求武装度。</x:v>
      </x:c>
    </x:row>
    <x:row r="357" ht="42" customHeight="1">
      <x:c r="A357" s="15" t="str">
        <x:v>P040</x:v>
      </x:c>
      <x:c r="B357" s="15" t="str">
        <x:v>里贝拉格兰德</x:v>
      </x:c>
      <x:c r="C357" s="15" t="str">
        <x:v>G009</x:v>
      </x:c>
      <x:c r="D357" s="15" t="str">
        <x:v>盐</x:v>
      </x:c>
      <x:c r="E357" s="30" t="n">
        <x:v>0</x:v>
      </x:c>
      <x:c r="F357" s="30" t="n">
        <x:v>28</x:v>
      </x:c>
      <x:c r="G357" s="30" t="n">
        <x:v>127</x:v>
      </x:c>
      <x:c r="H357" s="30" t="n">
        <x:v>381</x:v>
      </x:c>
      <x:c r="I357" s="54" t="n">
        <x:v>0.74</x:v>
      </x:c>
      <x:c r="J357" s="15" t="str">
        <x:v>本港生产/腹地集散/港内加工</x:v>
      </x:c>
      <x:c r="K357" s="15" t="str">
        <x:v>每7个游戏日补充127货载单位。本地、所属岛链或相连腹地供货；成品由港内工坊加工，贸易规模是本作设计。</x:v>
      </x:c>
      <x:c r="L357" s="15" t="str">
        <x:v>港口发展度达到D0（≥0点）；不要求武装度。</x:v>
      </x:c>
    </x:row>
    <x:row r="358" ht="42" customHeight="1">
      <x:c r="A358" s="13" t="str">
        <x:v>P040</x:v>
      </x:c>
      <x:c r="B358" s="13" t="str">
        <x:v>里贝拉格兰德</x:v>
      </x:c>
      <x:c r="C358" s="13" t="str">
        <x:v>G015</x:v>
      </x:c>
      <x:c r="D358" s="13" t="str">
        <x:v>咸鱼</x:v>
      </x:c>
      <x:c r="E358" s="27" t="n">
        <x:v>0</x:v>
      </x:c>
      <x:c r="F358" s="27" t="n">
        <x:v>65</x:v>
      </x:c>
      <x:c r="G358" s="27" t="n">
        <x:v>127</x:v>
      </x:c>
      <x:c r="H358" s="27" t="n">
        <x:v>381</x:v>
      </x:c>
      <x:c r="I358" s="52" t="n">
        <x:v>0.74</x:v>
      </x:c>
      <x:c r="J358" s="13" t="str">
        <x:v>本港生产/腹地集散/港内加工</x:v>
      </x:c>
      <x:c r="K358" s="13" t="str">
        <x:v>每7个游戏日补充127货载单位。本地、所属岛链或相连腹地供货；成品由港内工坊加工，贸易规模是本作设计。</x:v>
      </x:c>
      <x:c r="L358" s="13" t="str">
        <x:v>港口发展度达到D0（≥0点）；不要求武装度。</x:v>
      </x:c>
    </x:row>
    <x:row r="359" ht="42" customHeight="1">
      <x:c r="A359" s="15" t="str">
        <x:v>P040</x:v>
      </x:c>
      <x:c r="B359" s="15" t="str">
        <x:v>里贝拉格兰德</x:v>
      </x:c>
      <x:c r="C359" s="15" t="str">
        <x:v>G005</x:v>
      </x:c>
      <x:c r="D359" s="15" t="str">
        <x:v>玉米</x:v>
      </x:c>
      <x:c r="E359" s="30" t="n">
        <x:v>1</x:v>
      </x:c>
      <x:c r="F359" s="30" t="n">
        <x:v>42</x:v>
      </x:c>
      <x:c r="G359" s="30" t="n">
        <x:v>156</x:v>
      </x:c>
      <x:c r="H359" s="30" t="n">
        <x:v>468</x:v>
      </x:c>
      <x:c r="I359" s="54" t="n">
        <x:v>0.74</x:v>
      </x:c>
      <x:c r="J359" s="15" t="str">
        <x:v>本港生产/腹地集散/港内加工</x:v>
      </x:c>
      <x:c r="K359" s="15" t="str">
        <x:v>每7个游戏日补充156货载单位。本地、所属岛链或相连腹地供货；成品由港内工坊加工，贸易规模是本作设计。</x:v>
      </x:c>
      <x:c r="L359" s="15" t="str">
        <x:v>港口发展度达到D1（≥100点）；不要求武装度。</x:v>
      </x:c>
    </x:row>
    <x:row r="360" ht="42" customHeight="1">
      <x:c r="A360" s="13" t="str">
        <x:v>P040</x:v>
      </x:c>
      <x:c r="B360" s="13" t="str">
        <x:v>里贝拉格兰德</x:v>
      </x:c>
      <x:c r="C360" s="13" t="str">
        <x:v>G011</x:v>
      </x:c>
      <x:c r="D360" s="13" t="str">
        <x:v>砂糖</x:v>
      </x:c>
      <x:c r="E360" s="27" t="n">
        <x:v>1</x:v>
      </x:c>
      <x:c r="F360" s="27" t="n">
        <x:v>140</x:v>
      </x:c>
      <x:c r="G360" s="27" t="n">
        <x:v>121</x:v>
      </x:c>
      <x:c r="H360" s="27" t="n">
        <x:v>363</x:v>
      </x:c>
      <x:c r="I360" s="52" t="n">
        <x:v>0.74</x:v>
      </x:c>
      <x:c r="J360" s="13" t="str">
        <x:v>本港生产/腹地集散/港内加工</x:v>
      </x:c>
      <x:c r="K360" s="13" t="str">
        <x:v>每7个游戏日补充121货载单位。本地、所属岛链或相连腹地供货；成品由港内工坊加工，贸易规模是本作设计。</x:v>
      </x:c>
      <x:c r="L360" s="13" t="str">
        <x:v>港口发展度达到D1（≥100点）；不要求武装度。</x:v>
      </x:c>
    </x:row>
    <x:row r="361" ht="42" customHeight="1">
      <x:c r="A361" s="15" t="str">
        <x:v>P040</x:v>
      </x:c>
      <x:c r="B361" s="15" t="str">
        <x:v>里贝拉格兰德</x:v>
      </x:c>
      <x:c r="C361" s="15" t="str">
        <x:v>G038</x:v>
      </x:c>
      <x:c r="D361" s="15" t="str">
        <x:v>原棉</x:v>
      </x:c>
      <x:c r="E361" s="30" t="n">
        <x:v>2</x:v>
      </x:c>
      <x:c r="F361" s="30" t="n">
        <x:v>95</x:v>
      </x:c>
      <x:c r="G361" s="30" t="n">
        <x:v>93</x:v>
      </x:c>
      <x:c r="H361" s="30" t="n">
        <x:v>279</x:v>
      </x:c>
      <x:c r="I361" s="54" t="n">
        <x:v>0.8</x:v>
      </x:c>
      <x:c r="J361" s="15" t="str">
        <x:v>本港生产/腹地集散/港内加工</x:v>
      </x:c>
      <x:c r="K361" s="15" t="str">
        <x:v>每7个游戏日补充93货载单位。本地、所属岛链或相连腹地供货；成品由港内工坊加工，贸易规模是本作设计。</x:v>
      </x:c>
      <x:c r="L361" s="15" t="str">
        <x:v>港口发展度达到D2（≥250点）；不要求武装度。</x:v>
      </x:c>
    </x:row>
    <x:row r="362" ht="42" customHeight="1">
      <x:c r="A362" s="13" t="str">
        <x:v>P040</x:v>
      </x:c>
      <x:c r="B362" s="13" t="str">
        <x:v>里贝拉格兰德</x:v>
      </x:c>
      <x:c r="C362" s="13" t="str">
        <x:v>G043</x:v>
      </x:c>
      <x:c r="D362" s="13" t="str">
        <x:v>棉布</x:v>
      </x:c>
      <x:c r="E362" s="27" t="n">
        <x:v>3</x:v>
      </x:c>
      <x:c r="F362" s="27" t="n">
        <x:v>160</x:v>
      </x:c>
      <x:c r="G362" s="27" t="n">
        <x:v>46</x:v>
      </x:c>
      <x:c r="H362" s="27" t="n">
        <x:v>138</x:v>
      </x:c>
      <x:c r="I362" s="52" t="n">
        <x:v>0.8</x:v>
      </x:c>
      <x:c r="J362" s="13" t="str">
        <x:v>本港生产/腹地集散/港内加工</x:v>
      </x:c>
      <x:c r="K362" s="13" t="str">
        <x:v>每7个游戏日补充46货载单位。本地、所属岛链或相连腹地供货；成品由港内工坊加工，贸易规模是本作设计。</x:v>
      </x:c>
      <x:c r="L362" s="13" t="str">
        <x:v>港口发展度达到D3（≥450点）；不要求武装度。</x:v>
      </x:c>
    </x:row>
    <x:row r="363" ht="42" customHeight="1">
      <x:c r="A363" s="15" t="str">
        <x:v>P040</x:v>
      </x:c>
      <x:c r="B363" s="15" t="str">
        <x:v>里贝拉格兰德</x:v>
      </x:c>
      <x:c r="C363" s="15" t="str">
        <x:v>G025</x:v>
      </x:c>
      <x:c r="D363" s="15" t="str">
        <x:v>朗姆酒</x:v>
      </x:c>
      <x:c r="E363" s="30" t="n">
        <x:v>4</x:v>
      </x:c>
      <x:c r="F363" s="30" t="n">
        <x:v>155</x:v>
      </x:c>
      <x:c r="G363" s="30" t="n">
        <x:v>41</x:v>
      </x:c>
      <x:c r="H363" s="30" t="n">
        <x:v>123</x:v>
      </x:c>
      <x:c r="I363" s="54" t="n">
        <x:v>0.87</x:v>
      </x:c>
      <x:c r="J363" s="15" t="str">
        <x:v>本港生产/腹地集散/港内加工</x:v>
      </x:c>
      <x:c r="K363" s="15" t="str">
        <x:v>每7个游戏日补充41货载单位。本地、所属岛链或相连腹地供货；成品由港内工坊加工，贸易规模是本作设计。</x:v>
      </x:c>
      <x:c r="L363" s="15" t="str">
        <x:v>港口发展度达到D4（≥700点）；不要求武装度。</x:v>
      </x:c>
    </x:row>
    <x:row r="364" ht="42" customHeight="1">
      <x:c r="A364" s="13" t="str">
        <x:v>P040</x:v>
      </x:c>
      <x:c r="B364" s="13" t="str">
        <x:v>里贝拉格兰德</x:v>
      </x:c>
      <x:c r="C364" s="13" t="str">
        <x:v>G096</x:v>
      </x:c>
      <x:c r="D364" s="13" t="str">
        <x:v>贝壳工艺品</x:v>
      </x:c>
      <x:c r="E364" s="27" t="n">
        <x:v>5</x:v>
      </x:c>
      <x:c r="F364" s="27" t="n">
        <x:v>210</x:v>
      </x:c>
      <x:c r="G364" s="27" t="n">
        <x:v>14</x:v>
      </x:c>
      <x:c r="H364" s="27" t="n">
        <x:v>42</x:v>
      </x:c>
      <x:c r="I364" s="52" t="n">
        <x:v>0.87</x:v>
      </x:c>
      <x:c r="J364" s="13" t="str">
        <x:v>本港生产/腹地集散/港内加工</x:v>
      </x:c>
      <x:c r="K364" s="13" t="str">
        <x:v>每7个游戏日补充14货载单位。本地、所属岛链或相连腹地供货；成品由港内工坊加工，贸易规模是本作设计。</x:v>
      </x:c>
      <x:c r="L364" s="13" t="str">
        <x:v>港口发展度达到D5（≥1000点）；不要求武装度。</x:v>
      </x:c>
    </x:row>
    <x:row r="365" ht="42" customHeight="1">
      <x:c r="A365" s="15" t="str">
        <x:v>P040</x:v>
      </x:c>
      <x:c r="B365" s="15" t="str">
        <x:v>里贝拉格兰德</x:v>
      </x:c>
      <x:c r="C365" s="15" t="str">
        <x:v>SP040</x:v>
      </x:c>
      <x:c r="D365" s="15" t="str">
        <x:v>火山谷双影棉披布</x:v>
      </x:c>
      <x:c r="E365" s="30" t="n">
        <x:v>3</x:v>
      </x:c>
      <x:c r="F365" s="30" t="n">
        <x:v>420</x:v>
      </x:c>
      <x:c r="G365" s="30" t="n">
        <x:v>8</x:v>
      </x:c>
      <x:c r="H365" s="30" t="n">
        <x:v>16</x:v>
      </x:c>
      <x:c r="I365" s="54" t="n">
        <x:v>0.78</x:v>
      </x:c>
      <x:c r="J365" s="15" t="str">
        <x:v>港口独占原创工坊特产</x:v>
      </x:c>
      <x:c r="K365" s="15" t="str">
        <x:v>每7个游戏日由「峡谷手织合作坊」交货8货载；只在本港形成稳定产源。</x:v>
      </x:c>
      <x:c r="L365" s="15" t="str">
        <x:v>港口发展度达到D3（≥450点）时，投资项目「峡谷手织合作坊」自动完工；不要求武装度。</x:v>
      </x:c>
    </x:row>
    <x:row r="366" ht="42" customHeight="1">
      <x:c r="A366" s="13" t="str">
        <x:v>P041</x:v>
      </x:c>
      <x:c r="B366" s="13" t="str">
        <x:v>埃尔米纳</x:v>
      </x:c>
      <x:c r="C366" s="13" t="str">
        <x:v>G015</x:v>
      </x:c>
      <x:c r="D366" s="13" t="str">
        <x:v>咸鱼</x:v>
      </x:c>
      <x:c r="E366" s="27" t="n">
        <x:v>0</x:v>
      </x:c>
      <x:c r="F366" s="27" t="n">
        <x:v>65</x:v>
      </x:c>
      <x:c r="G366" s="27" t="n">
        <x:v>141</x:v>
      </x:c>
      <x:c r="H366" s="27" t="n">
        <x:v>423</x:v>
      </x:c>
      <x:c r="I366" s="52" t="n">
        <x:v>0.74</x:v>
      </x:c>
      <x:c r="J366" s="13" t="str">
        <x:v>本港生产/腹地集散/港内加工</x:v>
      </x:c>
      <x:c r="K366" s="13" t="str">
        <x:v>每7个游戏日补充141货载单位。本地、所属岛链或相连腹地供货；成品由港内工坊加工，贸易规模是本作设计。</x:v>
      </x:c>
      <x:c r="L366" s="13" t="str">
        <x:v>港口发展度达到D0（≥0点）；不要求武装度。</x:v>
      </x:c>
    </x:row>
    <x:row r="367" ht="42" customHeight="1">
      <x:c r="A367" s="15" t="str">
        <x:v>P041</x:v>
      </x:c>
      <x:c r="B367" s="15" t="str">
        <x:v>埃尔米纳</x:v>
      </x:c>
      <x:c r="C367" s="15" t="str">
        <x:v>G009</x:v>
      </x:c>
      <x:c r="D367" s="15" t="str">
        <x:v>盐</x:v>
      </x:c>
      <x:c r="E367" s="30" t="n">
        <x:v>0</x:v>
      </x:c>
      <x:c r="F367" s="30" t="n">
        <x:v>28</x:v>
      </x:c>
      <x:c r="G367" s="30" t="n">
        <x:v>141</x:v>
      </x:c>
      <x:c r="H367" s="30" t="n">
        <x:v>423</x:v>
      </x:c>
      <x:c r="I367" s="54" t="n">
        <x:v>0.74</x:v>
      </x:c>
      <x:c r="J367" s="15" t="str">
        <x:v>本港生产/腹地集散/港内加工</x:v>
      </x:c>
      <x:c r="K367" s="15" t="str">
        <x:v>每7个游戏日补充141货载单位。本地、所属岛链或相连腹地供货；成品由港内工坊加工，贸易规模是本作设计。</x:v>
      </x:c>
      <x:c r="L367" s="15" t="str">
        <x:v>港口发展度达到D0（≥0点）；不要求武装度。</x:v>
      </x:c>
    </x:row>
    <x:row r="368" ht="42" customHeight="1">
      <x:c r="A368" s="13" t="str">
        <x:v>P041</x:v>
      </x:c>
      <x:c r="B368" s="13" t="str">
        <x:v>埃尔米纳</x:v>
      </x:c>
      <x:c r="C368" s="13" t="str">
        <x:v>G079</x:v>
      </x:c>
      <x:c r="D368" s="13" t="str">
        <x:v>皮革</x:v>
      </x:c>
      <x:c r="E368" s="27" t="n">
        <x:v>1</x:v>
      </x:c>
      <x:c r="F368" s="27" t="n">
        <x:v>110</x:v>
      </x:c>
      <x:c r="G368" s="27" t="n">
        <x:v>67</x:v>
      </x:c>
      <x:c r="H368" s="27" t="n">
        <x:v>201</x:v>
      </x:c>
      <x:c r="I368" s="52" t="n">
        <x:v>0.74</x:v>
      </x:c>
      <x:c r="J368" s="13" t="str">
        <x:v>本港生产/腹地集散/港内加工</x:v>
      </x:c>
      <x:c r="K368" s="13" t="str">
        <x:v>每7个游戏日补充67货载单位。本地、所属岛链或相连腹地供货；成品由港内工坊加工，贸易规模是本作设计。</x:v>
      </x:c>
      <x:c r="L368" s="13" t="str">
        <x:v>港口发展度达到D1（≥100点）；不要求武装度。</x:v>
      </x:c>
    </x:row>
    <x:row r="369" ht="42" customHeight="1">
      <x:c r="A369" s="15" t="str">
        <x:v>P041</x:v>
      </x:c>
      <x:c r="B369" s="15" t="str">
        <x:v>埃尔米纳</x:v>
      </x:c>
      <x:c r="C369" s="15" t="str">
        <x:v>G088</x:v>
      </x:c>
      <x:c r="D369" s="15" t="str">
        <x:v>蜂蜡</x:v>
      </x:c>
      <x:c r="E369" s="30" t="n">
        <x:v>1</x:v>
      </x:c>
      <x:c r="F369" s="30" t="n">
        <x:v>110</x:v>
      </x:c>
      <x:c r="G369" s="30" t="n">
        <x:v>67</x:v>
      </x:c>
      <x:c r="H369" s="30" t="n">
        <x:v>201</x:v>
      </x:c>
      <x:c r="I369" s="54" t="n">
        <x:v>0.74</x:v>
      </x:c>
      <x:c r="J369" s="15" t="str">
        <x:v>本港生产/腹地集散/港内加工</x:v>
      </x:c>
      <x:c r="K369" s="15" t="str">
        <x:v>每7个游戏日补充67货载单位。本地、所属岛链或相连腹地供货；成品由港内工坊加工，贸易规模是本作设计。</x:v>
      </x:c>
      <x:c r="L369" s="15" t="str">
        <x:v>港口发展度达到D1（≥100点）；不要求武装度。</x:v>
      </x:c>
    </x:row>
    <x:row r="370" ht="42" customHeight="1">
      <x:c r="A370" s="13" t="str">
        <x:v>P041</x:v>
      </x:c>
      <x:c r="B370" s="13" t="str">
        <x:v>埃尔米纳</x:v>
      </x:c>
      <x:c r="C370" s="13" t="str">
        <x:v>G063</x:v>
      </x:c>
      <x:c r="D370" s="13" t="str">
        <x:v>黄金</x:v>
      </x:c>
      <x:c r="E370" s="27" t="n">
        <x:v>2</x:v>
      </x:c>
      <x:c r="F370" s="27" t="n">
        <x:v>2400</x:v>
      </x:c>
      <x:c r="G370" s="27" t="n">
        <x:v>12</x:v>
      </x:c>
      <x:c r="H370" s="27" t="n">
        <x:v>36</x:v>
      </x:c>
      <x:c r="I370" s="52" t="n">
        <x:v>0.8</x:v>
      </x:c>
      <x:c r="J370" s="13" t="str">
        <x:v>本港生产/腹地集散/港内加工</x:v>
      </x:c>
      <x:c r="K370" s="13" t="str">
        <x:v>每7个游戏日补充12货载单位。本地、所属岛链或相连腹地供货；成品由港内工坊加工，贸易规模是本作设计。</x:v>
      </x:c>
      <x:c r="L370" s="13" t="str">
        <x:v>港口发展度达到D2（≥250点）；不要求武装度。</x:v>
      </x:c>
    </x:row>
    <x:row r="371" ht="42" customHeight="1">
      <x:c r="A371" s="15" t="str">
        <x:v>P041</x:v>
      </x:c>
      <x:c r="B371" s="15" t="str">
        <x:v>埃尔米纳</x:v>
      </x:c>
      <x:c r="C371" s="15" t="str">
        <x:v>G082</x:v>
      </x:c>
      <x:c r="D371" s="15" t="str">
        <x:v>象牙</x:v>
      </x:c>
      <x:c r="E371" s="30" t="n">
        <x:v>3</x:v>
      </x:c>
      <x:c r="F371" s="30" t="n">
        <x:v>450</x:v>
      </x:c>
      <x:c r="G371" s="30" t="n">
        <x:v>22</x:v>
      </x:c>
      <x:c r="H371" s="30" t="n">
        <x:v>66</x:v>
      </x:c>
      <x:c r="I371" s="54" t="n">
        <x:v>0.8</x:v>
      </x:c>
      <x:c r="J371" s="15" t="str">
        <x:v>本港生产/腹地集散/港内加工</x:v>
      </x:c>
      <x:c r="K371" s="15" t="str">
        <x:v>每7个游戏日补充22货载单位。本地、所属岛链或相连腹地供货；成品由港内工坊加工，贸易规模是本作设计。</x:v>
      </x:c>
      <x:c r="L371" s="15" t="str">
        <x:v>港口发展度达到D3（≥450点）；不要求武装度。</x:v>
      </x:c>
    </x:row>
    <x:row r="372" ht="42" customHeight="1">
      <x:c r="A372" s="13" t="str">
        <x:v>P041</x:v>
      </x:c>
      <x:c r="B372" s="13" t="str">
        <x:v>埃尔米纳</x:v>
      </x:c>
      <x:c r="C372" s="13" t="str">
        <x:v>G043</x:v>
      </x:c>
      <x:c r="D372" s="13" t="str">
        <x:v>棉布</x:v>
      </x:c>
      <x:c r="E372" s="27" t="n">
        <x:v>4</x:v>
      </x:c>
      <x:c r="F372" s="27" t="n">
        <x:v>160</x:v>
      </x:c>
      <x:c r="G372" s="27" t="n">
        <x:v>23</x:v>
      </x:c>
      <x:c r="H372" s="27" t="n">
        <x:v>69</x:v>
      </x:c>
      <x:c r="I372" s="52" t="n">
        <x:v>1.14</x:v>
      </x:c>
      <x:c r="J372" s="13" t="str">
        <x:v>进口/区域转口</x:v>
      </x:c>
      <x:c r="K372" s="13" t="str">
        <x:v>每7个游戏日补充23货载单位。由区域商队或NPC货船带入；为港口转售供货，不改变商品的原产地区。</x:v>
      </x:c>
      <x:c r="L372" s="13" t="str">
        <x:v>港口发展度达到D4（≥700点）；不要求武装度。</x:v>
      </x:c>
    </x:row>
    <x:row r="373" ht="42" customHeight="1">
      <x:c r="A373" s="15" t="str">
        <x:v>P041</x:v>
      </x:c>
      <x:c r="B373" s="15" t="str">
        <x:v>埃尔米纳</x:v>
      </x:c>
      <x:c r="C373" s="15" t="str">
        <x:v>G073</x:v>
      </x:c>
      <x:c r="D373" s="15" t="str">
        <x:v>珠宝</x:v>
      </x:c>
      <x:c r="E373" s="30" t="n">
        <x:v>5</x:v>
      </x:c>
      <x:c r="F373" s="30" t="n">
        <x:v>760</x:v>
      </x:c>
      <x:c r="G373" s="30" t="n">
        <x:v>6</x:v>
      </x:c>
      <x:c r="H373" s="30" t="n">
        <x:v>18</x:v>
      </x:c>
      <x:c r="I373" s="54" t="n">
        <x:v>0.87</x:v>
      </x:c>
      <x:c r="J373" s="15" t="str">
        <x:v>本港生产/腹地集散/港内加工</x:v>
      </x:c>
      <x:c r="K373" s="15" t="str">
        <x:v>每7个游戏日补充6货载单位。本地、所属岛链或相连腹地供货；成品由港内工坊加工，贸易规模是本作设计。</x:v>
      </x:c>
      <x:c r="L373" s="15" t="str">
        <x:v>港口发展度达到D5（≥1000点）；不要求武装度。</x:v>
      </x:c>
    </x:row>
    <x:row r="374" ht="42" customHeight="1">
      <x:c r="A374" s="13" t="str">
        <x:v>P041</x:v>
      </x:c>
      <x:c r="B374" s="13" t="str">
        <x:v>埃尔米纳</x:v>
      </x:c>
      <x:c r="C374" s="13" t="str">
        <x:v>SP041</x:v>
      </x:c>
      <x:c r="D374" s="13" t="str">
        <x:v>黄金海岸失蜡秤饰</x:v>
      </x:c>
      <x:c r="E374" s="27" t="n">
        <x:v>4</x:v>
      </x:c>
      <x:c r="F374" s="27" t="n">
        <x:v>1180</x:v>
      </x:c>
      <x:c r="G374" s="27" t="n">
        <x:v>6</x:v>
      </x:c>
      <x:c r="H374" s="27" t="n">
        <x:v>12</x:v>
      </x:c>
      <x:c r="I374" s="52" t="n">
        <x:v>0.78</x:v>
      </x:c>
      <x:c r="J374" s="13" t="str">
        <x:v>港口独占原创工坊特产</x:v>
      </x:c>
      <x:c r="K374" s="13" t="str">
        <x:v>每7个游戏日由「海岸失蜡金工作坊」交货6货载；只在本港形成稳定产源。</x:v>
      </x:c>
      <x:c r="L374" s="13" t="str">
        <x:v>港口发展度达到D4（≥700点）时，投资项目「海岸失蜡金工作坊」自动完工；不要求武装度。</x:v>
      </x:c>
    </x:row>
    <x:row r="375" ht="42" customHeight="1">
      <x:c r="A375" s="15" t="str">
        <x:v>P042</x:v>
      </x:c>
      <x:c r="B375" s="15" t="str">
        <x:v>圣多美</x:v>
      </x:c>
      <x:c r="C375" s="15" t="str">
        <x:v>G011</x:v>
      </x:c>
      <x:c r="D375" s="15" t="str">
        <x:v>砂糖</x:v>
      </x:c>
      <x:c r="E375" s="30" t="n">
        <x:v>0</x:v>
      </x:c>
      <x:c r="F375" s="30" t="n">
        <x:v>140</x:v>
      </x:c>
      <x:c r="G375" s="30" t="n">
        <x:v>125</x:v>
      </x:c>
      <x:c r="H375" s="30" t="n">
        <x:v>375</x:v>
      </x:c>
      <x:c r="I375" s="54" t="n">
        <x:v>0.74</x:v>
      </x:c>
      <x:c r="J375" s="15" t="str">
        <x:v>本港生产/腹地集散/港内加工</x:v>
      </x:c>
      <x:c r="K375" s="15" t="str">
        <x:v>每7个游戏日补充125货载单位。本地、所属岛链或相连腹地供货；成品由港内工坊加工，贸易规模是本作设计。</x:v>
      </x:c>
      <x:c r="L375" s="15" t="str">
        <x:v>港口发展度达到D0（≥0点）；不要求武装度。</x:v>
      </x:c>
    </x:row>
    <x:row r="376" ht="42" customHeight="1">
      <x:c r="A376" s="13" t="str">
        <x:v>P042</x:v>
      </x:c>
      <x:c r="B376" s="13" t="str">
        <x:v>圣多美</x:v>
      </x:c>
      <x:c r="C376" s="13" t="str">
        <x:v>G012</x:v>
      </x:c>
      <x:c r="D376" s="13" t="str">
        <x:v>糖蜜</x:v>
      </x:c>
      <x:c r="E376" s="27" t="n">
        <x:v>0</x:v>
      </x:c>
      <x:c r="F376" s="27" t="n">
        <x:v>70</x:v>
      </x:c>
      <x:c r="G376" s="27" t="n">
        <x:v>125</x:v>
      </x:c>
      <x:c r="H376" s="27" t="n">
        <x:v>375</x:v>
      </x:c>
      <x:c r="I376" s="52" t="n">
        <x:v>0.74</x:v>
      </x:c>
      <x:c r="J376" s="13" t="str">
        <x:v>本港生产/腹地集散/港内加工</x:v>
      </x:c>
      <x:c r="K376" s="13" t="str">
        <x:v>每7个游戏日补充125货载单位。本地、所属岛链或相连腹地供货；成品由港内工坊加工，贸易规模是本作设计。</x:v>
      </x:c>
      <x:c r="L376" s="13" t="str">
        <x:v>港口发展度达到D0（≥0点）；不要求武装度。</x:v>
      </x:c>
    </x:row>
    <x:row r="377" ht="42" customHeight="1">
      <x:c r="A377" s="15" t="str">
        <x:v>P042</x:v>
      </x:c>
      <x:c r="B377" s="15" t="str">
        <x:v>圣多美</x:v>
      </x:c>
      <x:c r="C377" s="15" t="str">
        <x:v>G105</x:v>
      </x:c>
      <x:c r="D377" s="15" t="str">
        <x:v>木薯</x:v>
      </x:c>
      <x:c r="E377" s="30" t="n">
        <x:v>1</x:v>
      </x:c>
      <x:c r="F377" s="30" t="n">
        <x:v>36</x:v>
      </x:c>
      <x:c r="G377" s="30" t="n">
        <x:v>152</x:v>
      </x:c>
      <x:c r="H377" s="30" t="n">
        <x:v>456</x:v>
      </x:c>
      <x:c r="I377" s="54" t="n">
        <x:v>0.74</x:v>
      </x:c>
      <x:c r="J377" s="15" t="str">
        <x:v>本港生产/腹地集散/港内加工</x:v>
      </x:c>
      <x:c r="K377" s="15" t="str">
        <x:v>每7个游戏日补充152货载单位。本地、所属岛链或相连腹地供货；成品由港内工坊加工，贸易规模是本作设计。</x:v>
      </x:c>
      <x:c r="L377" s="15" t="str">
        <x:v>港口发展度达到D1（≥100点）；不要求武装度。</x:v>
      </x:c>
    </x:row>
    <x:row r="378" ht="42" customHeight="1">
      <x:c r="A378" s="13" t="str">
        <x:v>P042</x:v>
      </x:c>
      <x:c r="B378" s="13" t="str">
        <x:v>圣多美</x:v>
      </x:c>
      <x:c r="C378" s="13" t="str">
        <x:v>G014</x:v>
      </x:c>
      <x:c r="D378" s="13" t="str">
        <x:v>椰子油</x:v>
      </x:c>
      <x:c r="E378" s="27" t="n">
        <x:v>1</x:v>
      </x:c>
      <x:c r="F378" s="27" t="n">
        <x:v>88</x:v>
      </x:c>
      <x:c r="G378" s="27" t="n">
        <x:v>118</x:v>
      </x:c>
      <x:c r="H378" s="27" t="n">
        <x:v>354</x:v>
      </x:c>
      <x:c r="I378" s="52" t="n">
        <x:v>0.74</x:v>
      </x:c>
      <x:c r="J378" s="13" t="str">
        <x:v>本港生产/腹地集散/港内加工</x:v>
      </x:c>
      <x:c r="K378" s="13" t="str">
        <x:v>每7个游戏日补充118货载单位。本地、所属岛链或相连腹地供货；成品由港内工坊加工，贸易规模是本作设计。</x:v>
      </x:c>
      <x:c r="L378" s="13" t="str">
        <x:v>港口发展度达到D1（≥100点）；不要求武装度。</x:v>
      </x:c>
    </x:row>
    <x:row r="379" ht="42" customHeight="1">
      <x:c r="A379" s="15" t="str">
        <x:v>P042</x:v>
      </x:c>
      <x:c r="B379" s="15" t="str">
        <x:v>圣多美</x:v>
      </x:c>
      <x:c r="C379" s="15" t="str">
        <x:v>G038</x:v>
      </x:c>
      <x:c r="D379" s="15" t="str">
        <x:v>原棉</x:v>
      </x:c>
      <x:c r="E379" s="30" t="n">
        <x:v>2</x:v>
      </x:c>
      <x:c r="F379" s="30" t="n">
        <x:v>95</x:v>
      </x:c>
      <x:c r="G379" s="30" t="n">
        <x:v>91</x:v>
      </x:c>
      <x:c r="H379" s="30" t="n">
        <x:v>273</x:v>
      </x:c>
      <x:c r="I379" s="54" t="n">
        <x:v>0.8</x:v>
      </x:c>
      <x:c r="J379" s="15" t="str">
        <x:v>本港生产/腹地集散/港内加工</x:v>
      </x:c>
      <x:c r="K379" s="15" t="str">
        <x:v>每7个游戏日补充91货载单位。本地、所属岛链或相连腹地供货；成品由港内工坊加工，贸易规模是本作设计。</x:v>
      </x:c>
      <x:c r="L379" s="15" t="str">
        <x:v>港口发展度达到D2（≥250点）；不要求武装度。</x:v>
      </x:c>
    </x:row>
    <x:row r="380" ht="42" customHeight="1">
      <x:c r="A380" s="13" t="str">
        <x:v>P042</x:v>
      </x:c>
      <x:c r="B380" s="13" t="str">
        <x:v>圣多美</x:v>
      </x:c>
      <x:c r="C380" s="13" t="str">
        <x:v>G053</x:v>
      </x:c>
      <x:c r="D380" s="13" t="str">
        <x:v>黑檀木</x:v>
      </x:c>
      <x:c r="E380" s="27" t="n">
        <x:v>3</x:v>
      </x:c>
      <x:c r="F380" s="27" t="n">
        <x:v>360</x:v>
      </x:c>
      <x:c r="G380" s="27" t="n">
        <x:v>70</x:v>
      </x:c>
      <x:c r="H380" s="27" t="n">
        <x:v>210</x:v>
      </x:c>
      <x:c r="I380" s="52" t="n">
        <x:v>0.8</x:v>
      </x:c>
      <x:c r="J380" s="13" t="str">
        <x:v>本港生产/腹地集散/港内加工</x:v>
      </x:c>
      <x:c r="K380" s="13" t="str">
        <x:v>每7个游戏日补充70货载单位。本地、所属岛链或相连腹地供货；成品由港内工坊加工，贸易规模是本作设计。</x:v>
      </x:c>
      <x:c r="L380" s="13" t="str">
        <x:v>港口发展度达到D3（≥450点）；不要求武装度。</x:v>
      </x:c>
    </x:row>
    <x:row r="381" ht="42" customHeight="1">
      <x:c r="A381" s="15" t="str">
        <x:v>P042</x:v>
      </x:c>
      <x:c r="B381" s="15" t="str">
        <x:v>圣多美</x:v>
      </x:c>
      <x:c r="C381" s="15" t="str">
        <x:v>G025</x:v>
      </x:c>
      <x:c r="D381" s="15" t="str">
        <x:v>朗姆酒</x:v>
      </x:c>
      <x:c r="E381" s="30" t="n">
        <x:v>4</x:v>
      </x:c>
      <x:c r="F381" s="30" t="n">
        <x:v>155</x:v>
      </x:c>
      <x:c r="G381" s="30" t="n">
        <x:v>40</x:v>
      </x:c>
      <x:c r="H381" s="30" t="n">
        <x:v>120</x:v>
      </x:c>
      <x:c r="I381" s="54" t="n">
        <x:v>0.87</x:v>
      </x:c>
      <x:c r="J381" s="15" t="str">
        <x:v>本港生产/腹地集散/港内加工</x:v>
      </x:c>
      <x:c r="K381" s="15" t="str">
        <x:v>每7个游戏日补充40货载单位。本地、所属岛链或相连腹地供货；成品由港内工坊加工，贸易规模是本作设计。</x:v>
      </x:c>
      <x:c r="L381" s="15" t="str">
        <x:v>港口发展度达到D4（≥700点）；不要求武装度。</x:v>
      </x:c>
    </x:row>
    <x:row r="382" ht="42" customHeight="1">
      <x:c r="A382" s="13" t="str">
        <x:v>P042</x:v>
      </x:c>
      <x:c r="B382" s="13" t="str">
        <x:v>圣多美</x:v>
      </x:c>
      <x:c r="C382" s="13" t="str">
        <x:v>G096</x:v>
      </x:c>
      <x:c r="D382" s="13" t="str">
        <x:v>贝壳工艺品</x:v>
      </x:c>
      <x:c r="E382" s="27" t="n">
        <x:v>5</x:v>
      </x:c>
      <x:c r="F382" s="27" t="n">
        <x:v>210</x:v>
      </x:c>
      <x:c r="G382" s="27" t="n">
        <x:v>14</x:v>
      </x:c>
      <x:c r="H382" s="27" t="n">
        <x:v>42</x:v>
      </x:c>
      <x:c r="I382" s="52" t="n">
        <x:v>0.87</x:v>
      </x:c>
      <x:c r="J382" s="13" t="str">
        <x:v>本港生产/腹地集散/港内加工</x:v>
      </x:c>
      <x:c r="K382" s="13" t="str">
        <x:v>每7个游戏日补充14货载单位。本地、所属岛链或相连腹地供货；成品由港内工坊加工，贸易规模是本作设计。</x:v>
      </x:c>
      <x:c r="L382" s="13" t="str">
        <x:v>港口发展度达到D5（≥1000点）；不要求武装度。</x:v>
      </x:c>
    </x:row>
    <x:row r="383" ht="42" customHeight="1">
      <x:c r="A383" s="15" t="str">
        <x:v>P042</x:v>
      </x:c>
      <x:c r="B383" s="15" t="str">
        <x:v>圣多美</x:v>
      </x:c>
      <x:c r="C383" s="15" t="str">
        <x:v>SP042</x:v>
      </x:c>
      <x:c r="D383" s="15" t="str">
        <x:v>雨林焦糖香砖</x:v>
      </x:c>
      <x:c r="E383" s="30" t="n">
        <x:v>3</x:v>
      </x:c>
      <x:c r="F383" s="30" t="n">
        <x:v>340</x:v>
      </x:c>
      <x:c r="G383" s="30" t="n">
        <x:v>7</x:v>
      </x:c>
      <x:c r="H383" s="30" t="n">
        <x:v>14</x:v>
      </x:c>
      <x:c r="I383" s="54" t="n">
        <x:v>0.78</x:v>
      </x:c>
      <x:c r="J383" s="15" t="str">
        <x:v>港口独占原创工坊特产</x:v>
      </x:c>
      <x:c r="K383" s="15" t="str">
        <x:v>每7个游戏日由「赤道糖砖磨坊」交货7货载；只在本港形成稳定产源。</x:v>
      </x:c>
      <x:c r="L383" s="15" t="str">
        <x:v>港口发展度达到D3（≥450点）时，投资项目「赤道糖砖磨坊」自动完工；不要求武装度。</x:v>
      </x:c>
    </x:row>
    <x:row r="384" ht="42" customHeight="1">
      <x:c r="A384" s="13" t="str">
        <x:v>P043</x:v>
      </x:c>
      <x:c r="B384" s="13" t="str">
        <x:v>开普敦</x:v>
      </x:c>
      <x:c r="C384" s="13" t="str">
        <x:v>G018</x:v>
      </x:c>
      <x:c r="D384" s="13" t="str">
        <x:v>咸牛肉</x:v>
      </x:c>
      <x:c r="E384" s="27" t="n">
        <x:v>0</x:v>
      </x:c>
      <x:c r="F384" s="27" t="n">
        <x:v>82</x:v>
      </x:c>
      <x:c r="G384" s="27" t="n">
        <x:v>150</x:v>
      </x:c>
      <x:c r="H384" s="27" t="n">
        <x:v>450</x:v>
      </x:c>
      <x:c r="I384" s="52" t="n">
        <x:v>0.74</x:v>
      </x:c>
      <x:c r="J384" s="13" t="str">
        <x:v>本港生产/腹地集散/港内加工</x:v>
      </x:c>
      <x:c r="K384" s="13" t="str">
        <x:v>每7个游戏日补充150货载单位。本地、所属岛链或相连腹地供货；成品由港内工坊加工，贸易规模是本作设计。</x:v>
      </x:c>
      <x:c r="L384" s="13" t="str">
        <x:v>港口发展度达到D0（≥0点）；不要求武装度。</x:v>
      </x:c>
    </x:row>
    <x:row r="385" ht="42" customHeight="1">
      <x:c r="A385" s="15" t="str">
        <x:v>P043</x:v>
      </x:c>
      <x:c r="B385" s="15" t="str">
        <x:v>开普敦</x:v>
      </x:c>
      <x:c r="C385" s="15" t="str">
        <x:v>G001</x:v>
      </x:c>
      <x:c r="D385" s="15" t="str">
        <x:v>小麦</x:v>
      </x:c>
      <x:c r="E385" s="30" t="n">
        <x:v>0</x:v>
      </x:c>
      <x:c r="F385" s="30" t="n">
        <x:v>45</x:v>
      </x:c>
      <x:c r="G385" s="30" t="n">
        <x:v>193</x:v>
      </x:c>
      <x:c r="H385" s="30" t="n">
        <x:v>579</x:v>
      </x:c>
      <x:c r="I385" s="54" t="n">
        <x:v>0.74</x:v>
      </x:c>
      <x:c r="J385" s="15" t="str">
        <x:v>本港生产/腹地集散/港内加工</x:v>
      </x:c>
      <x:c r="K385" s="15" t="str">
        <x:v>每7个游戏日补充193货载单位。本地、所属岛链或相连腹地供货；成品由港内工坊加工，贸易规模是本作设计。</x:v>
      </x:c>
      <x:c r="L385" s="15" t="str">
        <x:v>港口发展度达到D0（≥0点）；不要求武装度。</x:v>
      </x:c>
    </x:row>
    <x:row r="386" ht="42" customHeight="1">
      <x:c r="A386" s="13" t="str">
        <x:v>P043</x:v>
      </x:c>
      <x:c r="B386" s="13" t="str">
        <x:v>开普敦</x:v>
      </x:c>
      <x:c r="C386" s="13" t="str">
        <x:v>G094</x:v>
      </x:c>
      <x:c r="D386" s="13" t="str">
        <x:v>柑橘</x:v>
      </x:c>
      <x:c r="E386" s="27" t="n">
        <x:v>1</x:v>
      </x:c>
      <x:c r="F386" s="27" t="n">
        <x:v>62</x:v>
      </x:c>
      <x:c r="G386" s="27" t="n">
        <x:v>142</x:v>
      </x:c>
      <x:c r="H386" s="27" t="n">
        <x:v>426</x:v>
      </x:c>
      <x:c r="I386" s="52" t="n">
        <x:v>0.74</x:v>
      </x:c>
      <x:c r="J386" s="13" t="str">
        <x:v>本港生产/腹地集散/港内加工</x:v>
      </x:c>
      <x:c r="K386" s="13" t="str">
        <x:v>每7个游戏日补充142货载单位。本地、所属岛链或相连腹地供货；成品由港内工坊加工，贸易规模是本作设计。</x:v>
      </x:c>
      <x:c r="L386" s="13" t="str">
        <x:v>港口发展度达到D1（≥100点）；不要求武装度。</x:v>
      </x:c>
    </x:row>
    <x:row r="387" ht="42" customHeight="1">
      <x:c r="A387" s="15" t="str">
        <x:v>P043</x:v>
      </x:c>
      <x:c r="B387" s="15" t="str">
        <x:v>开普敦</x:v>
      </x:c>
      <x:c r="C387" s="15" t="str">
        <x:v>G015</x:v>
      </x:c>
      <x:c r="D387" s="15" t="str">
        <x:v>咸鱼</x:v>
      </x:c>
      <x:c r="E387" s="30" t="n">
        <x:v>1</x:v>
      </x:c>
      <x:c r="F387" s="30" t="n">
        <x:v>65</x:v>
      </x:c>
      <x:c r="G387" s="30" t="n">
        <x:v>142</x:v>
      </x:c>
      <x:c r="H387" s="30" t="n">
        <x:v>426</x:v>
      </x:c>
      <x:c r="I387" s="54" t="n">
        <x:v>0.74</x:v>
      </x:c>
      <x:c r="J387" s="15" t="str">
        <x:v>本港生产/腹地集散/港内加工</x:v>
      </x:c>
      <x:c r="K387" s="15" t="str">
        <x:v>每7个游戏日补充142货载单位。本地、所属岛链或相连腹地供货；成品由港内工坊加工，贸易规模是本作设计。</x:v>
      </x:c>
      <x:c r="L387" s="15" t="str">
        <x:v>港口发展度达到D1（≥100点）；不要求武装度。</x:v>
      </x:c>
    </x:row>
    <x:row r="388" ht="42" customHeight="1">
      <x:c r="A388" s="13" t="str">
        <x:v>P043</x:v>
      </x:c>
      <x:c r="B388" s="13" t="str">
        <x:v>开普敦</x:v>
      </x:c>
      <x:c r="C388" s="13" t="str">
        <x:v>G023</x:v>
      </x:c>
      <x:c r="D388" s="13" t="str">
        <x:v>葡萄酒</x:v>
      </x:c>
      <x:c r="E388" s="27" t="n">
        <x:v>2</x:v>
      </x:c>
      <x:c r="F388" s="27" t="n">
        <x:v>115</x:v>
      </x:c>
      <x:c r="G388" s="27" t="n">
        <x:v>65</x:v>
      </x:c>
      <x:c r="H388" s="27" t="n">
        <x:v>195</x:v>
      </x:c>
      <x:c r="I388" s="52" t="n">
        <x:v>0.8</x:v>
      </x:c>
      <x:c r="J388" s="13" t="str">
        <x:v>本港生产/腹地集散/港内加工</x:v>
      </x:c>
      <x:c r="K388" s="13" t="str">
        <x:v>每7个游戏日补充65货载单位。本地、所属岛链或相连腹地供货；成品由港内工坊加工，贸易规模是本作设计。</x:v>
      </x:c>
      <x:c r="L388" s="13" t="str">
        <x:v>港口发展度达到D2（≥250点）；不要求武装度。</x:v>
      </x:c>
    </x:row>
    <x:row r="389" ht="42" customHeight="1">
      <x:c r="A389" s="15" t="str">
        <x:v>P043</x:v>
      </x:c>
      <x:c r="B389" s="15" t="str">
        <x:v>开普敦</x:v>
      </x:c>
      <x:c r="C389" s="15" t="str">
        <x:v>G079</x:v>
      </x:c>
      <x:c r="D389" s="15" t="str">
        <x:v>皮革</x:v>
      </x:c>
      <x:c r="E389" s="30" t="n">
        <x:v>3</x:v>
      </x:c>
      <x:c r="F389" s="30" t="n">
        <x:v>110</x:v>
      </x:c>
      <x:c r="G389" s="30" t="n">
        <x:v>54</x:v>
      </x:c>
      <x:c r="H389" s="30" t="n">
        <x:v>162</x:v>
      </x:c>
      <x:c r="I389" s="54" t="n">
        <x:v>0.8</x:v>
      </x:c>
      <x:c r="J389" s="15" t="str">
        <x:v>本港生产/腹地集散/港内加工</x:v>
      </x:c>
      <x:c r="K389" s="15" t="str">
        <x:v>每7个游戏日补充54货载单位。本地、所属岛链或相连腹地供货；成品由港内工坊加工，贸易规模是本作设计。</x:v>
      </x:c>
      <x:c r="L389" s="15" t="str">
        <x:v>港口发展度达到D3（≥450点）；不要求武装度。</x:v>
      </x:c>
    </x:row>
    <x:row r="390" ht="42" customHeight="1">
      <x:c r="A390" s="13" t="str">
        <x:v>P043</x:v>
      </x:c>
      <x:c r="B390" s="13" t="str">
        <x:v>开普敦</x:v>
      </x:c>
      <x:c r="C390" s="13" t="str">
        <x:v>G068</x:v>
      </x:c>
      <x:c r="D390" s="13" t="str">
        <x:v>铁工具</x:v>
      </x:c>
      <x:c r="E390" s="27" t="n">
        <x:v>4</x:v>
      </x:c>
      <x:c r="F390" s="27" t="n">
        <x:v>190</x:v>
      </x:c>
      <x:c r="G390" s="27" t="n">
        <x:v>24</x:v>
      </x:c>
      <x:c r="H390" s="27" t="n">
        <x:v>72</x:v>
      </x:c>
      <x:c r="I390" s="52" t="n">
        <x:v>1.14</x:v>
      </x:c>
      <x:c r="J390" s="13" t="str">
        <x:v>进口/区域转口</x:v>
      </x:c>
      <x:c r="K390" s="13" t="str">
        <x:v>每7个游戏日补充24货载单位。由区域商队或NPC货船带入；为港口转售供货，不改变商品的原产地区。</x:v>
      </x:c>
      <x:c r="L390" s="13" t="str">
        <x:v>港口发展度达到D4（≥700点）；不要求武装度。</x:v>
      </x:c>
    </x:row>
    <x:row r="391" ht="42" customHeight="1">
      <x:c r="A391" s="15" t="str">
        <x:v>P043</x:v>
      </x:c>
      <x:c r="B391" s="15" t="str">
        <x:v>开普敦</x:v>
      </x:c>
      <x:c r="C391" s="15" t="str">
        <x:v>G099</x:v>
      </x:c>
      <x:c r="D391" s="15" t="str">
        <x:v>航海仪器</x:v>
      </x:c>
      <x:c r="E391" s="30" t="n">
        <x:v>5</x:v>
      </x:c>
      <x:c r="F391" s="30" t="n">
        <x:v>650</x:v>
      </x:c>
      <x:c r="G391" s="30" t="n">
        <x:v>3</x:v>
      </x:c>
      <x:c r="H391" s="30" t="n">
        <x:v>9</x:v>
      </x:c>
      <x:c r="I391" s="54" t="n">
        <x:v>1.14</x:v>
      </x:c>
      <x:c r="J391" s="15" t="str">
        <x:v>进口/区域转口</x:v>
      </x:c>
      <x:c r="K391" s="15" t="str">
        <x:v>每7个游戏日补充3货载单位。由区域商队或NPC货船带入；为港口转售供货，不改变商品的原产地区。</x:v>
      </x:c>
      <x:c r="L391" s="15" t="str">
        <x:v>港口发展度达到D5（≥1000点）；不要求武装度。</x:v>
      </x:c>
    </x:row>
    <x:row r="392" ht="42" customHeight="1">
      <x:c r="A392" s="13" t="str">
        <x:v>P043</x:v>
      </x:c>
      <x:c r="B392" s="13" t="str">
        <x:v>开普敦</x:v>
      </x:c>
      <x:c r="C392" s="13" t="str">
        <x:v>SP043</x:v>
      </x:c>
      <x:c r="D392" s="13" t="str">
        <x:v>桌山云冠麝香酒</x:v>
      </x:c>
      <x:c r="E392" s="27" t="n">
        <x:v>3</x:v>
      </x:c>
      <x:c r="F392" s="27" t="n">
        <x:v>560</x:v>
      </x:c>
      <x:c r="G392" s="27" t="n">
        <x:v>9</x:v>
      </x:c>
      <x:c r="H392" s="27" t="n">
        <x:v>18</x:v>
      </x:c>
      <x:c r="I392" s="52" t="n">
        <x:v>0.78</x:v>
      </x:c>
      <x:c r="J392" s="13" t="str">
        <x:v>港口独占原创工坊特产</x:v>
      </x:c>
      <x:c r="K392" s="13" t="str">
        <x:v>每7个游戏日由「桌山麝香葡萄酒庄」交货9货载；只在本港形成稳定产源。</x:v>
      </x:c>
      <x:c r="L392" s="13" t="str">
        <x:v>港口发展度达到D3（≥450点）时，投资项目「桌山麝香葡萄酒庄」自动完工；不要求武装度。</x:v>
      </x:c>
    </x:row>
    <x:row r="393" ht="42" customHeight="1">
      <x:c r="A393" s="15" t="str">
        <x:v>P044</x:v>
      </x:c>
      <x:c r="B393" s="15" t="str">
        <x:v>莫桑比克岛</x:v>
      </x:c>
      <x:c r="C393" s="15" t="str">
        <x:v>G015</x:v>
      </x:c>
      <x:c r="D393" s="15" t="str">
        <x:v>咸鱼</x:v>
      </x:c>
      <x:c r="E393" s="30" t="n">
        <x:v>0</x:v>
      </x:c>
      <x:c r="F393" s="30" t="n">
        <x:v>65</x:v>
      </x:c>
      <x:c r="G393" s="30" t="n">
        <x:v>139</x:v>
      </x:c>
      <x:c r="H393" s="30" t="n">
        <x:v>417</x:v>
      </x:c>
      <x:c r="I393" s="54" t="n">
        <x:v>0.74</x:v>
      </x:c>
      <x:c r="J393" s="15" t="str">
        <x:v>本港生产/腹地集散/港内加工</x:v>
      </x:c>
      <x:c r="K393" s="15" t="str">
        <x:v>每7个游戏日补充139货载单位。本地、所属岛链或相连腹地供货；成品由港内工坊加工，贸易规模是本作设计。</x:v>
      </x:c>
      <x:c r="L393" s="15" t="str">
        <x:v>港口发展度达到D0（≥0点）；不要求武装度。</x:v>
      </x:c>
    </x:row>
    <x:row r="394" ht="42" customHeight="1">
      <x:c r="A394" s="13" t="str">
        <x:v>P044</x:v>
      </x:c>
      <x:c r="B394" s="13" t="str">
        <x:v>莫桑比克岛</x:v>
      </x:c>
      <x:c r="C394" s="13" t="str">
        <x:v>G004</x:v>
      </x:c>
      <x:c r="D394" s="13" t="str">
        <x:v>稻米</x:v>
      </x:c>
      <x:c r="E394" s="27" t="n">
        <x:v>0</x:v>
      </x:c>
      <x:c r="F394" s="27" t="n">
        <x:v>55</x:v>
      </x:c>
      <x:c r="G394" s="27" t="n">
        <x:v>93</x:v>
      </x:c>
      <x:c r="H394" s="27" t="n">
        <x:v>279</x:v>
      </x:c>
      <x:c r="I394" s="52" t="n">
        <x:v>1.08</x:v>
      </x:c>
      <x:c r="J394" s="13" t="str">
        <x:v>进口/区域转口</x:v>
      </x:c>
      <x:c r="K394" s="13" t="str">
        <x:v>每7个游戏日补充93货载单位。由区域商队或NPC货船带入；为港口转售供货，不改变商品的原产地区。</x:v>
      </x:c>
      <x:c r="L394" s="13" t="str">
        <x:v>港口发展度达到D0（≥0点）；不要求武装度。</x:v>
      </x:c>
    </x:row>
    <x:row r="395" ht="42" customHeight="1">
      <x:c r="A395" s="15" t="str">
        <x:v>P044</x:v>
      </x:c>
      <x:c r="B395" s="15" t="str">
        <x:v>莫桑比克岛</x:v>
      </x:c>
      <x:c r="C395" s="15" t="str">
        <x:v>G014</x:v>
      </x:c>
      <x:c r="D395" s="15" t="str">
        <x:v>椰子油</x:v>
      </x:c>
      <x:c r="E395" s="30" t="n">
        <x:v>1</x:v>
      </x:c>
      <x:c r="F395" s="30" t="n">
        <x:v>88</x:v>
      </x:c>
      <x:c r="G395" s="30" t="n">
        <x:v>132</x:v>
      </x:c>
      <x:c r="H395" s="30" t="n">
        <x:v>396</x:v>
      </x:c>
      <x:c r="I395" s="54" t="n">
        <x:v>0.74</x:v>
      </x:c>
      <x:c r="J395" s="15" t="str">
        <x:v>本港生产/腹地集散/港内加工</x:v>
      </x:c>
      <x:c r="K395" s="15" t="str">
        <x:v>每7个游戏日补充132货载单位。本地、所属岛链或相连腹地供货；成品由港内工坊加工，贸易规模是本作设计。</x:v>
      </x:c>
      <x:c r="L395" s="15" t="str">
        <x:v>港口发展度达到D1（≥100点）；不要求武装度。</x:v>
      </x:c>
    </x:row>
    <x:row r="396" ht="42" customHeight="1">
      <x:c r="A396" s="13" t="str">
        <x:v>P044</x:v>
      </x:c>
      <x:c r="B396" s="13" t="str">
        <x:v>莫桑比克岛</x:v>
      </x:c>
      <x:c r="C396" s="13" t="str">
        <x:v>G079</x:v>
      </x:c>
      <x:c r="D396" s="13" t="str">
        <x:v>皮革</x:v>
      </x:c>
      <x:c r="E396" s="27" t="n">
        <x:v>1</x:v>
      </x:c>
      <x:c r="F396" s="27" t="n">
        <x:v>110</x:v>
      </x:c>
      <x:c r="G396" s="27" t="n">
        <x:v>66</x:v>
      </x:c>
      <x:c r="H396" s="27" t="n">
        <x:v>198</x:v>
      </x:c>
      <x:c r="I396" s="52" t="n">
        <x:v>0.74</x:v>
      </x:c>
      <x:c r="J396" s="13" t="str">
        <x:v>本港生产/腹地集散/港内加工</x:v>
      </x:c>
      <x:c r="K396" s="13" t="str">
        <x:v>每7个游戏日补充66货载单位。本地、所属岛链或相连腹地供货；成品由港内工坊加工，贸易规模是本作设计。</x:v>
      </x:c>
      <x:c r="L396" s="13" t="str">
        <x:v>港口发展度达到D1（≥100点）；不要求武装度。</x:v>
      </x:c>
    </x:row>
    <x:row r="397" ht="42" customHeight="1">
      <x:c r="A397" s="15" t="str">
        <x:v>P044</x:v>
      </x:c>
      <x:c r="B397" s="15" t="str">
        <x:v>莫桑比克岛</x:v>
      </x:c>
      <x:c r="C397" s="15" t="str">
        <x:v>G082</x:v>
      </x:c>
      <x:c r="D397" s="15" t="str">
        <x:v>象牙</x:v>
      </x:c>
      <x:c r="E397" s="30" t="n">
        <x:v>2</x:v>
      </x:c>
      <x:c r="F397" s="30" t="n">
        <x:v>450</x:v>
      </x:c>
      <x:c r="G397" s="30" t="n">
        <x:v>25</x:v>
      </x:c>
      <x:c r="H397" s="30" t="n">
        <x:v>75</x:v>
      </x:c>
      <x:c r="I397" s="54" t="n">
        <x:v>0.8</x:v>
      </x:c>
      <x:c r="J397" s="15" t="str">
        <x:v>本港生产/腹地集散/港内加工</x:v>
      </x:c>
      <x:c r="K397" s="15" t="str">
        <x:v>每7个游戏日补充25货载单位。本地、所属岛链或相连腹地供货；成品由港内工坊加工，贸易规模是本作设计。</x:v>
      </x:c>
      <x:c r="L397" s="15" t="str">
        <x:v>港口发展度达到D2（≥250点）；不要求武装度。</x:v>
      </x:c>
    </x:row>
    <x:row r="398" ht="42" customHeight="1">
      <x:c r="A398" s="13" t="str">
        <x:v>P044</x:v>
      </x:c>
      <x:c r="B398" s="13" t="str">
        <x:v>莫桑比克岛</x:v>
      </x:c>
      <x:c r="C398" s="13" t="str">
        <x:v>G063</x:v>
      </x:c>
      <x:c r="D398" s="13" t="str">
        <x:v>黄金</x:v>
      </x:c>
      <x:c r="E398" s="27" t="n">
        <x:v>3</x:v>
      </x:c>
      <x:c r="F398" s="27" t="n">
        <x:v>2400</x:v>
      </x:c>
      <x:c r="G398" s="27" t="n">
        <x:v>5</x:v>
      </x:c>
      <x:c r="H398" s="27" t="n">
        <x:v>15</x:v>
      </x:c>
      <x:c r="I398" s="52" t="n">
        <x:v>1.14</x:v>
      </x:c>
      <x:c r="J398" s="13" t="str">
        <x:v>进口/区域转口</x:v>
      </x:c>
      <x:c r="K398" s="13" t="str">
        <x:v>每7个游戏日补充5货载单位。由区域商队或NPC货船带入；为港口转售供货，不改变商品的原产地区。</x:v>
      </x:c>
      <x:c r="L398" s="13" t="str">
        <x:v>港口发展度达到D3（≥450点）；不要求武装度。</x:v>
      </x:c>
    </x:row>
    <x:row r="399" ht="42" customHeight="1">
      <x:c r="A399" s="15" t="str">
        <x:v>P044</x:v>
      </x:c>
      <x:c r="B399" s="15" t="str">
        <x:v>莫桑比克岛</x:v>
      </x:c>
      <x:c r="C399" s="15" t="str">
        <x:v>G043</x:v>
      </x:c>
      <x:c r="D399" s="15" t="str">
        <x:v>棉布</x:v>
      </x:c>
      <x:c r="E399" s="30" t="n">
        <x:v>4</x:v>
      </x:c>
      <x:c r="F399" s="30" t="n">
        <x:v>160</x:v>
      </x:c>
      <x:c r="G399" s="30" t="n">
        <x:v>22</x:v>
      </x:c>
      <x:c r="H399" s="30" t="n">
        <x:v>66</x:v>
      </x:c>
      <x:c r="I399" s="54" t="n">
        <x:v>1.14</x:v>
      </x:c>
      <x:c r="J399" s="15" t="str">
        <x:v>进口/区域转口</x:v>
      </x:c>
      <x:c r="K399" s="15" t="str">
        <x:v>每7个游戏日补充22货载单位。由区域商队或NPC货船带入；为港口转售供货，不改变商品的原产地区。</x:v>
      </x:c>
      <x:c r="L399" s="15" t="str">
        <x:v>港口发展度达到D4（≥700点）；不要求武装度。</x:v>
      </x:c>
    </x:row>
    <x:row r="400" ht="42" customHeight="1">
      <x:c r="A400" s="13" t="str">
        <x:v>P044</x:v>
      </x:c>
      <x:c r="B400" s="13" t="str">
        <x:v>莫桑比克岛</x:v>
      </x:c>
      <x:c r="C400" s="13" t="str">
        <x:v>G096</x:v>
      </x:c>
      <x:c r="D400" s="13" t="str">
        <x:v>贝壳工艺品</x:v>
      </x:c>
      <x:c r="E400" s="27" t="n">
        <x:v>5</x:v>
      </x:c>
      <x:c r="F400" s="27" t="n">
        <x:v>210</x:v>
      </x:c>
      <x:c r="G400" s="27" t="n">
        <x:v>15</x:v>
      </x:c>
      <x:c r="H400" s="27" t="n">
        <x:v>45</x:v>
      </x:c>
      <x:c r="I400" s="52" t="n">
        <x:v>0.87</x:v>
      </x:c>
      <x:c r="J400" s="13" t="str">
        <x:v>本港生产/腹地集散/港内加工</x:v>
      </x:c>
      <x:c r="K400" s="13" t="str">
        <x:v>每7个游戏日补充15货载单位。本地、所属岛链或相连腹地供货；成品由港内工坊加工，贸易规模是本作设计。</x:v>
      </x:c>
      <x:c r="L400" s="13" t="str">
        <x:v>港口发展度达到D5（≥1000点）；不要求武装度。</x:v>
      </x:c>
    </x:row>
    <x:row r="401" ht="42" customHeight="1">
      <x:c r="A401" s="15" t="str">
        <x:v>P044</x:v>
      </x:c>
      <x:c r="B401" s="15" t="str">
        <x:v>莫桑比克岛</x:v>
      </x:c>
      <x:c r="C401" s="15" t="str">
        <x:v>SP044</x:v>
      </x:c>
      <x:c r="D401" s="15" t="str">
        <x:v>珊瑚城镂花木匣</x:v>
      </x:c>
      <x:c r="E401" s="30" t="n">
        <x:v>3</x:v>
      </x:c>
      <x:c r="F401" s="30" t="n">
        <x:v>675</x:v>
      </x:c>
      <x:c r="G401" s="30" t="n">
        <x:v>8</x:v>
      </x:c>
      <x:c r="H401" s="30" t="n">
        <x:v>16</x:v>
      </x:c>
      <x:c r="I401" s="54" t="n">
        <x:v>0.78</x:v>
      </x:c>
      <x:c r="J401" s="15" t="str">
        <x:v>港口独占原创工坊特产</x:v>
      </x:c>
      <x:c r="K401" s="15" t="str">
        <x:v>每7个游戏日由「海峡镂花细木工坊」交货8货载；只在本港形成稳定产源。</x:v>
      </x:c>
      <x:c r="L401" s="15" t="str">
        <x:v>港口发展度达到D3（≥450点）时，投资项目「海峡镂花细木工坊」自动完工；不要求武装度。</x:v>
      </x:c>
    </x:row>
    <x:row r="402" ht="42" customHeight="1">
      <x:c r="A402" s="13" t="str">
        <x:v>P045</x:v>
      </x:c>
      <x:c r="B402" s="13" t="str">
        <x:v>索法拉</x:v>
      </x:c>
      <x:c r="C402" s="13" t="str">
        <x:v>G015</x:v>
      </x:c>
      <x:c r="D402" s="13" t="str">
        <x:v>咸鱼</x:v>
      </x:c>
      <x:c r="E402" s="27" t="n">
        <x:v>0</x:v>
      </x:c>
      <x:c r="F402" s="27" t="n">
        <x:v>65</x:v>
      </x:c>
      <x:c r="G402" s="27" t="n">
        <x:v>113</x:v>
      </x:c>
      <x:c r="H402" s="27" t="n">
        <x:v>339</x:v>
      </x:c>
      <x:c r="I402" s="52" t="n">
        <x:v>0.74</x:v>
      </x:c>
      <x:c r="J402" s="13" t="str">
        <x:v>本港生产/腹地集散/港内加工</x:v>
      </x:c>
      <x:c r="K402" s="13" t="str">
        <x:v>每7个游戏日补充113货载单位。本地、所属岛链或相连腹地供货；成品由港内工坊加工，贸易规模是本作设计。</x:v>
      </x:c>
      <x:c r="L402" s="13" t="str">
        <x:v>港口发展度达到D0（≥0点）；不要求武装度。</x:v>
      </x:c>
    </x:row>
    <x:row r="403" ht="42" customHeight="1">
      <x:c r="A403" s="15" t="str">
        <x:v>P045</x:v>
      </x:c>
      <x:c r="B403" s="15" t="str">
        <x:v>索法拉</x:v>
      </x:c>
      <x:c r="C403" s="15" t="str">
        <x:v>G009</x:v>
      </x:c>
      <x:c r="D403" s="15" t="str">
        <x:v>盐</x:v>
      </x:c>
      <x:c r="E403" s="30" t="n">
        <x:v>0</x:v>
      </x:c>
      <x:c r="F403" s="30" t="n">
        <x:v>28</x:v>
      </x:c>
      <x:c r="G403" s="30" t="n">
        <x:v>113</x:v>
      </x:c>
      <x:c r="H403" s="30" t="n">
        <x:v>339</x:v>
      </x:c>
      <x:c r="I403" s="54" t="n">
        <x:v>0.74</x:v>
      </x:c>
      <x:c r="J403" s="15" t="str">
        <x:v>本港生产/腹地集散/港内加工</x:v>
      </x:c>
      <x:c r="K403" s="15" t="str">
        <x:v>每7个游戏日补充113货载单位。本地、所属岛链或相连腹地供货；成品由港内工坊加工，贸易规模是本作设计。</x:v>
      </x:c>
      <x:c r="L403" s="15" t="str">
        <x:v>港口发展度达到D0（≥0点）；不要求武装度。</x:v>
      </x:c>
    </x:row>
    <x:row r="404" ht="42" customHeight="1">
      <x:c r="A404" s="13" t="str">
        <x:v>P045</x:v>
      </x:c>
      <x:c r="B404" s="13" t="str">
        <x:v>索法拉</x:v>
      </x:c>
      <x:c r="C404" s="13" t="str">
        <x:v>G079</x:v>
      </x:c>
      <x:c r="D404" s="13" t="str">
        <x:v>皮革</x:v>
      </x:c>
      <x:c r="E404" s="27" t="n">
        <x:v>1</x:v>
      </x:c>
      <x:c r="F404" s="27" t="n">
        <x:v>110</x:v>
      </x:c>
      <x:c r="G404" s="27" t="n">
        <x:v>54</x:v>
      </x:c>
      <x:c r="H404" s="27" t="n">
        <x:v>162</x:v>
      </x:c>
      <x:c r="I404" s="52" t="n">
        <x:v>0.74</x:v>
      </x:c>
      <x:c r="J404" s="13" t="str">
        <x:v>本港生产/腹地集散/港内加工</x:v>
      </x:c>
      <x:c r="K404" s="13" t="str">
        <x:v>每7个游戏日补充54货载单位。本地、所属岛链或相连腹地供货；成品由港内工坊加工，贸易规模是本作设计。</x:v>
      </x:c>
      <x:c r="L404" s="13" t="str">
        <x:v>港口发展度达到D1（≥100点）；不要求武装度。</x:v>
      </x:c>
    </x:row>
    <x:row r="405" ht="42" customHeight="1">
      <x:c r="A405" s="15" t="str">
        <x:v>P045</x:v>
      </x:c>
      <x:c r="B405" s="15" t="str">
        <x:v>索法拉</x:v>
      </x:c>
      <x:c r="C405" s="15" t="str">
        <x:v>G088</x:v>
      </x:c>
      <x:c r="D405" s="15" t="str">
        <x:v>蜂蜡</x:v>
      </x:c>
      <x:c r="E405" s="30" t="n">
        <x:v>1</x:v>
      </x:c>
      <x:c r="F405" s="30" t="n">
        <x:v>110</x:v>
      </x:c>
      <x:c r="G405" s="30" t="n">
        <x:v>54</x:v>
      </x:c>
      <x:c r="H405" s="30" t="n">
        <x:v>162</x:v>
      </x:c>
      <x:c r="I405" s="54" t="n">
        <x:v>0.74</x:v>
      </x:c>
      <x:c r="J405" s="15" t="str">
        <x:v>本港生产/腹地集散/港内加工</x:v>
      </x:c>
      <x:c r="K405" s="15" t="str">
        <x:v>每7个游戏日补充54货载单位。本地、所属岛链或相连腹地供货；成品由港内工坊加工，贸易规模是本作设计。</x:v>
      </x:c>
      <x:c r="L405" s="15" t="str">
        <x:v>港口发展度达到D1（≥100点）；不要求武装度。</x:v>
      </x:c>
    </x:row>
    <x:row r="406" ht="42" customHeight="1">
      <x:c r="A406" s="13" t="str">
        <x:v>P045</x:v>
      </x:c>
      <x:c r="B406" s="13" t="str">
        <x:v>索法拉</x:v>
      </x:c>
      <x:c r="C406" s="13" t="str">
        <x:v>G082</x:v>
      </x:c>
      <x:c r="D406" s="13" t="str">
        <x:v>象牙</x:v>
      </x:c>
      <x:c r="E406" s="27" t="n">
        <x:v>2</x:v>
      </x:c>
      <x:c r="F406" s="27" t="n">
        <x:v>450</x:v>
      </x:c>
      <x:c r="G406" s="27" t="n">
        <x:v>21</x:v>
      </x:c>
      <x:c r="H406" s="27" t="n">
        <x:v>63</x:v>
      </x:c>
      <x:c r="I406" s="52" t="n">
        <x:v>0.8</x:v>
      </x:c>
      <x:c r="J406" s="13" t="str">
        <x:v>本港生产/腹地集散/港内加工</x:v>
      </x:c>
      <x:c r="K406" s="13" t="str">
        <x:v>每7个游戏日补充21货载单位。本地、所属岛链或相连腹地供货；成品由港内工坊加工，贸易规模是本作设计。</x:v>
      </x:c>
      <x:c r="L406" s="13" t="str">
        <x:v>港口发展度达到D2（≥250点）；不要求武装度。</x:v>
      </x:c>
    </x:row>
    <x:row r="407" ht="42" customHeight="1">
      <x:c r="A407" s="15" t="str">
        <x:v>P045</x:v>
      </x:c>
      <x:c r="B407" s="15" t="str">
        <x:v>索法拉</x:v>
      </x:c>
      <x:c r="C407" s="15" t="str">
        <x:v>G063</x:v>
      </x:c>
      <x:c r="D407" s="15" t="str">
        <x:v>黄金</x:v>
      </x:c>
      <x:c r="E407" s="30" t="n">
        <x:v>3</x:v>
      </x:c>
      <x:c r="F407" s="30" t="n">
        <x:v>2400</x:v>
      </x:c>
      <x:c r="G407" s="30" t="n">
        <x:v>8</x:v>
      </x:c>
      <x:c r="H407" s="30" t="n">
        <x:v>24</x:v>
      </x:c>
      <x:c r="I407" s="54" t="n">
        <x:v>0.8</x:v>
      </x:c>
      <x:c r="J407" s="15" t="str">
        <x:v>本港生产/腹地集散/港内加工</x:v>
      </x:c>
      <x:c r="K407" s="15" t="str">
        <x:v>每7个游戏日补充8货载单位。本地、所属岛链或相连腹地供货；成品由港内工坊加工，贸易规模是本作设计。</x:v>
      </x:c>
      <x:c r="L407" s="15" t="str">
        <x:v>港口发展度达到D3（≥450点）；不要求武装度。</x:v>
      </x:c>
    </x:row>
    <x:row r="408" ht="42" customHeight="1">
      <x:c r="A408" s="13" t="str">
        <x:v>P045</x:v>
      </x:c>
      <x:c r="B408" s="13" t="str">
        <x:v>索法拉</x:v>
      </x:c>
      <x:c r="C408" s="13" t="str">
        <x:v>G043</x:v>
      </x:c>
      <x:c r="D408" s="13" t="str">
        <x:v>棉布</x:v>
      </x:c>
      <x:c r="E408" s="27" t="n">
        <x:v>4</x:v>
      </x:c>
      <x:c r="F408" s="27" t="n">
        <x:v>160</x:v>
      </x:c>
      <x:c r="G408" s="27" t="n">
        <x:v>18</x:v>
      </x:c>
      <x:c r="H408" s="27" t="n">
        <x:v>54</x:v>
      </x:c>
      <x:c r="I408" s="52" t="n">
        <x:v>1.14</x:v>
      </x:c>
      <x:c r="J408" s="13" t="str">
        <x:v>进口/区域转口</x:v>
      </x:c>
      <x:c r="K408" s="13" t="str">
        <x:v>每7个游戏日补充18货载单位。由区域商队或NPC货船带入；为港口转售供货，不改变商品的原产地区。</x:v>
      </x:c>
      <x:c r="L408" s="13" t="str">
        <x:v>港口发展度达到D4（≥700点）；不要求武装度。</x:v>
      </x:c>
    </x:row>
    <x:row r="409" ht="42" customHeight="1">
      <x:c r="A409" s="15" t="str">
        <x:v>P045</x:v>
      </x:c>
      <x:c r="B409" s="15" t="str">
        <x:v>索法拉</x:v>
      </x:c>
      <x:c r="C409" s="15" t="str">
        <x:v>G073</x:v>
      </x:c>
      <x:c r="D409" s="15" t="str">
        <x:v>珠宝</x:v>
      </x:c>
      <x:c r="E409" s="30" t="n">
        <x:v>5</x:v>
      </x:c>
      <x:c r="F409" s="30" t="n">
        <x:v>760</x:v>
      </x:c>
      <x:c r="G409" s="30" t="n">
        <x:v>5</x:v>
      </x:c>
      <x:c r="H409" s="30" t="n">
        <x:v>15</x:v>
      </x:c>
      <x:c r="I409" s="54" t="n">
        <x:v>0.87</x:v>
      </x:c>
      <x:c r="J409" s="15" t="str">
        <x:v>本港生产/腹地集散/港内加工</x:v>
      </x:c>
      <x:c r="K409" s="15" t="str">
        <x:v>每7个游戏日补充5货载单位。本地、所属岛链或相连腹地供货；成品由港内工坊加工，贸易规模是本作设计。</x:v>
      </x:c>
      <x:c r="L409" s="15" t="str">
        <x:v>港口发展度达到D5（≥1000点）；不要求武装度。</x:v>
      </x:c>
    </x:row>
    <x:row r="410" ht="42" customHeight="1">
      <x:c r="A410" s="13" t="str">
        <x:v>P045</x:v>
      </x:c>
      <x:c r="B410" s="13" t="str">
        <x:v>索法拉</x:v>
      </x:c>
      <x:c r="C410" s="13" t="str">
        <x:v>SP045</x:v>
      </x:c>
      <x:c r="D410" s="13" t="str">
        <x:v>红土金叶航路盒</x:v>
      </x:c>
      <x:c r="E410" s="27" t="n">
        <x:v>4</x:v>
      </x:c>
      <x:c r="F410" s="27" t="n">
        <x:v>1460</x:v>
      </x:c>
      <x:c r="G410" s="27" t="n">
        <x:v>5</x:v>
      </x:c>
      <x:c r="H410" s="27" t="n">
        <x:v>10</x:v>
      </x:c>
      <x:c r="I410" s="52" t="n">
        <x:v>0.78</x:v>
      </x:c>
      <x:c r="J410" s="13" t="str">
        <x:v>港口独占原创工坊特产</x:v>
      </x:c>
      <x:c r="K410" s="13" t="str">
        <x:v>每7个游戏日由「河口金叶匠棚」交货5货载；只在本港形成稳定产源。</x:v>
      </x:c>
      <x:c r="L410" s="13" t="str">
        <x:v>港口发展度达到D4（≥700点）时，投资项目「河口金叶匠棚」自动完工；不要求武装度。</x:v>
      </x:c>
    </x:row>
    <x:row r="411" ht="42" customHeight="1">
      <x:c r="A411" s="15" t="str">
        <x:v>P046</x:v>
      </x:c>
      <x:c r="B411" s="15" t="str">
        <x:v>基尔瓦</x:v>
      </x:c>
      <x:c r="C411" s="15" t="str">
        <x:v>G015</x:v>
      </x:c>
      <x:c r="D411" s="15" t="str">
        <x:v>咸鱼</x:v>
      </x:c>
      <x:c r="E411" s="30" t="n">
        <x:v>0</x:v>
      </x:c>
      <x:c r="F411" s="30" t="n">
        <x:v>65</x:v>
      </x:c>
      <x:c r="G411" s="30" t="n">
        <x:v>130</x:v>
      </x:c>
      <x:c r="H411" s="30" t="n">
        <x:v>390</x:v>
      </x:c>
      <x:c r="I411" s="54" t="n">
        <x:v>0.74</x:v>
      </x:c>
      <x:c r="J411" s="15" t="str">
        <x:v>本港生产/腹地集散/港内加工</x:v>
      </x:c>
      <x:c r="K411" s="15" t="str">
        <x:v>每7个游戏日补充130货载单位。本地、所属岛链或相连腹地供货；成品由港内工坊加工，贸易规模是本作设计。</x:v>
      </x:c>
      <x:c r="L411" s="15" t="str">
        <x:v>港口发展度达到D0（≥0点）；不要求武装度。</x:v>
      </x:c>
    </x:row>
    <x:row r="412" ht="42" customHeight="1">
      <x:c r="A412" s="13" t="str">
        <x:v>P046</x:v>
      </x:c>
      <x:c r="B412" s="13" t="str">
        <x:v>基尔瓦</x:v>
      </x:c>
      <x:c r="C412" s="13" t="str">
        <x:v>G014</x:v>
      </x:c>
      <x:c r="D412" s="13" t="str">
        <x:v>椰子油</x:v>
      </x:c>
      <x:c r="E412" s="27" t="n">
        <x:v>0</x:v>
      </x:c>
      <x:c r="F412" s="27" t="n">
        <x:v>88</x:v>
      </x:c>
      <x:c r="G412" s="27" t="n">
        <x:v>130</x:v>
      </x:c>
      <x:c r="H412" s="27" t="n">
        <x:v>390</x:v>
      </x:c>
      <x:c r="I412" s="52" t="n">
        <x:v>0.74</x:v>
      </x:c>
      <x:c r="J412" s="13" t="str">
        <x:v>本港生产/腹地集散/港内加工</x:v>
      </x:c>
      <x:c r="K412" s="13" t="str">
        <x:v>每7个游戏日补充130货载单位。本地、所属岛链或相连腹地供货；成品由港内工坊加工，贸易规模是本作设计。</x:v>
      </x:c>
      <x:c r="L412" s="13" t="str">
        <x:v>港口发展度达到D0（≥0点）；不要求武装度。</x:v>
      </x:c>
    </x:row>
    <x:row r="413" ht="42" customHeight="1">
      <x:c r="A413" s="15" t="str">
        <x:v>P046</x:v>
      </x:c>
      <x:c r="B413" s="15" t="str">
        <x:v>基尔瓦</x:v>
      </x:c>
      <x:c r="C413" s="15" t="str">
        <x:v>G079</x:v>
      </x:c>
      <x:c r="D413" s="15" t="str">
        <x:v>皮革</x:v>
      </x:c>
      <x:c r="E413" s="30" t="n">
        <x:v>1</x:v>
      </x:c>
      <x:c r="F413" s="30" t="n">
        <x:v>110</x:v>
      </x:c>
      <x:c r="G413" s="30" t="n">
        <x:v>62</x:v>
      </x:c>
      <x:c r="H413" s="30" t="n">
        <x:v>186</x:v>
      </x:c>
      <x:c r="I413" s="54" t="n">
        <x:v>0.74</x:v>
      </x:c>
      <x:c r="J413" s="15" t="str">
        <x:v>本港生产/腹地集散/港内加工</x:v>
      </x:c>
      <x:c r="K413" s="15" t="str">
        <x:v>每7个游戏日补充62货载单位。本地、所属岛链或相连腹地供货；成品由港内工坊加工，贸易规模是本作设计。</x:v>
      </x:c>
      <x:c r="L413" s="15" t="str">
        <x:v>港口发展度达到D1（≥100点）；不要求武装度。</x:v>
      </x:c>
    </x:row>
    <x:row r="414" ht="42" customHeight="1">
      <x:c r="A414" s="13" t="str">
        <x:v>P046</x:v>
      </x:c>
      <x:c r="B414" s="13" t="str">
        <x:v>基尔瓦</x:v>
      </x:c>
      <x:c r="C414" s="13" t="str">
        <x:v>G082</x:v>
      </x:c>
      <x:c r="D414" s="13" t="str">
        <x:v>象牙</x:v>
      </x:c>
      <x:c r="E414" s="27" t="n">
        <x:v>1</x:v>
      </x:c>
      <x:c r="F414" s="27" t="n">
        <x:v>450</x:v>
      </x:c>
      <x:c r="G414" s="27" t="n">
        <x:v>27</x:v>
      </x:c>
      <x:c r="H414" s="27" t="n">
        <x:v>81</x:v>
      </x:c>
      <x:c r="I414" s="52" t="n">
        <x:v>0.74</x:v>
      </x:c>
      <x:c r="J414" s="13" t="str">
        <x:v>本港生产/腹地集散/港内加工</x:v>
      </x:c>
      <x:c r="K414" s="13" t="str">
        <x:v>每7个游戏日补充27货载单位。本地、所属岛链或相连腹地供货；成品由港内工坊加工，贸易规模是本作设计。</x:v>
      </x:c>
      <x:c r="L414" s="13" t="str">
        <x:v>港口发展度达到D1（≥100点）；不要求武装度。</x:v>
      </x:c>
    </x:row>
    <x:row r="415" ht="42" customHeight="1">
      <x:c r="A415" s="15" t="str">
        <x:v>P046</x:v>
      </x:c>
      <x:c r="B415" s="15" t="str">
        <x:v>基尔瓦</x:v>
      </x:c>
      <x:c r="C415" s="15" t="str">
        <x:v>G063</x:v>
      </x:c>
      <x:c r="D415" s="15" t="str">
        <x:v>黄金</x:v>
      </x:c>
      <x:c r="E415" s="30" t="n">
        <x:v>2</x:v>
      </x:c>
      <x:c r="F415" s="30" t="n">
        <x:v>2400</x:v>
      </x:c>
      <x:c r="G415" s="30" t="n">
        <x:v>6</x:v>
      </x:c>
      <x:c r="H415" s="30" t="n">
        <x:v>18</x:v>
      </x:c>
      <x:c r="I415" s="54" t="n">
        <x:v>1.08</x:v>
      </x:c>
      <x:c r="J415" s="15" t="str">
        <x:v>进口/区域转口</x:v>
      </x:c>
      <x:c r="K415" s="15" t="str">
        <x:v>每7个游戏日补充6货载单位。由区域商队或NPC货船带入；为港口转售供货，不改变商品的原产地区。</x:v>
      </x:c>
      <x:c r="L415" s="15" t="str">
        <x:v>港口发展度达到D2（≥250点）；不要求武装度。</x:v>
      </x:c>
    </x:row>
    <x:row r="416" ht="42" customHeight="1">
      <x:c r="A416" s="13" t="str">
        <x:v>P046</x:v>
      </x:c>
      <x:c r="B416" s="13" t="str">
        <x:v>基尔瓦</x:v>
      </x:c>
      <x:c r="C416" s="13" t="str">
        <x:v>G084</x:v>
      </x:c>
      <x:c r="D416" s="13" t="str">
        <x:v>乳香</x:v>
      </x:c>
      <x:c r="E416" s="27" t="n">
        <x:v>3</x:v>
      </x:c>
      <x:c r="F416" s="27" t="n">
        <x:v>340</x:v>
      </x:c>
      <x:c r="G416" s="27" t="n">
        <x:v>6</x:v>
      </x:c>
      <x:c r="H416" s="27" t="n">
        <x:v>18</x:v>
      </x:c>
      <x:c r="I416" s="52" t="n">
        <x:v>1.14</x:v>
      </x:c>
      <x:c r="J416" s="13" t="str">
        <x:v>进口/区域转口</x:v>
      </x:c>
      <x:c r="K416" s="13" t="str">
        <x:v>每7个游戏日补充6货载单位。由区域商队或NPC货船带入；为港口转售供货，不改变商品的原产地区。</x:v>
      </x:c>
      <x:c r="L416" s="13" t="str">
        <x:v>港口发展度达到D3（≥450点）；不要求武装度。</x:v>
      </x:c>
    </x:row>
    <x:row r="417" ht="42" customHeight="1">
      <x:c r="A417" s="15" t="str">
        <x:v>P046</x:v>
      </x:c>
      <x:c r="B417" s="15" t="str">
        <x:v>基尔瓦</x:v>
      </x:c>
      <x:c r="C417" s="15" t="str">
        <x:v>G070</x:v>
      </x:c>
      <x:c r="D417" s="15" t="str">
        <x:v>瓷器</x:v>
      </x:c>
      <x:c r="E417" s="30" t="n">
        <x:v>4</x:v>
      </x:c>
      <x:c r="F417" s="30" t="n">
        <x:v>370</x:v>
      </x:c>
      <x:c r="G417" s="30" t="n">
        <x:v>9</x:v>
      </x:c>
      <x:c r="H417" s="30" t="n">
        <x:v>27</x:v>
      </x:c>
      <x:c r="I417" s="54" t="n">
        <x:v>1.14</x:v>
      </x:c>
      <x:c r="J417" s="15" t="str">
        <x:v>进口/区域转口</x:v>
      </x:c>
      <x:c r="K417" s="15" t="str">
        <x:v>每7个游戏日补充9货载单位。由区域商队或NPC货船带入；为港口转售供货，不改变商品的原产地区。</x:v>
      </x:c>
      <x:c r="L417" s="15" t="str">
        <x:v>港口发展度达到D4（≥700点）；不要求武装度。</x:v>
      </x:c>
    </x:row>
    <x:row r="418" ht="42" customHeight="1">
      <x:c r="A418" s="13" t="str">
        <x:v>P046</x:v>
      </x:c>
      <x:c r="B418" s="13" t="str">
        <x:v>基尔瓦</x:v>
      </x:c>
      <x:c r="C418" s="13" t="str">
        <x:v>G096</x:v>
      </x:c>
      <x:c r="D418" s="13" t="str">
        <x:v>贝壳工艺品</x:v>
      </x:c>
      <x:c r="E418" s="27" t="n">
        <x:v>5</x:v>
      </x:c>
      <x:c r="F418" s="27" t="n">
        <x:v>210</x:v>
      </x:c>
      <x:c r="G418" s="27" t="n">
        <x:v>15</x:v>
      </x:c>
      <x:c r="H418" s="27" t="n">
        <x:v>45</x:v>
      </x:c>
      <x:c r="I418" s="52" t="n">
        <x:v>0.87</x:v>
      </x:c>
      <x:c r="J418" s="13" t="str">
        <x:v>本港生产/腹地集散/港内加工</x:v>
      </x:c>
      <x:c r="K418" s="13" t="str">
        <x:v>每7个游戏日补充15货载单位。本地、所属岛链或相连腹地供货；成品由港内工坊加工，贸易规模是本作设计。</x:v>
      </x:c>
      <x:c r="L418" s="13" t="str">
        <x:v>港口发展度达到D5（≥1000点）；不要求武装度。</x:v>
      </x:c>
    </x:row>
    <x:row r="419" ht="42" customHeight="1">
      <x:c r="A419" s="15" t="str">
        <x:v>P046</x:v>
      </x:c>
      <x:c r="B419" s="15" t="str">
        <x:v>基尔瓦</x:v>
      </x:c>
      <x:c r="C419" s="15" t="str">
        <x:v>SP046</x:v>
      </x:c>
      <x:c r="D419" s="15" t="str">
        <x:v>基尔瓦潮纹瓷嵌盘</x:v>
      </x:c>
      <x:c r="E419" s="30" t="n">
        <x:v>3</x:v>
      </x:c>
      <x:c r="F419" s="30" t="n">
        <x:v>880</x:v>
      </x:c>
      <x:c r="G419" s="30" t="n">
        <x:v>8</x:v>
      </x:c>
      <x:c r="H419" s="30" t="n">
        <x:v>16</x:v>
      </x:c>
      <x:c r="I419" s="54" t="n">
        <x:v>0.78</x:v>
      </x:c>
      <x:c r="J419" s="15" t="str">
        <x:v>港口独占原创工坊特产</x:v>
      </x:c>
      <x:c r="K419" s="15" t="str">
        <x:v>每7个游戏日由「潮纹瓷嵌工坊」交货8货载；只在本港形成稳定产源。</x:v>
      </x:c>
      <x:c r="L419" s="15" t="str">
        <x:v>港口发展度达到D3（≥450点）时，投资项目「潮纹瓷嵌工坊」自动完工；不要求武装度。</x:v>
      </x:c>
    </x:row>
    <x:row r="420" ht="42" customHeight="1">
      <x:c r="A420" s="13" t="str">
        <x:v>P047</x:v>
      </x:c>
      <x:c r="B420" s="13" t="str">
        <x:v>桑给巴尔</x:v>
      </x:c>
      <x:c r="C420" s="13" t="str">
        <x:v>G015</x:v>
      </x:c>
      <x:c r="D420" s="13" t="str">
        <x:v>咸鱼</x:v>
      </x:c>
      <x:c r="E420" s="27" t="n">
        <x:v>0</x:v>
      </x:c>
      <x:c r="F420" s="27" t="n">
        <x:v>65</x:v>
      </x:c>
      <x:c r="G420" s="27" t="n">
        <x:v>136</x:v>
      </x:c>
      <x:c r="H420" s="27" t="n">
        <x:v>408</x:v>
      </x:c>
      <x:c r="I420" s="52" t="n">
        <x:v>0.74</x:v>
      </x:c>
      <x:c r="J420" s="13" t="str">
        <x:v>本港生产/腹地集散/港内加工</x:v>
      </x:c>
      <x:c r="K420" s="13" t="str">
        <x:v>每7个游戏日补充136货载单位。本地、所属岛链或相连腹地供货；成品由港内工坊加工，贸易规模是本作设计。</x:v>
      </x:c>
      <x:c r="L420" s="13" t="str">
        <x:v>港口发展度达到D0（≥0点）；不要求武装度。</x:v>
      </x:c>
    </x:row>
    <x:row r="421" ht="42" customHeight="1">
      <x:c r="A421" s="15" t="str">
        <x:v>P047</x:v>
      </x:c>
      <x:c r="B421" s="15" t="str">
        <x:v>桑给巴尔</x:v>
      </x:c>
      <x:c r="C421" s="15" t="str">
        <x:v>G095</x:v>
      </x:c>
      <x:c r="D421" s="15" t="str">
        <x:v>干椰肉</x:v>
      </x:c>
      <x:c r="E421" s="30" t="n">
        <x:v>0</x:v>
      </x:c>
      <x:c r="F421" s="30" t="n">
        <x:v>60</x:v>
      </x:c>
      <x:c r="G421" s="30" t="n">
        <x:v>136</x:v>
      </x:c>
      <x:c r="H421" s="30" t="n">
        <x:v>408</x:v>
      </x:c>
      <x:c r="I421" s="54" t="n">
        <x:v>0.74</x:v>
      </x:c>
      <x:c r="J421" s="15" t="str">
        <x:v>本港生产/腹地集散/港内加工</x:v>
      </x:c>
      <x:c r="K421" s="15" t="str">
        <x:v>每7个游戏日补充136货载单位。本地、所属岛链或相连腹地供货；成品由港内工坊加工，贸易规模是本作设计。</x:v>
      </x:c>
      <x:c r="L421" s="15" t="str">
        <x:v>港口发展度达到D0（≥0点）；不要求武装度。</x:v>
      </x:c>
    </x:row>
    <x:row r="422" ht="42" customHeight="1">
      <x:c r="A422" s="13" t="str">
        <x:v>P047</x:v>
      </x:c>
      <x:c r="B422" s="13" t="str">
        <x:v>桑给巴尔</x:v>
      </x:c>
      <x:c r="C422" s="13" t="str">
        <x:v>G014</x:v>
      </x:c>
      <x:c r="D422" s="13" t="str">
        <x:v>椰子油</x:v>
      </x:c>
      <x:c r="E422" s="27" t="n">
        <x:v>1</x:v>
      </x:c>
      <x:c r="F422" s="27" t="n">
        <x:v>88</x:v>
      </x:c>
      <x:c r="G422" s="27" t="n">
        <x:v>129</x:v>
      </x:c>
      <x:c r="H422" s="27" t="n">
        <x:v>387</x:v>
      </x:c>
      <x:c r="I422" s="52" t="n">
        <x:v>0.74</x:v>
      </x:c>
      <x:c r="J422" s="13" t="str">
        <x:v>本港生产/腹地集散/港内加工</x:v>
      </x:c>
      <x:c r="K422" s="13" t="str">
        <x:v>每7个游戏日补充129货载单位。本地、所属岛链或相连腹地供货；成品由港内工坊加工，贸易规模是本作设计。</x:v>
      </x:c>
      <x:c r="L422" s="13" t="str">
        <x:v>港口发展度达到D1（≥100点）；不要求武装度。</x:v>
      </x:c>
    </x:row>
    <x:row r="423" ht="42" customHeight="1">
      <x:c r="A423" s="15" t="str">
        <x:v>P047</x:v>
      </x:c>
      <x:c r="B423" s="15" t="str">
        <x:v>桑给巴尔</x:v>
      </x:c>
      <x:c r="C423" s="15" t="str">
        <x:v>G004</x:v>
      </x:c>
      <x:c r="D423" s="15" t="str">
        <x:v>稻米</x:v>
      </x:c>
      <x:c r="E423" s="30" t="n">
        <x:v>1</x:v>
      </x:c>
      <x:c r="F423" s="30" t="n">
        <x:v>55</x:v>
      </x:c>
      <x:c r="G423" s="30" t="n">
        <x:v>86</x:v>
      </x:c>
      <x:c r="H423" s="30" t="n">
        <x:v>258</x:v>
      </x:c>
      <x:c r="I423" s="54" t="n">
        <x:v>1.08</x:v>
      </x:c>
      <x:c r="J423" s="15" t="str">
        <x:v>进口/区域转口</x:v>
      </x:c>
      <x:c r="K423" s="15" t="str">
        <x:v>每7个游戏日补充86货载单位。由区域商队或NPC货船带入；为港口转售供货，不改变商品的原产地区。</x:v>
      </x:c>
      <x:c r="L423" s="15" t="str">
        <x:v>港口发展度达到D1（≥100点）；不要求武装度。</x:v>
      </x:c>
    </x:row>
    <x:row r="424" ht="42" customHeight="1">
      <x:c r="A424" s="13" t="str">
        <x:v>P047</x:v>
      </x:c>
      <x:c r="B424" s="13" t="str">
        <x:v>桑给巴尔</x:v>
      </x:c>
      <x:c r="C424" s="13" t="str">
        <x:v>G082</x:v>
      </x:c>
      <x:c r="D424" s="13" t="str">
        <x:v>象牙</x:v>
      </x:c>
      <x:c r="E424" s="27" t="n">
        <x:v>2</x:v>
      </x:c>
      <x:c r="F424" s="27" t="n">
        <x:v>450</x:v>
      </x:c>
      <x:c r="G424" s="27" t="n">
        <x:v>13</x:v>
      </x:c>
      <x:c r="H424" s="27" t="n">
        <x:v>39</x:v>
      </x:c>
      <x:c r="I424" s="52" t="n">
        <x:v>1.08</x:v>
      </x:c>
      <x:c r="J424" s="13" t="str">
        <x:v>进口/区域转口</x:v>
      </x:c>
      <x:c r="K424" s="13" t="str">
        <x:v>每7个游戏日补充13货载单位。由区域商队或NPC货船带入；为港口转售供货，不改变商品的原产地区。</x:v>
      </x:c>
      <x:c r="L424" s="13" t="str">
        <x:v>港口发展度达到D2（≥250点）；不要求武装度。</x:v>
      </x:c>
    </x:row>
    <x:row r="425" ht="42" customHeight="1">
      <x:c r="A425" s="15" t="str">
        <x:v>P047</x:v>
      </x:c>
      <x:c r="B425" s="15" t="str">
        <x:v>桑给巴尔</x:v>
      </x:c>
      <x:c r="C425" s="15" t="str">
        <x:v>G053</x:v>
      </x:c>
      <x:c r="D425" s="15" t="str">
        <x:v>黑檀木</x:v>
      </x:c>
      <x:c r="E425" s="30" t="n">
        <x:v>3</x:v>
      </x:c>
      <x:c r="F425" s="30" t="n">
        <x:v>360</x:v>
      </x:c>
      <x:c r="G425" s="30" t="n">
        <x:v>77</x:v>
      </x:c>
      <x:c r="H425" s="30" t="n">
        <x:v>231</x:v>
      </x:c>
      <x:c r="I425" s="54" t="n">
        <x:v>0.8</x:v>
      </x:c>
      <x:c r="J425" s="15" t="str">
        <x:v>本港生产/腹地集散/港内加工</x:v>
      </x:c>
      <x:c r="K425" s="15" t="str">
        <x:v>每7个游戏日补充77货载单位。本地、所属岛链或相连腹地供货；成品由港内工坊加工，贸易规模是本作设计。</x:v>
      </x:c>
      <x:c r="L425" s="15" t="str">
        <x:v>港口发展度达到D3（≥450点）；不要求武装度。</x:v>
      </x:c>
    </x:row>
    <x:row r="426" ht="42" customHeight="1">
      <x:c r="A426" s="13" t="str">
        <x:v>P047</x:v>
      </x:c>
      <x:c r="B426" s="13" t="str">
        <x:v>桑给巴尔</x:v>
      </x:c>
      <x:c r="C426" s="13" t="str">
        <x:v>G084</x:v>
      </x:c>
      <x:c r="D426" s="13" t="str">
        <x:v>乳香</x:v>
      </x:c>
      <x:c r="E426" s="27" t="n">
        <x:v>4</x:v>
      </x:c>
      <x:c r="F426" s="27" t="n">
        <x:v>340</x:v>
      </x:c>
      <x:c r="G426" s="27" t="n">
        <x:v>6</x:v>
      </x:c>
      <x:c r="H426" s="27" t="n">
        <x:v>18</x:v>
      </x:c>
      <x:c r="I426" s="52" t="n">
        <x:v>1.14</x:v>
      </x:c>
      <x:c r="J426" s="13" t="str">
        <x:v>进口/区域转口</x:v>
      </x:c>
      <x:c r="K426" s="13" t="str">
        <x:v>每7个游戏日补充6货载单位。由区域商队或NPC货船带入；为港口转售供货，不改变商品的原产地区。</x:v>
      </x:c>
      <x:c r="L426" s="13" t="str">
        <x:v>港口发展度达到D4（≥700点）；不要求武装度。</x:v>
      </x:c>
    </x:row>
    <x:row r="427" ht="42" customHeight="1">
      <x:c r="A427" s="15" t="str">
        <x:v>P047</x:v>
      </x:c>
      <x:c r="B427" s="15" t="str">
        <x:v>桑给巴尔</x:v>
      </x:c>
      <x:c r="C427" s="15" t="str">
        <x:v>G096</x:v>
      </x:c>
      <x:c r="D427" s="15" t="str">
        <x:v>贝壳工艺品</x:v>
      </x:c>
      <x:c r="E427" s="30" t="n">
        <x:v>5</x:v>
      </x:c>
      <x:c r="F427" s="30" t="n">
        <x:v>210</x:v>
      </x:c>
      <x:c r="G427" s="30" t="n">
        <x:v>15</x:v>
      </x:c>
      <x:c r="H427" s="30" t="n">
        <x:v>45</x:v>
      </x:c>
      <x:c r="I427" s="54" t="n">
        <x:v>0.87</x:v>
      </x:c>
      <x:c r="J427" s="15" t="str">
        <x:v>本港生产/腹地集散/港内加工</x:v>
      </x:c>
      <x:c r="K427" s="15" t="str">
        <x:v>每7个游戏日补充15货载单位。本地、所属岛链或相连腹地供货；成品由港内工坊加工，贸易规模是本作设计。</x:v>
      </x:c>
      <x:c r="L427" s="15" t="str">
        <x:v>港口发展度达到D5（≥1000点）；不要求武装度。</x:v>
      </x:c>
    </x:row>
    <x:row r="428" ht="42" customHeight="1">
      <x:c r="A428" s="13" t="str">
        <x:v>P047</x:v>
      </x:c>
      <x:c r="B428" s="13" t="str">
        <x:v>桑给巴尔</x:v>
      </x:c>
      <x:c r="C428" s="13" t="str">
        <x:v>SP047</x:v>
      </x:c>
      <x:c r="D428" s="13" t="str">
        <x:v>月门深雕香匣</x:v>
      </x:c>
      <x:c r="E428" s="27" t="n">
        <x:v>3</x:v>
      </x:c>
      <x:c r="F428" s="27" t="n">
        <x:v>740</x:v>
      </x:c>
      <x:c r="G428" s="27" t="n">
        <x:v>8</x:v>
      </x:c>
      <x:c r="H428" s="27" t="n">
        <x:v>16</x:v>
      </x:c>
      <x:c r="I428" s="52" t="n">
        <x:v>0.78</x:v>
      </x:c>
      <x:c r="J428" s="13" t="str">
        <x:v>港口独占原创工坊特产</x:v>
      </x:c>
      <x:c r="K428" s="13" t="str">
        <x:v>每7个游戏日由「月门雕木坊」交货8货载；只在本港形成稳定产源。</x:v>
      </x:c>
      <x:c r="L428" s="13" t="str">
        <x:v>港口发展度达到D3（≥450点）时，投资项目「月门雕木坊」自动完工；不要求武装度。</x:v>
      </x:c>
    </x:row>
    <x:row r="429" ht="42" customHeight="1">
      <x:c r="A429" s="15" t="str">
        <x:v>P048</x:v>
      </x:c>
      <x:c r="B429" s="15" t="str">
        <x:v>蒙巴萨</x:v>
      </x:c>
      <x:c r="C429" s="15" t="str">
        <x:v>G015</x:v>
      </x:c>
      <x:c r="D429" s="15" t="str">
        <x:v>咸鱼</x:v>
      </x:c>
      <x:c r="E429" s="30" t="n">
        <x:v>0</x:v>
      </x:c>
      <x:c r="F429" s="30" t="n">
        <x:v>65</x:v>
      </x:c>
      <x:c r="G429" s="30" t="n">
        <x:v>144</x:v>
      </x:c>
      <x:c r="H429" s="30" t="n">
        <x:v>432</x:v>
      </x:c>
      <x:c r="I429" s="54" t="n">
        <x:v>0.74</x:v>
      </x:c>
      <x:c r="J429" s="15" t="str">
        <x:v>本港生产/腹地集散/港内加工</x:v>
      </x:c>
      <x:c r="K429" s="15" t="str">
        <x:v>每7个游戏日补充144货载单位。本地、所属岛链或相连腹地供货；成品由港内工坊加工，贸易规模是本作设计。</x:v>
      </x:c>
      <x:c r="L429" s="15" t="str">
        <x:v>港口发展度达到D0（≥0点）；不要求武装度。</x:v>
      </x:c>
    </x:row>
    <x:row r="430" ht="42" customHeight="1">
      <x:c r="A430" s="13" t="str">
        <x:v>P048</x:v>
      </x:c>
      <x:c r="B430" s="13" t="str">
        <x:v>蒙巴萨</x:v>
      </x:c>
      <x:c r="C430" s="13" t="str">
        <x:v>G095</x:v>
      </x:c>
      <x:c r="D430" s="13" t="str">
        <x:v>干椰肉</x:v>
      </x:c>
      <x:c r="E430" s="27" t="n">
        <x:v>0</x:v>
      </x:c>
      <x:c r="F430" s="27" t="n">
        <x:v>60</x:v>
      </x:c>
      <x:c r="G430" s="27" t="n">
        <x:v>144</x:v>
      </x:c>
      <x:c r="H430" s="27" t="n">
        <x:v>432</x:v>
      </x:c>
      <x:c r="I430" s="52" t="n">
        <x:v>0.74</x:v>
      </x:c>
      <x:c r="J430" s="13" t="str">
        <x:v>本港生产/腹地集散/港内加工</x:v>
      </x:c>
      <x:c r="K430" s="13" t="str">
        <x:v>每7个游戏日补充144货载单位。本地、所属岛链或相连腹地供货；成品由港内工坊加工，贸易规模是本作设计。</x:v>
      </x:c>
      <x:c r="L430" s="13" t="str">
        <x:v>港口发展度达到D0（≥0点）；不要求武装度。</x:v>
      </x:c>
    </x:row>
    <x:row r="431" ht="42" customHeight="1">
      <x:c r="A431" s="15" t="str">
        <x:v>P048</x:v>
      </x:c>
      <x:c r="B431" s="15" t="str">
        <x:v>蒙巴萨</x:v>
      </x:c>
      <x:c r="C431" s="15" t="str">
        <x:v>G014</x:v>
      </x:c>
      <x:c r="D431" s="15" t="str">
        <x:v>椰子油</x:v>
      </x:c>
      <x:c r="E431" s="30" t="n">
        <x:v>1</x:v>
      </x:c>
      <x:c r="F431" s="30" t="n">
        <x:v>88</x:v>
      </x:c>
      <x:c r="G431" s="30" t="n">
        <x:v>137</x:v>
      </x:c>
      <x:c r="H431" s="30" t="n">
        <x:v>411</x:v>
      </x:c>
      <x:c r="I431" s="54" t="n">
        <x:v>0.74</x:v>
      </x:c>
      <x:c r="J431" s="15" t="str">
        <x:v>本港生产/腹地集散/港内加工</x:v>
      </x:c>
      <x:c r="K431" s="15" t="str">
        <x:v>每7个游戏日补充137货载单位。本地、所属岛链或相连腹地供货；成品由港内工坊加工，贸易规模是本作设计。</x:v>
      </x:c>
      <x:c r="L431" s="15" t="str">
        <x:v>港口发展度达到D1（≥100点）；不要求武装度。</x:v>
      </x:c>
    </x:row>
    <x:row r="432" ht="42" customHeight="1">
      <x:c r="A432" s="13" t="str">
        <x:v>P048</x:v>
      </x:c>
      <x:c r="B432" s="13" t="str">
        <x:v>蒙巴萨</x:v>
      </x:c>
      <x:c r="C432" s="13" t="str">
        <x:v>G110</x:v>
      </x:c>
      <x:c r="D432" s="13" t="str">
        <x:v>硬木</x:v>
      </x:c>
      <x:c r="E432" s="27" t="n">
        <x:v>1</x:v>
      </x:c>
      <x:c r="F432" s="27" t="n">
        <x:v>135</x:v>
      </x:c>
      <x:c r="G432" s="27" t="n">
        <x:v>108</x:v>
      </x:c>
      <x:c r="H432" s="27" t="n">
        <x:v>324</x:v>
      </x:c>
      <x:c r="I432" s="52" t="n">
        <x:v>0.74</x:v>
      </x:c>
      <x:c r="J432" s="13" t="str">
        <x:v>本港生产/腹地集散/港内加工</x:v>
      </x:c>
      <x:c r="K432" s="13" t="str">
        <x:v>每7个游戏日补充108货载单位。本地、所属岛链或相连腹地供货；成品由港内工坊加工，贸易规模是本作设计。</x:v>
      </x:c>
      <x:c r="L432" s="13" t="str">
        <x:v>港口发展度达到D1（≥100点）；不要求武装度。</x:v>
      </x:c>
    </x:row>
    <x:row r="433" ht="42" customHeight="1">
      <x:c r="A433" s="15" t="str">
        <x:v>P048</x:v>
      </x:c>
      <x:c r="B433" s="15" t="str">
        <x:v>蒙巴萨</x:v>
      </x:c>
      <x:c r="C433" s="15" t="str">
        <x:v>G079</x:v>
      </x:c>
      <x:c r="D433" s="15" t="str">
        <x:v>皮革</x:v>
      </x:c>
      <x:c r="E433" s="30" t="n">
        <x:v>2</x:v>
      </x:c>
      <x:c r="F433" s="30" t="n">
        <x:v>110</x:v>
      </x:c>
      <x:c r="G433" s="30" t="n">
        <x:v>61</x:v>
      </x:c>
      <x:c r="H433" s="30" t="n">
        <x:v>183</x:v>
      </x:c>
      <x:c r="I433" s="54" t="n">
        <x:v>0.8</x:v>
      </x:c>
      <x:c r="J433" s="15" t="str">
        <x:v>本港生产/腹地集散/港内加工</x:v>
      </x:c>
      <x:c r="K433" s="15" t="str">
        <x:v>每7个游戏日补充61货载单位。本地、所属岛链或相连腹地供货；成品由港内工坊加工，贸易规模是本作设计。</x:v>
      </x:c>
      <x:c r="L433" s="15" t="str">
        <x:v>港口发展度达到D2（≥250点）；不要求武装度。</x:v>
      </x:c>
    </x:row>
    <x:row r="434" ht="42" customHeight="1">
      <x:c r="A434" s="13" t="str">
        <x:v>P048</x:v>
      </x:c>
      <x:c r="B434" s="13" t="str">
        <x:v>蒙巴萨</x:v>
      </x:c>
      <x:c r="C434" s="13" t="str">
        <x:v>G082</x:v>
      </x:c>
      <x:c r="D434" s="13" t="str">
        <x:v>象牙</x:v>
      </x:c>
      <x:c r="E434" s="27" t="n">
        <x:v>3</x:v>
      </x:c>
      <x:c r="F434" s="27" t="n">
        <x:v>450</x:v>
      </x:c>
      <x:c r="G434" s="27" t="n">
        <x:v>22</x:v>
      </x:c>
      <x:c r="H434" s="27" t="n">
        <x:v>66</x:v>
      </x:c>
      <x:c r="I434" s="52" t="n">
        <x:v>0.8</x:v>
      </x:c>
      <x:c r="J434" s="13" t="str">
        <x:v>本港生产/腹地集散/港内加工</x:v>
      </x:c>
      <x:c r="K434" s="13" t="str">
        <x:v>每7个游戏日补充22货载单位。本地、所属岛链或相连腹地供货；成品由港内工坊加工，贸易规模是本作设计。</x:v>
      </x:c>
      <x:c r="L434" s="13" t="str">
        <x:v>港口发展度达到D3（≥450点）；不要求武装度。</x:v>
      </x:c>
    </x:row>
    <x:row r="435" ht="42" customHeight="1">
      <x:c r="A435" s="15" t="str">
        <x:v>P048</x:v>
      </x:c>
      <x:c r="B435" s="15" t="str">
        <x:v>蒙巴萨</x:v>
      </x:c>
      <x:c r="C435" s="15" t="str">
        <x:v>G043</x:v>
      </x:c>
      <x:c r="D435" s="15" t="str">
        <x:v>棉布</x:v>
      </x:c>
      <x:c r="E435" s="30" t="n">
        <x:v>4</x:v>
      </x:c>
      <x:c r="F435" s="30" t="n">
        <x:v>160</x:v>
      </x:c>
      <x:c r="G435" s="30" t="n">
        <x:v>23</x:v>
      </x:c>
      <x:c r="H435" s="30" t="n">
        <x:v>69</x:v>
      </x:c>
      <x:c r="I435" s="54" t="n">
        <x:v>1.14</x:v>
      </x:c>
      <x:c r="J435" s="15" t="str">
        <x:v>进口/区域转口</x:v>
      </x:c>
      <x:c r="K435" s="15" t="str">
        <x:v>每7个游戏日补充23货载单位。由区域商队或NPC货船带入；为港口转售供货，不改变商品的原产地区。</x:v>
      </x:c>
      <x:c r="L435" s="15" t="str">
        <x:v>港口发展度达到D4（≥700点）；不要求武装度。</x:v>
      </x:c>
    </x:row>
    <x:row r="436" ht="42" customHeight="1">
      <x:c r="A436" s="13" t="str">
        <x:v>P048</x:v>
      </x:c>
      <x:c r="B436" s="13" t="str">
        <x:v>蒙巴萨</x:v>
      </x:c>
      <x:c r="C436" s="13" t="str">
        <x:v>G096</x:v>
      </x:c>
      <x:c r="D436" s="13" t="str">
        <x:v>贝壳工艺品</x:v>
      </x:c>
      <x:c r="E436" s="27" t="n">
        <x:v>5</x:v>
      </x:c>
      <x:c r="F436" s="27" t="n">
        <x:v>210</x:v>
      </x:c>
      <x:c r="G436" s="27" t="n">
        <x:v>16</x:v>
      </x:c>
      <x:c r="H436" s="27" t="n">
        <x:v>48</x:v>
      </x:c>
      <x:c r="I436" s="52" t="n">
        <x:v>0.87</x:v>
      </x:c>
      <x:c r="J436" s="13" t="str">
        <x:v>本港生产/腹地集散/港内加工</x:v>
      </x:c>
      <x:c r="K436" s="13" t="str">
        <x:v>每7个游戏日补充16货载单位。本地、所属岛链或相连腹地供货；成品由港内工坊加工，贸易规模是本作设计。</x:v>
      </x:c>
      <x:c r="L436" s="13" t="str">
        <x:v>港口发展度达到D5（≥1000点）；不要求武装度。</x:v>
      </x:c>
    </x:row>
    <x:row r="437" ht="42" customHeight="1">
      <x:c r="A437" s="15" t="str">
        <x:v>P048</x:v>
      </x:c>
      <x:c r="B437" s="15" t="str">
        <x:v>蒙巴萨</x:v>
      </x:c>
      <x:c r="C437" s="15" t="str">
        <x:v>SP048</x:v>
      </x:c>
      <x:c r="D437" s="15" t="str">
        <x:v>双溪银纱海披巾</x:v>
      </x:c>
      <x:c r="E437" s="30" t="n">
        <x:v>3</x:v>
      </x:c>
      <x:c r="F437" s="30" t="n">
        <x:v>610</x:v>
      </x:c>
      <x:c r="G437" s="30" t="n">
        <x:v>8</x:v>
      </x:c>
      <x:c r="H437" s="30" t="n">
        <x:v>16</x:v>
      </x:c>
      <x:c r="I437" s="54" t="n">
        <x:v>0.78</x:v>
      </x:c>
      <x:c r="J437" s="15" t="str">
        <x:v>港口独占原创工坊特产</x:v>
      </x:c>
      <x:c r="K437" s="15" t="str">
        <x:v>每7个游戏日由「双溪织绣作坊」交货8货载；只在本港形成稳定产源。</x:v>
      </x:c>
      <x:c r="L437" s="15" t="str">
        <x:v>港口发展度达到D3（≥450点）时，投资项目「双溪织绣作坊」自动完工；不要求武装度。</x:v>
      </x:c>
    </x:row>
    <x:row r="438" ht="42" customHeight="1">
      <x:c r="A438" s="13" t="str">
        <x:v>P049</x:v>
      </x:c>
      <x:c r="B438" s="13" t="str">
        <x:v>陶拉纳鲁</x:v>
      </x:c>
      <x:c r="C438" s="13" t="str">
        <x:v>G004</x:v>
      </x:c>
      <x:c r="D438" s="13" t="str">
        <x:v>稻米</x:v>
      </x:c>
      <x:c r="E438" s="27" t="n">
        <x:v>0</x:v>
      </x:c>
      <x:c r="F438" s="27" t="n">
        <x:v>55</x:v>
      </x:c>
      <x:c r="G438" s="27" t="n">
        <x:v>135</x:v>
      </x:c>
      <x:c r="H438" s="27" t="n">
        <x:v>405</x:v>
      </x:c>
      <x:c r="I438" s="52" t="n">
        <x:v>0.74</x:v>
      </x:c>
      <x:c r="J438" s="13" t="str">
        <x:v>本港生产/腹地集散/港内加工</x:v>
      </x:c>
      <x:c r="K438" s="13" t="str">
        <x:v>每7个游戏日补充135货载单位。本地、所属岛链或相连腹地供货；成品由港内工坊加工，贸易规模是本作设计。</x:v>
      </x:c>
      <x:c r="L438" s="13" t="str">
        <x:v>港口发展度达到D0（≥0点）；不要求武装度。</x:v>
      </x:c>
    </x:row>
    <x:row r="439" ht="42" customHeight="1">
      <x:c r="A439" s="15" t="str">
        <x:v>P049</x:v>
      </x:c>
      <x:c r="B439" s="15" t="str">
        <x:v>陶拉纳鲁</x:v>
      </x:c>
      <x:c r="C439" s="15" t="str">
        <x:v>G015</x:v>
      </x:c>
      <x:c r="D439" s="15" t="str">
        <x:v>咸鱼</x:v>
      </x:c>
      <x:c r="E439" s="30" t="n">
        <x:v>0</x:v>
      </x:c>
      <x:c r="F439" s="30" t="n">
        <x:v>65</x:v>
      </x:c>
      <x:c r="G439" s="30" t="n">
        <x:v>105</x:v>
      </x:c>
      <x:c r="H439" s="30" t="n">
        <x:v>315</x:v>
      </x:c>
      <x:c r="I439" s="54" t="n">
        <x:v>0.74</x:v>
      </x:c>
      <x:c r="J439" s="15" t="str">
        <x:v>本港生产/腹地集散/港内加工</x:v>
      </x:c>
      <x:c r="K439" s="15" t="str">
        <x:v>每7个游戏日补充105货载单位。本地、所属岛链或相连腹地供货；成品由港内工坊加工，贸易规模是本作设计。</x:v>
      </x:c>
      <x:c r="L439" s="15" t="str">
        <x:v>港口发展度达到D0（≥0点）；不要求武装度。</x:v>
      </x:c>
    </x:row>
    <x:row r="440" ht="42" customHeight="1">
      <x:c r="A440" s="13" t="str">
        <x:v>P049</x:v>
      </x:c>
      <x:c r="B440" s="13" t="str">
        <x:v>陶拉纳鲁</x:v>
      </x:c>
      <x:c r="C440" s="13" t="str">
        <x:v>G010</x:v>
      </x:c>
      <x:c r="D440" s="13" t="str">
        <x:v>蜂蜜</x:v>
      </x:c>
      <x:c r="E440" s="27" t="n">
        <x:v>1</x:v>
      </x:c>
      <x:c r="F440" s="27" t="n">
        <x:v>95</x:v>
      </x:c>
      <x:c r="G440" s="27" t="n">
        <x:v>100</x:v>
      </x:c>
      <x:c r="H440" s="27" t="n">
        <x:v>300</x:v>
      </x:c>
      <x:c r="I440" s="52" t="n">
        <x:v>0.74</x:v>
      </x:c>
      <x:c r="J440" s="13" t="str">
        <x:v>本港生产/腹地集散/港内加工</x:v>
      </x:c>
      <x:c r="K440" s="13" t="str">
        <x:v>每7个游戏日补充100货载单位。本地、所属岛链或相连腹地供货；成品由港内工坊加工，贸易规模是本作设计。</x:v>
      </x:c>
      <x:c r="L440" s="13" t="str">
        <x:v>港口发展度达到D1（≥100点）；不要求武装度。</x:v>
      </x:c>
    </x:row>
    <x:row r="441" ht="42" customHeight="1">
      <x:c r="A441" s="15" t="str">
        <x:v>P049</x:v>
      </x:c>
      <x:c r="B441" s="15" t="str">
        <x:v>陶拉纳鲁</x:v>
      </x:c>
      <x:c r="C441" s="15" t="str">
        <x:v>G088</x:v>
      </x:c>
      <x:c r="D441" s="15" t="str">
        <x:v>蜂蜡</x:v>
      </x:c>
      <x:c r="E441" s="30" t="n">
        <x:v>1</x:v>
      </x:c>
      <x:c r="F441" s="30" t="n">
        <x:v>110</x:v>
      </x:c>
      <x:c r="G441" s="30" t="n">
        <x:v>50</x:v>
      </x:c>
      <x:c r="H441" s="30" t="n">
        <x:v>150</x:v>
      </x:c>
      <x:c r="I441" s="54" t="n">
        <x:v>0.74</x:v>
      </x:c>
      <x:c r="J441" s="15" t="str">
        <x:v>本港生产/腹地集散/港内加工</x:v>
      </x:c>
      <x:c r="K441" s="15" t="str">
        <x:v>每7个游戏日补充50货载单位。本地、所属岛链或相连腹地供货；成品由港内工坊加工，贸易规模是本作设计。</x:v>
      </x:c>
      <x:c r="L441" s="15" t="str">
        <x:v>港口发展度达到D1（≥100点）；不要求武装度。</x:v>
      </x:c>
    </x:row>
    <x:row r="442" ht="42" customHeight="1">
      <x:c r="A442" s="13" t="str">
        <x:v>P049</x:v>
      </x:c>
      <x:c r="B442" s="13" t="str">
        <x:v>陶拉纳鲁</x:v>
      </x:c>
      <x:c r="C442" s="13" t="str">
        <x:v>G053</x:v>
      </x:c>
      <x:c r="D442" s="13" t="str">
        <x:v>黑檀木</x:v>
      </x:c>
      <x:c r="E442" s="27" t="n">
        <x:v>2</x:v>
      </x:c>
      <x:c r="F442" s="27" t="n">
        <x:v>360</x:v>
      </x:c>
      <x:c r="G442" s="27" t="n">
        <x:v>70</x:v>
      </x:c>
      <x:c r="H442" s="27" t="n">
        <x:v>210</x:v>
      </x:c>
      <x:c r="I442" s="52" t="n">
        <x:v>0.8</x:v>
      </x:c>
      <x:c r="J442" s="13" t="str">
        <x:v>本港生产/腹地集散/港内加工</x:v>
      </x:c>
      <x:c r="K442" s="13" t="str">
        <x:v>每7个游戏日补充70货载单位。本地、所属岛链或相连腹地供货；成品由港内工坊加工，贸易规模是本作设计。</x:v>
      </x:c>
      <x:c r="L442" s="13" t="str">
        <x:v>港口发展度达到D2（≥250点）；不要求武装度。</x:v>
      </x:c>
    </x:row>
    <x:row r="443" ht="42" customHeight="1">
      <x:c r="A443" s="15" t="str">
        <x:v>P049</x:v>
      </x:c>
      <x:c r="B443" s="15" t="str">
        <x:v>陶拉纳鲁</x:v>
      </x:c>
      <x:c r="C443" s="15" t="str">
        <x:v>G101</x:v>
      </x:c>
      <x:c r="D443" s="15" t="str">
        <x:v>药草</x:v>
      </x:c>
      <x:c r="E443" s="30" t="n">
        <x:v>3</x:v>
      </x:c>
      <x:c r="F443" s="30" t="n">
        <x:v>130</x:v>
      </x:c>
      <x:c r="G443" s="30" t="n">
        <x:v>17</x:v>
      </x:c>
      <x:c r="H443" s="30" t="n">
        <x:v>51</x:v>
      </x:c>
      <x:c r="I443" s="54" t="n">
        <x:v>0.8</x:v>
      </x:c>
      <x:c r="J443" s="15" t="str">
        <x:v>本港生产/腹地集散/港内加工</x:v>
      </x:c>
      <x:c r="K443" s="15" t="str">
        <x:v>每7个游戏日补充17货载单位。本地、所属岛链或相连腹地供货；成品由港内工坊加工，贸易规模是本作设计。</x:v>
      </x:c>
      <x:c r="L443" s="15" t="str">
        <x:v>港口发展度达到D3（≥450点）；不要求武装度。</x:v>
      </x:c>
    </x:row>
    <x:row r="444" ht="42" customHeight="1">
      <x:c r="A444" s="13" t="str">
        <x:v>P049</x:v>
      </x:c>
      <x:c r="B444" s="13" t="str">
        <x:v>陶拉纳鲁</x:v>
      </x:c>
      <x:c r="C444" s="13" t="str">
        <x:v>G079</x:v>
      </x:c>
      <x:c r="D444" s="13" t="str">
        <x:v>皮革</x:v>
      </x:c>
      <x:c r="E444" s="27" t="n">
        <x:v>4</x:v>
      </x:c>
      <x:c r="F444" s="27" t="n">
        <x:v>110</x:v>
      </x:c>
      <x:c r="G444" s="27" t="n">
        <x:v>33</x:v>
      </x:c>
      <x:c r="H444" s="27" t="n">
        <x:v>99</x:v>
      </x:c>
      <x:c r="I444" s="52" t="n">
        <x:v>0.87</x:v>
      </x:c>
      <x:c r="J444" s="13" t="str">
        <x:v>本港生产/腹地集散/港内加工</x:v>
      </x:c>
      <x:c r="K444" s="13" t="str">
        <x:v>每7个游戏日补充33货载单位。本地、所属岛链或相连腹地供货；成品由港内工坊加工，贸易规模是本作设计。</x:v>
      </x:c>
      <x:c r="L444" s="13" t="str">
        <x:v>港口发展度达到D4（≥700点）；不要求武装度。</x:v>
      </x:c>
    </x:row>
    <x:row r="445" ht="42" customHeight="1">
      <x:c r="A445" s="15" t="str">
        <x:v>P049</x:v>
      </x:c>
      <x:c r="B445" s="15" t="str">
        <x:v>陶拉纳鲁</x:v>
      </x:c>
      <x:c r="C445" s="15" t="str">
        <x:v>G096</x:v>
      </x:c>
      <x:c r="D445" s="15" t="str">
        <x:v>贝壳工艺品</x:v>
      </x:c>
      <x:c r="E445" s="30" t="n">
        <x:v>5</x:v>
      </x:c>
      <x:c r="F445" s="30" t="n">
        <x:v>210</x:v>
      </x:c>
      <x:c r="G445" s="30" t="n">
        <x:v>12</x:v>
      </x:c>
      <x:c r="H445" s="30" t="n">
        <x:v>36</x:v>
      </x:c>
      <x:c r="I445" s="54" t="n">
        <x:v>0.87</x:v>
      </x:c>
      <x:c r="J445" s="15" t="str">
        <x:v>本港生产/腹地集散/港内加工</x:v>
      </x:c>
      <x:c r="K445" s="15" t="str">
        <x:v>每7个游戏日补充12货载单位。本地、所属岛链或相连腹地供货；成品由港内工坊加工，贸易规模是本作设计。</x:v>
      </x:c>
      <x:c r="L445" s="15" t="str">
        <x:v>港口发展度达到D5（≥1000点）；不要求武装度。</x:v>
      </x:c>
    </x:row>
    <x:row r="446" ht="42" customHeight="1">
      <x:c r="A446" s="13" t="str">
        <x:v>P049</x:v>
      </x:c>
      <x:c r="B446" s="13" t="str">
        <x:v>陶拉纳鲁</x:v>
      </x:c>
      <x:c r="C446" s="13" t="str">
        <x:v>SP049</x:v>
      </x:c>
      <x:c r="D446" s="13" t="str">
        <x:v>赤岛星眼木雕</x:v>
      </x:c>
      <x:c r="E446" s="27" t="n">
        <x:v>3</x:v>
      </x:c>
      <x:c r="F446" s="27" t="n">
        <x:v>570</x:v>
      </x:c>
      <x:c r="G446" s="27" t="n">
        <x:v>6</x:v>
      </x:c>
      <x:c r="H446" s="27" t="n">
        <x:v>12</x:v>
      </x:c>
      <x:c r="I446" s="52" t="n">
        <x:v>0.78</x:v>
      </x:c>
      <x:c r="J446" s="13" t="str">
        <x:v>港口独占原创工坊特产</x:v>
      </x:c>
      <x:c r="K446" s="13" t="str">
        <x:v>每7个游戏日由「赤土木雕工坊」交货6货载；只在本港形成稳定产源。</x:v>
      </x:c>
      <x:c r="L446" s="13" t="str">
        <x:v>港口发展度达到D3（≥450点）时，投资项目「赤土木雕工坊」自动完工；不要求武装度。</x:v>
      </x:c>
    </x:row>
    <x:row r="447" ht="42" customHeight="1">
      <x:c r="A447" s="15" t="str">
        <x:v>P050</x:v>
      </x:c>
      <x:c r="B447" s="15" t="str">
        <x:v>路易港</x:v>
      </x:c>
      <x:c r="C447" s="15" t="str">
        <x:v>G011</x:v>
      </x:c>
      <x:c r="D447" s="15" t="str">
        <x:v>砂糖</x:v>
      </x:c>
      <x:c r="E447" s="30" t="n">
        <x:v>0</x:v>
      </x:c>
      <x:c r="F447" s="30" t="n">
        <x:v>140</x:v>
      </x:c>
      <x:c r="G447" s="30" t="n">
        <x:v>136</x:v>
      </x:c>
      <x:c r="H447" s="30" t="n">
        <x:v>408</x:v>
      </x:c>
      <x:c r="I447" s="54" t="n">
        <x:v>0.74</x:v>
      </x:c>
      <x:c r="J447" s="15" t="str">
        <x:v>本港生产/腹地集散/港内加工</x:v>
      </x:c>
      <x:c r="K447" s="15" t="str">
        <x:v>每7个游戏日补充136货载单位。本地、所属岛链或相连腹地供货；成品由港内工坊加工，贸易规模是本作设计。</x:v>
      </x:c>
      <x:c r="L447" s="15" t="str">
        <x:v>港口发展度达到D0（≥0点）；不要求武装度。</x:v>
      </x:c>
    </x:row>
    <x:row r="448" ht="42" customHeight="1">
      <x:c r="A448" s="13" t="str">
        <x:v>P050</x:v>
      </x:c>
      <x:c r="B448" s="13" t="str">
        <x:v>路易港</x:v>
      </x:c>
      <x:c r="C448" s="13" t="str">
        <x:v>G015</x:v>
      </x:c>
      <x:c r="D448" s="13" t="str">
        <x:v>咸鱼</x:v>
      </x:c>
      <x:c r="E448" s="27" t="n">
        <x:v>0</x:v>
      </x:c>
      <x:c r="F448" s="27" t="n">
        <x:v>65</x:v>
      </x:c>
      <x:c r="G448" s="27" t="n">
        <x:v>136</x:v>
      </x:c>
      <x:c r="H448" s="27" t="n">
        <x:v>408</x:v>
      </x:c>
      <x:c r="I448" s="52" t="n">
        <x:v>0.74</x:v>
      </x:c>
      <x:c r="J448" s="13" t="str">
        <x:v>本港生产/腹地集散/港内加工</x:v>
      </x:c>
      <x:c r="K448" s="13" t="str">
        <x:v>每7个游戏日补充136货载单位。本地、所属岛链或相连腹地供货；成品由港内工坊加工，贸易规模是本作设计。</x:v>
      </x:c>
      <x:c r="L448" s="13" t="str">
        <x:v>港口发展度达到D0（≥0点）；不要求武装度。</x:v>
      </x:c>
    </x:row>
    <x:row r="449" ht="42" customHeight="1">
      <x:c r="A449" s="15" t="str">
        <x:v>P050</x:v>
      </x:c>
      <x:c r="B449" s="15" t="str">
        <x:v>路易港</x:v>
      </x:c>
      <x:c r="C449" s="15" t="str">
        <x:v>G094</x:v>
      </x:c>
      <x:c r="D449" s="15" t="str">
        <x:v>柑橘</x:v>
      </x:c>
      <x:c r="E449" s="30" t="n">
        <x:v>1</x:v>
      </x:c>
      <x:c r="F449" s="30" t="n">
        <x:v>62</x:v>
      </x:c>
      <x:c r="G449" s="30" t="n">
        <x:v>129</x:v>
      </x:c>
      <x:c r="H449" s="30" t="n">
        <x:v>387</x:v>
      </x:c>
      <x:c r="I449" s="54" t="n">
        <x:v>0.74</x:v>
      </x:c>
      <x:c r="J449" s="15" t="str">
        <x:v>本港生产/腹地集散/港内加工</x:v>
      </x:c>
      <x:c r="K449" s="15" t="str">
        <x:v>每7个游戏日补充129货载单位。本地、所属岛链或相连腹地供货；成品由港内工坊加工，贸易规模是本作设计。</x:v>
      </x:c>
      <x:c r="L449" s="15" t="str">
        <x:v>港口发展度达到D1（≥100点）；不要求武装度。</x:v>
      </x:c>
    </x:row>
    <x:row r="450" ht="42" customHeight="1">
      <x:c r="A450" s="13" t="str">
        <x:v>P050</x:v>
      </x:c>
      <x:c r="B450" s="13" t="str">
        <x:v>路易港</x:v>
      </x:c>
      <x:c r="C450" s="13" t="str">
        <x:v>G012</x:v>
      </x:c>
      <x:c r="D450" s="13" t="str">
        <x:v>糖蜜</x:v>
      </x:c>
      <x:c r="E450" s="27" t="n">
        <x:v>1</x:v>
      </x:c>
      <x:c r="F450" s="27" t="n">
        <x:v>70</x:v>
      </x:c>
      <x:c r="G450" s="27" t="n">
        <x:v>129</x:v>
      </x:c>
      <x:c r="H450" s="27" t="n">
        <x:v>387</x:v>
      </x:c>
      <x:c r="I450" s="52" t="n">
        <x:v>0.74</x:v>
      </x:c>
      <x:c r="J450" s="13" t="str">
        <x:v>本港生产/腹地集散/港内加工</x:v>
      </x:c>
      <x:c r="K450" s="13" t="str">
        <x:v>每7个游戏日补充129货载单位。本地、所属岛链或相连腹地供货；成品由港内工坊加工，贸易规模是本作设计。</x:v>
      </x:c>
      <x:c r="L450" s="13" t="str">
        <x:v>港口发展度达到D1（≥100点）；不要求武装度。</x:v>
      </x:c>
    </x:row>
    <x:row r="451" ht="42" customHeight="1">
      <x:c r="A451" s="15" t="str">
        <x:v>P050</x:v>
      </x:c>
      <x:c r="B451" s="15" t="str">
        <x:v>路易港</x:v>
      </x:c>
      <x:c r="C451" s="15" t="str">
        <x:v>G110</x:v>
      </x:c>
      <x:c r="D451" s="15" t="str">
        <x:v>硬木</x:v>
      </x:c>
      <x:c r="E451" s="30" t="n">
        <x:v>2</x:v>
      </x:c>
      <x:c r="F451" s="30" t="n">
        <x:v>135</x:v>
      </x:c>
      <x:c r="G451" s="30" t="n">
        <x:v>47</x:v>
      </x:c>
      <x:c r="H451" s="30" t="n">
        <x:v>141</x:v>
      </x:c>
      <x:c r="I451" s="54" t="n">
        <x:v>1.08</x:v>
      </x:c>
      <x:c r="J451" s="15" t="str">
        <x:v>进口/区域转口</x:v>
      </x:c>
      <x:c r="K451" s="15" t="str">
        <x:v>每7个游戏日补充47货载单位。由区域商队或NPC货船带入；为港口转售供货，不改变商品的原产地区。</x:v>
      </x:c>
      <x:c r="L451" s="15" t="str">
        <x:v>港口发展度达到D2（≥250点）；不要求武装度。</x:v>
      </x:c>
    </x:row>
    <x:row r="452" ht="42" customHeight="1">
      <x:c r="A452" s="13" t="str">
        <x:v>P050</x:v>
      </x:c>
      <x:c r="B452" s="13" t="str">
        <x:v>路易港</x:v>
      </x:c>
      <x:c r="C452" s="13" t="str">
        <x:v>G014</x:v>
      </x:c>
      <x:c r="D452" s="13" t="str">
        <x:v>椰子油</x:v>
      </x:c>
      <x:c r="E452" s="27" t="n">
        <x:v>3</x:v>
      </x:c>
      <x:c r="F452" s="27" t="n">
        <x:v>88</x:v>
      </x:c>
      <x:c r="G452" s="27" t="n">
        <x:v>98</x:v>
      </x:c>
      <x:c r="H452" s="27" t="n">
        <x:v>294</x:v>
      </x:c>
      <x:c r="I452" s="52" t="n">
        <x:v>0.8</x:v>
      </x:c>
      <x:c r="J452" s="13" t="str">
        <x:v>本港生产/腹地集散/港内加工</x:v>
      </x:c>
      <x:c r="K452" s="13" t="str">
        <x:v>每7个游戏日补充98货载单位。本地、所属岛链或相连腹地供货；成品由港内工坊加工，贸易规模是本作设计。</x:v>
      </x:c>
      <x:c r="L452" s="13" t="str">
        <x:v>港口发展度达到D3（≥450点）；不要求武装度。</x:v>
      </x:c>
    </x:row>
    <x:row r="453" ht="42" customHeight="1">
      <x:c r="A453" s="15" t="str">
        <x:v>P050</x:v>
      </x:c>
      <x:c r="B453" s="15" t="str">
        <x:v>路易港</x:v>
      </x:c>
      <x:c r="C453" s="15" t="str">
        <x:v>G025</x:v>
      </x:c>
      <x:c r="D453" s="15" t="str">
        <x:v>朗姆酒</x:v>
      </x:c>
      <x:c r="E453" s="30" t="n">
        <x:v>4</x:v>
      </x:c>
      <x:c r="F453" s="30" t="n">
        <x:v>155</x:v>
      </x:c>
      <x:c r="G453" s="30" t="n">
        <x:v>43</x:v>
      </x:c>
      <x:c r="H453" s="30" t="n">
        <x:v>129</x:v>
      </x:c>
      <x:c r="I453" s="54" t="n">
        <x:v>0.87</x:v>
      </x:c>
      <x:c r="J453" s="15" t="str">
        <x:v>本港生产/腹地集散/港内加工</x:v>
      </x:c>
      <x:c r="K453" s="15" t="str">
        <x:v>每7个游戏日补充43货载单位。本地、所属岛链或相连腹地供货；成品由港内工坊加工，贸易规模是本作设计。</x:v>
      </x:c>
      <x:c r="L453" s="15" t="str">
        <x:v>港口发展度达到D4（≥700点）；不要求武装度。</x:v>
      </x:c>
    </x:row>
    <x:row r="454" ht="42" customHeight="1">
      <x:c r="A454" s="13" t="str">
        <x:v>P050</x:v>
      </x:c>
      <x:c r="B454" s="13" t="str">
        <x:v>路易港</x:v>
      </x:c>
      <x:c r="C454" s="13" t="str">
        <x:v>G099</x:v>
      </x:c>
      <x:c r="D454" s="13" t="str">
        <x:v>航海仪器</x:v>
      </x:c>
      <x:c r="E454" s="27" t="n">
        <x:v>5</x:v>
      </x:c>
      <x:c r="F454" s="27" t="n">
        <x:v>650</x:v>
      </x:c>
      <x:c r="G454" s="27" t="n">
        <x:v>3</x:v>
      </x:c>
      <x:c r="H454" s="27" t="n">
        <x:v>9</x:v>
      </x:c>
      <x:c r="I454" s="52" t="n">
        <x:v>1.14</x:v>
      </x:c>
      <x:c r="J454" s="13" t="str">
        <x:v>进口/区域转口</x:v>
      </x:c>
      <x:c r="K454" s="13" t="str">
        <x:v>每7个游戏日补充3货载单位。由区域商队或NPC货船带入；为港口转售供货，不改变商品的原产地区。</x:v>
      </x:c>
      <x:c r="L454" s="13" t="str">
        <x:v>港口发展度达到D5（≥1000点）；不要求武装度。</x:v>
      </x:c>
    </x:row>
    <x:row r="455" ht="42" customHeight="1">
      <x:c r="A455" s="15" t="str">
        <x:v>P050</x:v>
      </x:c>
      <x:c r="B455" s="15" t="str">
        <x:v>路易港</x:v>
      </x:c>
      <x:c r="C455" s="15" t="str">
        <x:v>SP050</x:v>
      </x:c>
      <x:c r="D455" s="15" t="str">
        <x:v>星湾蔗心陈酿</x:v>
      </x:c>
      <x:c r="E455" s="30" t="n">
        <x:v>3</x:v>
      </x:c>
      <x:c r="F455" s="30" t="n">
        <x:v>590</x:v>
      </x:c>
      <x:c r="G455" s="30" t="n">
        <x:v>8</x:v>
      </x:c>
      <x:c r="H455" s="30" t="n">
        <x:v>16</x:v>
      </x:c>
      <x:c r="I455" s="54" t="n">
        <x:v>0.78</x:v>
      </x:c>
      <x:c r="J455" s="15" t="str">
        <x:v>港口独占原创工坊特产</x:v>
      </x:c>
      <x:c r="K455" s="15" t="str">
        <x:v>每7个游戏日由「星湾蔗心蒸馏坊」交货8货载；只在本港形成稳定产源。</x:v>
      </x:c>
      <x:c r="L455" s="15" t="str">
        <x:v>港口发展度达到D3（≥450点）时，投资项目「星湾蔗心蒸馏坊」自动完工；不要求武装度。</x:v>
      </x:c>
    </x:row>
    <x:row r="456" ht="42" customHeight="1">
      <x:c r="A456" s="13" t="str">
        <x:v>P051</x:v>
      </x:c>
      <x:c r="B456" s="13" t="str">
        <x:v>亚丁</x:v>
      </x:c>
      <x:c r="C456" s="13" t="str">
        <x:v>G015</x:v>
      </x:c>
      <x:c r="D456" s="13" t="str">
        <x:v>咸鱼</x:v>
      </x:c>
      <x:c r="E456" s="27" t="n">
        <x:v>0</x:v>
      </x:c>
      <x:c r="F456" s="27" t="n">
        <x:v>65</x:v>
      </x:c>
      <x:c r="G456" s="27" t="n">
        <x:v>153</x:v>
      </x:c>
      <x:c r="H456" s="27" t="n">
        <x:v>459</x:v>
      </x:c>
      <x:c r="I456" s="52" t="n">
        <x:v>0.74</x:v>
      </x:c>
      <x:c r="J456" s="13" t="str">
        <x:v>本港生产/腹地集散/港内加工</x:v>
      </x:c>
      <x:c r="K456" s="13" t="str">
        <x:v>每7个游戏日补充153货载单位。本地、所属岛链或相连腹地供货；成品由港内工坊加工，贸易规模是本作设计。</x:v>
      </x:c>
      <x:c r="L456" s="13" t="str">
        <x:v>港口发展度达到D0（≥0点）；不要求武装度。</x:v>
      </x:c>
    </x:row>
    <x:row r="457" ht="42" customHeight="1">
      <x:c r="A457" s="15" t="str">
        <x:v>P051</x:v>
      </x:c>
      <x:c r="B457" s="15" t="str">
        <x:v>亚丁</x:v>
      </x:c>
      <x:c r="C457" s="15" t="str">
        <x:v>G102</x:v>
      </x:c>
      <x:c r="D457" s="15" t="str">
        <x:v>椰枣</x:v>
      </x:c>
      <x:c r="E457" s="30" t="n">
        <x:v>0</x:v>
      </x:c>
      <x:c r="F457" s="30" t="n">
        <x:v>78</x:v>
      </x:c>
      <x:c r="G457" s="30" t="n">
        <x:v>79</x:v>
      </x:c>
      <x:c r="H457" s="30" t="n">
        <x:v>237</x:v>
      </x:c>
      <x:c r="I457" s="54" t="n">
        <x:v>1.08</x:v>
      </x:c>
      <x:c r="J457" s="15" t="str">
        <x:v>进口/区域转口</x:v>
      </x:c>
      <x:c r="K457" s="15" t="str">
        <x:v>每7个游戏日补充79货载单位。由区域商队或NPC货船带入；为港口转售供货，不改变商品的原产地区。</x:v>
      </x:c>
      <x:c r="L457" s="15" t="str">
        <x:v>港口发展度达到D0（≥0点）；不要求武装度。</x:v>
      </x:c>
    </x:row>
    <x:row r="458" ht="42" customHeight="1">
      <x:c r="A458" s="13" t="str">
        <x:v>P051</x:v>
      </x:c>
      <x:c r="B458" s="13" t="str">
        <x:v>亚丁</x:v>
      </x:c>
      <x:c r="C458" s="13" t="str">
        <x:v>G009</x:v>
      </x:c>
      <x:c r="D458" s="13" t="str">
        <x:v>盐</x:v>
      </x:c>
      <x:c r="E458" s="27" t="n">
        <x:v>1</x:v>
      </x:c>
      <x:c r="F458" s="27" t="n">
        <x:v>28</x:v>
      </x:c>
      <x:c r="G458" s="27" t="n">
        <x:v>145</x:v>
      </x:c>
      <x:c r="H458" s="27" t="n">
        <x:v>435</x:v>
      </x:c>
      <x:c r="I458" s="52" t="n">
        <x:v>0.74</x:v>
      </x:c>
      <x:c r="J458" s="13" t="str">
        <x:v>本港生产/腹地集散/港内加工</x:v>
      </x:c>
      <x:c r="K458" s="13" t="str">
        <x:v>每7个游戏日补充145货载单位。本地、所属岛链或相连腹地供货；成品由港内工坊加工，贸易规模是本作设计。</x:v>
      </x:c>
      <x:c r="L458" s="13" t="str">
        <x:v>港口发展度达到D1（≥100点）；不要求武装度。</x:v>
      </x:c>
    </x:row>
    <x:row r="459" ht="42" customHeight="1">
      <x:c r="A459" s="15" t="str">
        <x:v>P051</x:v>
      </x:c>
      <x:c r="B459" s="15" t="str">
        <x:v>亚丁</x:v>
      </x:c>
      <x:c r="C459" s="15" t="str">
        <x:v>G084</x:v>
      </x:c>
      <x:c r="D459" s="15" t="str">
        <x:v>乳香</x:v>
      </x:c>
      <x:c r="E459" s="30" t="n">
        <x:v>1</x:v>
      </x:c>
      <x:c r="F459" s="30" t="n">
        <x:v>340</x:v>
      </x:c>
      <x:c r="G459" s="30" t="n">
        <x:v>10</x:v>
      </x:c>
      <x:c r="H459" s="30" t="n">
        <x:v>30</x:v>
      </x:c>
      <x:c r="I459" s="54" t="n">
        <x:v>1.08</x:v>
      </x:c>
      <x:c r="J459" s="15" t="str">
        <x:v>进口/区域转口</x:v>
      </x:c>
      <x:c r="K459" s="15" t="str">
        <x:v>每7个游戏日补充10货载单位。由区域商队或NPC货船带入；为港口转售供货，不改变商品的原产地区。</x:v>
      </x:c>
      <x:c r="L459" s="15" t="str">
        <x:v>港口发展度达到D1（≥100点）；不要求武装度。</x:v>
      </x:c>
    </x:row>
    <x:row r="460" ht="42" customHeight="1">
      <x:c r="A460" s="13" t="str">
        <x:v>P051</x:v>
      </x:c>
      <x:c r="B460" s="13" t="str">
        <x:v>亚丁</x:v>
      </x:c>
      <x:c r="C460" s="13" t="str">
        <x:v>G085</x:v>
      </x:c>
      <x:c r="D460" s="13" t="str">
        <x:v>没药</x:v>
      </x:c>
      <x:c r="E460" s="27" t="n">
        <x:v>2</x:v>
      </x:c>
      <x:c r="F460" s="27" t="n">
        <x:v>280</x:v>
      </x:c>
      <x:c r="G460" s="27" t="n">
        <x:v>9</x:v>
      </x:c>
      <x:c r="H460" s="27" t="n">
        <x:v>27</x:v>
      </x:c>
      <x:c r="I460" s="52" t="n">
        <x:v>1.08</x:v>
      </x:c>
      <x:c r="J460" s="13" t="str">
        <x:v>进口/区域转口</x:v>
      </x:c>
      <x:c r="K460" s="13" t="str">
        <x:v>每7个游戏日补充9货载单位。由区域商队或NPC货船带入；为港口转售供货，不改变商品的原产地区。</x:v>
      </x:c>
      <x:c r="L460" s="13" t="str">
        <x:v>港口发展度达到D2（≥250点）；不要求武装度。</x:v>
      </x:c>
    </x:row>
    <x:row r="461" ht="42" customHeight="1">
      <x:c r="A461" s="15" t="str">
        <x:v>P051</x:v>
      </x:c>
      <x:c r="B461" s="15" t="str">
        <x:v>亚丁</x:v>
      </x:c>
      <x:c r="C461" s="15" t="str">
        <x:v>G021</x:v>
      </x:c>
      <x:c r="D461" s="15" t="str">
        <x:v>咖啡</x:v>
      </x:c>
      <x:c r="E461" s="30" t="n">
        <x:v>3</x:v>
      </x:c>
      <x:c r="F461" s="30" t="n">
        <x:v>240</x:v>
      </x:c>
      <x:c r="G461" s="30" t="n">
        <x:v>20</x:v>
      </x:c>
      <x:c r="H461" s="30" t="n">
        <x:v>60</x:v>
      </x:c>
      <x:c r="I461" s="54" t="n">
        <x:v>1.14</x:v>
      </x:c>
      <x:c r="J461" s="15" t="str">
        <x:v>进口/区域转口</x:v>
      </x:c>
      <x:c r="K461" s="15" t="str">
        <x:v>每7个游戏日补充20货载单位。由区域商队或NPC货船带入；为港口转售供货，不改变商品的原产地区。</x:v>
      </x:c>
      <x:c r="L461" s="15" t="str">
        <x:v>港口发展度达到D3（≥450点）；不要求武装度。</x:v>
      </x:c>
    </x:row>
    <x:row r="462" ht="42" customHeight="1">
      <x:c r="A462" s="13" t="str">
        <x:v>P051</x:v>
      </x:c>
      <x:c r="B462" s="13" t="str">
        <x:v>亚丁</x:v>
      </x:c>
      <x:c r="C462" s="13" t="str">
        <x:v>G043</x:v>
      </x:c>
      <x:c r="D462" s="13" t="str">
        <x:v>棉布</x:v>
      </x:c>
      <x:c r="E462" s="27" t="n">
        <x:v>4</x:v>
      </x:c>
      <x:c r="F462" s="27" t="n">
        <x:v>160</x:v>
      </x:c>
      <x:c r="G462" s="27" t="n">
        <x:v>25</x:v>
      </x:c>
      <x:c r="H462" s="27" t="n">
        <x:v>75</x:v>
      </x:c>
      <x:c r="I462" s="52" t="n">
        <x:v>1.14</x:v>
      </x:c>
      <x:c r="J462" s="13" t="str">
        <x:v>进口/区域转口</x:v>
      </x:c>
      <x:c r="K462" s="13" t="str">
        <x:v>每7个游戏日补充25货载单位。由区域商队或NPC货船带入；为港口转售供货，不改变商品的原产地区。</x:v>
      </x:c>
      <x:c r="L462" s="13" t="str">
        <x:v>港口发展度达到D4（≥700点）；不要求武装度。</x:v>
      </x:c>
    </x:row>
    <x:row r="463" ht="42" customHeight="1">
      <x:c r="A463" s="15" t="str">
        <x:v>P051</x:v>
      </x:c>
      <x:c r="B463" s="15" t="str">
        <x:v>亚丁</x:v>
      </x:c>
      <x:c r="C463" s="15" t="str">
        <x:v>G087</x:v>
      </x:c>
      <x:c r="D463" s="15" t="str">
        <x:v>香水</x:v>
      </x:c>
      <x:c r="E463" s="30" t="n">
        <x:v>5</x:v>
      </x:c>
      <x:c r="F463" s="30" t="n">
        <x:v>570</x:v>
      </x:c>
      <x:c r="G463" s="30" t="n">
        <x:v>10</x:v>
      </x:c>
      <x:c r="H463" s="30" t="n">
        <x:v>30</x:v>
      </x:c>
      <x:c r="I463" s="54" t="n">
        <x:v>0.87</x:v>
      </x:c>
      <x:c r="J463" s="15" t="str">
        <x:v>本港生产/腹地集散/港内加工</x:v>
      </x:c>
      <x:c r="K463" s="15" t="str">
        <x:v>每7个游戏日补充10货载单位。本地、所属岛链或相连腹地供货；成品由港内工坊加工，贸易规模是本作设计。</x:v>
      </x:c>
      <x:c r="L463" s="15" t="str">
        <x:v>港口发展度达到D5（≥1000点）；不要求武装度。</x:v>
      </x:c>
    </x:row>
    <x:row r="464" ht="42" customHeight="1">
      <x:c r="A464" s="13" t="str">
        <x:v>P051</x:v>
      </x:c>
      <x:c r="B464" s="13" t="str">
        <x:v>亚丁</x:v>
      </x:c>
      <x:c r="C464" s="13" t="str">
        <x:v>SP051</x:v>
      </x:c>
      <x:c r="D464" s="13" t="str">
        <x:v>火山蓝香炉盏</x:v>
      </x:c>
      <x:c r="E464" s="27" t="n">
        <x:v>3</x:v>
      </x:c>
      <x:c r="F464" s="27" t="n">
        <x:v>660</x:v>
      </x:c>
      <x:c r="G464" s="27" t="n">
        <x:v>9</x:v>
      </x:c>
      <x:c r="H464" s="27" t="n">
        <x:v>18</x:v>
      </x:c>
      <x:c r="I464" s="52" t="n">
        <x:v>0.78</x:v>
      </x:c>
      <x:c r="J464" s="13" t="str">
        <x:v>港口独占原创工坊特产</x:v>
      </x:c>
      <x:c r="K464" s="13" t="str">
        <x:v>每7个游戏日由「火山蓝釉香具坊」交货9货载；只在本港形成稳定产源。</x:v>
      </x:c>
      <x:c r="L464" s="13" t="str">
        <x:v>港口发展度达到D3（≥450点）时，投资项目「火山蓝釉香具坊」自动完工；不要求武装度。</x:v>
      </x:c>
    </x:row>
    <x:row r="465" ht="42" customHeight="1">
      <x:c r="A465" s="15" t="str">
        <x:v>P052</x:v>
      </x:c>
      <x:c r="B465" s="15" t="str">
        <x:v>摩卡</x:v>
      </x:c>
      <x:c r="C465" s="15" t="str">
        <x:v>G015</x:v>
      </x:c>
      <x:c r="D465" s="15" t="str">
        <x:v>咸鱼</x:v>
      </x:c>
      <x:c r="E465" s="30" t="n">
        <x:v>0</x:v>
      </x:c>
      <x:c r="F465" s="30" t="n">
        <x:v>65</x:v>
      </x:c>
      <x:c r="G465" s="30" t="n">
        <x:v>155</x:v>
      </x:c>
      <x:c r="H465" s="30" t="n">
        <x:v>465</x:v>
      </x:c>
      <x:c r="I465" s="54" t="n">
        <x:v>0.74</x:v>
      </x:c>
      <x:c r="J465" s="15" t="str">
        <x:v>本港生产/腹地集散/港内加工</x:v>
      </x:c>
      <x:c r="K465" s="15" t="str">
        <x:v>每7个游戏日补充155货载单位。本地、所属岛链或相连腹地供货；成品由港内工坊加工，贸易规模是本作设计。</x:v>
      </x:c>
      <x:c r="L465" s="15" t="str">
        <x:v>港口发展度达到D0（≥0点）；不要求武装度。</x:v>
      </x:c>
    </x:row>
    <x:row r="466" ht="42" customHeight="1">
      <x:c r="A466" s="13" t="str">
        <x:v>P052</x:v>
      </x:c>
      <x:c r="B466" s="13" t="str">
        <x:v>摩卡</x:v>
      </x:c>
      <x:c r="C466" s="13" t="str">
        <x:v>G102</x:v>
      </x:c>
      <x:c r="D466" s="13" t="str">
        <x:v>椰枣</x:v>
      </x:c>
      <x:c r="E466" s="27" t="n">
        <x:v>0</x:v>
      </x:c>
      <x:c r="F466" s="27" t="n">
        <x:v>78</x:v>
      </x:c>
      <x:c r="G466" s="27" t="n">
        <x:v>155</x:v>
      </x:c>
      <x:c r="H466" s="27" t="n">
        <x:v>465</x:v>
      </x:c>
      <x:c r="I466" s="52" t="n">
        <x:v>0.74</x:v>
      </x:c>
      <x:c r="J466" s="13" t="str">
        <x:v>本港生产/腹地集散/港内加工</x:v>
      </x:c>
      <x:c r="K466" s="13" t="str">
        <x:v>每7个游戏日补充155货载单位。本地、所属岛链或相连腹地供货；成品由港内工坊加工，贸易规模是本作设计。</x:v>
      </x:c>
      <x:c r="L466" s="13" t="str">
        <x:v>港口发展度达到D0（≥0点）；不要求武装度。</x:v>
      </x:c>
    </x:row>
    <x:row r="467" ht="42" customHeight="1">
      <x:c r="A467" s="15" t="str">
        <x:v>P052</x:v>
      </x:c>
      <x:c r="B467" s="15" t="str">
        <x:v>摩卡</x:v>
      </x:c>
      <x:c r="C467" s="15" t="str">
        <x:v>G009</x:v>
      </x:c>
      <x:c r="D467" s="15" t="str">
        <x:v>盐</x:v>
      </x:c>
      <x:c r="E467" s="30" t="n">
        <x:v>1</x:v>
      </x:c>
      <x:c r="F467" s="30" t="n">
        <x:v>28</x:v>
      </x:c>
      <x:c r="G467" s="30" t="n">
        <x:v>148</x:v>
      </x:c>
      <x:c r="H467" s="30" t="n">
        <x:v>444</x:v>
      </x:c>
      <x:c r="I467" s="54" t="n">
        <x:v>0.74</x:v>
      </x:c>
      <x:c r="J467" s="15" t="str">
        <x:v>本港生产/腹地集散/港内加工</x:v>
      </x:c>
      <x:c r="K467" s="15" t="str">
        <x:v>每7个游戏日补充148货载单位。本地、所属岛链或相连腹地供货；成品由港内工坊加工，贸易规模是本作设计。</x:v>
      </x:c>
      <x:c r="L467" s="15" t="str">
        <x:v>港口发展度达到D1（≥100点）；不要求武装度。</x:v>
      </x:c>
    </x:row>
    <x:row r="468" ht="42" customHeight="1">
      <x:c r="A468" s="13" t="str">
        <x:v>P052</x:v>
      </x:c>
      <x:c r="B468" s="13" t="str">
        <x:v>摩卡</x:v>
      </x:c>
      <x:c r="C468" s="13" t="str">
        <x:v>G021</x:v>
      </x:c>
      <x:c r="D468" s="13" t="str">
        <x:v>咖啡</x:v>
      </x:c>
      <x:c r="E468" s="27" t="n">
        <x:v>1</x:v>
      </x:c>
      <x:c r="F468" s="27" t="n">
        <x:v>240</x:v>
      </x:c>
      <x:c r="G468" s="27" t="n">
        <x:v>51</x:v>
      </x:c>
      <x:c r="H468" s="27" t="n">
        <x:v>153</x:v>
      </x:c>
      <x:c r="I468" s="52" t="n">
        <x:v>0.74</x:v>
      </x:c>
      <x:c r="J468" s="13" t="str">
        <x:v>本港生产/腹地集散/港内加工</x:v>
      </x:c>
      <x:c r="K468" s="13" t="str">
        <x:v>每7个游戏日补充51货载单位。本地、所属岛链或相连腹地供货；成品由港内工坊加工，贸易规模是本作设计。</x:v>
      </x:c>
      <x:c r="L468" s="13" t="str">
        <x:v>港口发展度达到D1（≥100点）；不要求武装度。</x:v>
      </x:c>
    </x:row>
    <x:row r="469" ht="42" customHeight="1">
      <x:c r="A469" s="15" t="str">
        <x:v>P052</x:v>
      </x:c>
      <x:c r="B469" s="15" t="str">
        <x:v>摩卡</x:v>
      </x:c>
      <x:c r="C469" s="15" t="str">
        <x:v>G084</x:v>
      </x:c>
      <x:c r="D469" s="15" t="str">
        <x:v>乳香</x:v>
      </x:c>
      <x:c r="E469" s="30" t="n">
        <x:v>2</x:v>
      </x:c>
      <x:c r="F469" s="30" t="n">
        <x:v>340</x:v>
      </x:c>
      <x:c r="G469" s="30" t="n">
        <x:v>9</x:v>
      </x:c>
      <x:c r="H469" s="30" t="n">
        <x:v>27</x:v>
      </x:c>
      <x:c r="I469" s="54" t="n">
        <x:v>1.08</x:v>
      </x:c>
      <x:c r="J469" s="15" t="str">
        <x:v>进口/区域转口</x:v>
      </x:c>
      <x:c r="K469" s="15" t="str">
        <x:v>每7个游戏日补充9货载单位。由区域商队或NPC货船带入；为港口转售供货，不改变商品的原产地区。</x:v>
      </x:c>
      <x:c r="L469" s="15" t="str">
        <x:v>港口发展度达到D2（≥250点）；不要求武装度。</x:v>
      </x:c>
    </x:row>
    <x:row r="470" ht="42" customHeight="1">
      <x:c r="A470" s="13" t="str">
        <x:v>P052</x:v>
      </x:c>
      <x:c r="B470" s="13" t="str">
        <x:v>摩卡</x:v>
      </x:c>
      <x:c r="C470" s="13" t="str">
        <x:v>G101</x:v>
      </x:c>
      <x:c r="D470" s="13" t="str">
        <x:v>药草</x:v>
      </x:c>
      <x:c r="E470" s="27" t="n">
        <x:v>3</x:v>
      </x:c>
      <x:c r="F470" s="27" t="n">
        <x:v>130</x:v>
      </x:c>
      <x:c r="G470" s="27" t="n">
        <x:v>26</x:v>
      </x:c>
      <x:c r="H470" s="27" t="n">
        <x:v>78</x:v>
      </x:c>
      <x:c r="I470" s="52" t="n">
        <x:v>0.8</x:v>
      </x:c>
      <x:c r="J470" s="13" t="str">
        <x:v>本港生产/腹地集散/港内加工</x:v>
      </x:c>
      <x:c r="K470" s="13" t="str">
        <x:v>每7个游戏日补充26货载单位。本地、所属岛链或相连腹地供货；成品由港内工坊加工，贸易规模是本作设计。</x:v>
      </x:c>
      <x:c r="L470" s="13" t="str">
        <x:v>港口发展度达到D3（≥450点）；不要求武装度。</x:v>
      </x:c>
    </x:row>
    <x:row r="471" ht="42" customHeight="1">
      <x:c r="A471" s="15" t="str">
        <x:v>P052</x:v>
      </x:c>
      <x:c r="B471" s="15" t="str">
        <x:v>摩卡</x:v>
      </x:c>
      <x:c r="C471" s="15" t="str">
        <x:v>G043</x:v>
      </x:c>
      <x:c r="D471" s="15" t="str">
        <x:v>棉布</x:v>
      </x:c>
      <x:c r="E471" s="30" t="n">
        <x:v>4</x:v>
      </x:c>
      <x:c r="F471" s="30" t="n">
        <x:v>160</x:v>
      </x:c>
      <x:c r="G471" s="30" t="n">
        <x:v>25</x:v>
      </x:c>
      <x:c r="H471" s="30" t="n">
        <x:v>75</x:v>
      </x:c>
      <x:c r="I471" s="54" t="n">
        <x:v>1.14</x:v>
      </x:c>
      <x:c r="J471" s="15" t="str">
        <x:v>进口/区域转口</x:v>
      </x:c>
      <x:c r="K471" s="15" t="str">
        <x:v>每7个游戏日补充25货载单位。由区域商队或NPC货船带入；为港口转售供货，不改变商品的原产地区。</x:v>
      </x:c>
      <x:c r="L471" s="15" t="str">
        <x:v>港口发展度达到D4（≥700点）；不要求武装度。</x:v>
      </x:c>
    </x:row>
    <x:row r="472" ht="42" customHeight="1">
      <x:c r="A472" s="13" t="str">
        <x:v>P052</x:v>
      </x:c>
      <x:c r="B472" s="13" t="str">
        <x:v>摩卡</x:v>
      </x:c>
      <x:c r="C472" s="13" t="str">
        <x:v>G087</x:v>
      </x:c>
      <x:c r="D472" s="13" t="str">
        <x:v>香水</x:v>
      </x:c>
      <x:c r="E472" s="27" t="n">
        <x:v>5</x:v>
      </x:c>
      <x:c r="F472" s="27" t="n">
        <x:v>570</x:v>
      </x:c>
      <x:c r="G472" s="27" t="n">
        <x:v>10</x:v>
      </x:c>
      <x:c r="H472" s="27" t="n">
        <x:v>30</x:v>
      </x:c>
      <x:c r="I472" s="52" t="n">
        <x:v>0.87</x:v>
      </x:c>
      <x:c r="J472" s="13" t="str">
        <x:v>本港生产/腹地集散/港内加工</x:v>
      </x:c>
      <x:c r="K472" s="13" t="str">
        <x:v>每7个游戏日补充10货载单位。本地、所属岛链或相连腹地供货；成品由港内工坊加工，贸易规模是本作设计。</x:v>
      </x:c>
      <x:c r="L472" s="13" t="str">
        <x:v>港口发展度达到D5（≥1000点）；不要求武装度。</x:v>
      </x:c>
    </x:row>
    <x:row r="473" ht="42" customHeight="1">
      <x:c r="A473" s="15" t="str">
        <x:v>P052</x:v>
      </x:c>
      <x:c r="B473" s="15" t="str">
        <x:v>摩卡</x:v>
      </x:c>
      <x:c r="C473" s="15" t="str">
        <x:v>SP052</x:v>
      </x:c>
      <x:c r="D473" s="15" t="str">
        <x:v>摩卡夜玫瑰熟豆</x:v>
      </x:c>
      <x:c r="E473" s="30" t="n">
        <x:v>3</x:v>
      </x:c>
      <x:c r="F473" s="30" t="n">
        <x:v>680</x:v>
      </x:c>
      <x:c r="G473" s="30" t="n">
        <x:v>9</x:v>
      </x:c>
      <x:c r="H473" s="30" t="n">
        <x:v>18</x:v>
      </x:c>
      <x:c r="I473" s="54" t="n">
        <x:v>0.78</x:v>
      </x:c>
      <x:c r="J473" s="15" t="str">
        <x:v>港口独占原创工坊特产</x:v>
      </x:c>
      <x:c r="K473" s="15" t="str">
        <x:v>每7个游戏日由「夜玫瑰烘焙总作坊」交货9货载；只在本港形成稳定产源。</x:v>
      </x:c>
      <x:c r="L473" s="15" t="str">
        <x:v>港口发展度达到D3（≥450点）时，投资项目「夜玫瑰烘焙总作坊」自动完工；不要求武装度。</x:v>
      </x:c>
    </x:row>
    <x:row r="474" ht="42" customHeight="1">
      <x:c r="A474" s="13" t="str">
        <x:v>P053</x:v>
      </x:c>
      <x:c r="B474" s="13" t="str">
        <x:v>吉达</x:v>
      </x:c>
      <x:c r="C474" s="13" t="str">
        <x:v>G102</x:v>
      </x:c>
      <x:c r="D474" s="13" t="str">
        <x:v>椰枣</x:v>
      </x:c>
      <x:c r="E474" s="27" t="n">
        <x:v>0</x:v>
      </x:c>
      <x:c r="F474" s="27" t="n">
        <x:v>78</x:v>
      </x:c>
      <x:c r="G474" s="27" t="n">
        <x:v>91</x:v>
      </x:c>
      <x:c r="H474" s="27" t="n">
        <x:v>273</x:v>
      </x:c>
      <x:c r="I474" s="52" t="n">
        <x:v>1.08</x:v>
      </x:c>
      <x:c r="J474" s="13" t="str">
        <x:v>进口/区域转口</x:v>
      </x:c>
      <x:c r="K474" s="13" t="str">
        <x:v>每7个游戏日补充91货载单位。由区域商队或NPC货船带入；为港口转售供货，不改变商品的原产地区。</x:v>
      </x:c>
      <x:c r="L474" s="13" t="str">
        <x:v>港口发展度达到D0（≥0点）；不要求武装度。</x:v>
      </x:c>
    </x:row>
    <x:row r="475" ht="42" customHeight="1">
      <x:c r="A475" s="15" t="str">
        <x:v>P053</x:v>
      </x:c>
      <x:c r="B475" s="15" t="str">
        <x:v>吉达</x:v>
      </x:c>
      <x:c r="C475" s="15" t="str">
        <x:v>G015</x:v>
      </x:c>
      <x:c r="D475" s="15" t="str">
        <x:v>咸鱼</x:v>
      </x:c>
      <x:c r="E475" s="30" t="n">
        <x:v>0</x:v>
      </x:c>
      <x:c r="F475" s="30" t="n">
        <x:v>65</x:v>
      </x:c>
      <x:c r="G475" s="30" t="n">
        <x:v>175</x:v>
      </x:c>
      <x:c r="H475" s="30" t="n">
        <x:v>525</x:v>
      </x:c>
      <x:c r="I475" s="54" t="n">
        <x:v>0.74</x:v>
      </x:c>
      <x:c r="J475" s="15" t="str">
        <x:v>本港生产/腹地集散/港内加工</x:v>
      </x:c>
      <x:c r="K475" s="15" t="str">
        <x:v>每7个游戏日补充175货载单位。本地、所属岛链或相连腹地供货；成品由港内工坊加工，贸易规模是本作设计。</x:v>
      </x:c>
      <x:c r="L475" s="15" t="str">
        <x:v>港口发展度达到D0（≥0点）；不要求武装度。</x:v>
      </x:c>
    </x:row>
    <x:row r="476" ht="42" customHeight="1">
      <x:c r="A476" s="13" t="str">
        <x:v>P053</x:v>
      </x:c>
      <x:c r="B476" s="13" t="str">
        <x:v>吉达</x:v>
      </x:c>
      <x:c r="C476" s="13" t="str">
        <x:v>G004</x:v>
      </x:c>
      <x:c r="D476" s="13" t="str">
        <x:v>稻米</x:v>
      </x:c>
      <x:c r="E476" s="27" t="n">
        <x:v>1</x:v>
      </x:c>
      <x:c r="F476" s="27" t="n">
        <x:v>55</x:v>
      </x:c>
      <x:c r="G476" s="27" t="n">
        <x:v>111</x:v>
      </x:c>
      <x:c r="H476" s="27" t="n">
        <x:v>333</x:v>
      </x:c>
      <x:c r="I476" s="52" t="n">
        <x:v>1.08</x:v>
      </x:c>
      <x:c r="J476" s="13" t="str">
        <x:v>进口/区域转口</x:v>
      </x:c>
      <x:c r="K476" s="13" t="str">
        <x:v>每7个游戏日补充111货载单位。由区域商队或NPC货船带入；为港口转售供货，不改变商品的原产地区。</x:v>
      </x:c>
      <x:c r="L476" s="13" t="str">
        <x:v>港口发展度达到D1（≥100点）；不要求武装度。</x:v>
      </x:c>
    </x:row>
    <x:row r="477" ht="42" customHeight="1">
      <x:c r="A477" s="15" t="str">
        <x:v>P053</x:v>
      </x:c>
      <x:c r="B477" s="15" t="str">
        <x:v>吉达</x:v>
      </x:c>
      <x:c r="C477" s="15" t="str">
        <x:v>G043</x:v>
      </x:c>
      <x:c r="D477" s="15" t="str">
        <x:v>棉布</x:v>
      </x:c>
      <x:c r="E477" s="30" t="n">
        <x:v>1</x:v>
      </x:c>
      <x:c r="F477" s="30" t="n">
        <x:v>160</x:v>
      </x:c>
      <x:c r="G477" s="30" t="n">
        <x:v>43</x:v>
      </x:c>
      <x:c r="H477" s="30" t="n">
        <x:v>129</x:v>
      </x:c>
      <x:c r="I477" s="54" t="n">
        <x:v>1.08</x:v>
      </x:c>
      <x:c r="J477" s="15" t="str">
        <x:v>进口/区域转口</x:v>
      </x:c>
      <x:c r="K477" s="15" t="str">
        <x:v>每7个游戏日补充43货载单位。由区域商队或NPC货船带入；为港口转售供货，不改变商品的原产地区。</x:v>
      </x:c>
      <x:c r="L477" s="15" t="str">
        <x:v>港口发展度达到D1（≥100点）；不要求武装度。</x:v>
      </x:c>
    </x:row>
    <x:row r="478" ht="42" customHeight="1">
      <x:c r="A478" s="13" t="str">
        <x:v>P053</x:v>
      </x:c>
      <x:c r="B478" s="13" t="str">
        <x:v>吉达</x:v>
      </x:c>
      <x:c r="C478" s="13" t="str">
        <x:v>G084</x:v>
      </x:c>
      <x:c r="D478" s="13" t="str">
        <x:v>乳香</x:v>
      </x:c>
      <x:c r="E478" s="27" t="n">
        <x:v>2</x:v>
      </x:c>
      <x:c r="F478" s="27" t="n">
        <x:v>340</x:v>
      </x:c>
      <x:c r="G478" s="27" t="n">
        <x:v>10</x:v>
      </x:c>
      <x:c r="H478" s="27" t="n">
        <x:v>30</x:v>
      </x:c>
      <x:c r="I478" s="52" t="n">
        <x:v>1.08</x:v>
      </x:c>
      <x:c r="J478" s="13" t="str">
        <x:v>进口/区域转口</x:v>
      </x:c>
      <x:c r="K478" s="13" t="str">
        <x:v>每7个游戏日补充10货载单位。由区域商队或NPC货船带入；为港口转售供货，不改变商品的原产地区。</x:v>
      </x:c>
      <x:c r="L478" s="13" t="str">
        <x:v>港口发展度达到D2（≥250点）；不要求武装度。</x:v>
      </x:c>
    </x:row>
    <x:row r="479" ht="42" customHeight="1">
      <x:c r="A479" s="15" t="str">
        <x:v>P053</x:v>
      </x:c>
      <x:c r="B479" s="15" t="str">
        <x:v>吉达</x:v>
      </x:c>
      <x:c r="C479" s="15" t="str">
        <x:v>G085</x:v>
      </x:c>
      <x:c r="D479" s="15" t="str">
        <x:v>没药</x:v>
      </x:c>
      <x:c r="E479" s="30" t="n">
        <x:v>3</x:v>
      </x:c>
      <x:c r="F479" s="30" t="n">
        <x:v>280</x:v>
      </x:c>
      <x:c r="G479" s="30" t="n">
        <x:v>8</x:v>
      </x:c>
      <x:c r="H479" s="30" t="n">
        <x:v>24</x:v>
      </x:c>
      <x:c r="I479" s="54" t="n">
        <x:v>1.14</x:v>
      </x:c>
      <x:c r="J479" s="15" t="str">
        <x:v>进口/区域转口</x:v>
      </x:c>
      <x:c r="K479" s="15" t="str">
        <x:v>每7个游戏日补充8货载单位。由区域商队或NPC货船带入；为港口转售供货，不改变商品的原产地区。</x:v>
      </x:c>
      <x:c r="L479" s="15" t="str">
        <x:v>港口发展度达到D3（≥450点）；不要求武装度。</x:v>
      </x:c>
    </x:row>
    <x:row r="480" ht="42" customHeight="1">
      <x:c r="A480" s="13" t="str">
        <x:v>P053</x:v>
      </x:c>
      <x:c r="B480" s="13" t="str">
        <x:v>吉达</x:v>
      </x:c>
      <x:c r="C480" s="13" t="str">
        <x:v>G071</x:v>
      </x:c>
      <x:c r="D480" s="13" t="str">
        <x:v>玻璃器皿</x:v>
      </x:c>
      <x:c r="E480" s="27" t="n">
        <x:v>4</x:v>
      </x:c>
      <x:c r="F480" s="27" t="n">
        <x:v>310</x:v>
      </x:c>
      <x:c r="G480" s="27" t="n">
        <x:v>12</x:v>
      </x:c>
      <x:c r="H480" s="27" t="n">
        <x:v>36</x:v>
      </x:c>
      <x:c r="I480" s="52" t="n">
        <x:v>1.14</x:v>
      </x:c>
      <x:c r="J480" s="13" t="str">
        <x:v>进口/区域转口</x:v>
      </x:c>
      <x:c r="K480" s="13" t="str">
        <x:v>每7个游戏日补充12货载单位。由区域商队或NPC货船带入；为港口转售供货，不改变商品的原产地区。</x:v>
      </x:c>
      <x:c r="L480" s="13" t="str">
        <x:v>港口发展度达到D4（≥700点）；不要求武装度。</x:v>
      </x:c>
    </x:row>
    <x:row r="481" ht="42" customHeight="1">
      <x:c r="A481" s="15" t="str">
        <x:v>P053</x:v>
      </x:c>
      <x:c r="B481" s="15" t="str">
        <x:v>吉达</x:v>
      </x:c>
      <x:c r="C481" s="15" t="str">
        <x:v>G087</x:v>
      </x:c>
      <x:c r="D481" s="15" t="str">
        <x:v>香水</x:v>
      </x:c>
      <x:c r="E481" s="30" t="n">
        <x:v>5</x:v>
      </x:c>
      <x:c r="F481" s="30" t="n">
        <x:v>570</x:v>
      </x:c>
      <x:c r="G481" s="30" t="n">
        <x:v>12</x:v>
      </x:c>
      <x:c r="H481" s="30" t="n">
        <x:v>36</x:v>
      </x:c>
      <x:c r="I481" s="54" t="n">
        <x:v>0.87</x:v>
      </x:c>
      <x:c r="J481" s="15" t="str">
        <x:v>本港生产/腹地集散/港内加工</x:v>
      </x:c>
      <x:c r="K481" s="15" t="str">
        <x:v>每7个游戏日补充12货载单位。本地、所属岛链或相连腹地供货；成品由港内工坊加工，贸易规模是本作设计。</x:v>
      </x:c>
      <x:c r="L481" s="15" t="str">
        <x:v>港口发展度达到D5（≥1000点）；不要求武装度。</x:v>
      </x:c>
    </x:row>
    <x:row r="482" ht="42" customHeight="1">
      <x:c r="A482" s="13" t="str">
        <x:v>P053</x:v>
      </x:c>
      <x:c r="B482" s="13" t="str">
        <x:v>吉达</x:v>
      </x:c>
      <x:c r="C482" s="13" t="str">
        <x:v>SP053</x:v>
      </x:c>
      <x:c r="D482" s="13" t="str">
        <x:v>红海花窗香油</x:v>
      </x:c>
      <x:c r="E482" s="27" t="n">
        <x:v>4</x:v>
      </x:c>
      <x:c r="F482" s="27" t="n">
        <x:v>820</x:v>
      </x:c>
      <x:c r="G482" s="27" t="n">
        <x:v>8</x:v>
      </x:c>
      <x:c r="H482" s="27" t="n">
        <x:v>16</x:v>
      </x:c>
      <x:c r="I482" s="52" t="n">
        <x:v>0.78</x:v>
      </x:c>
      <x:c r="J482" s="13" t="str">
        <x:v>港口独占原创工坊特产</x:v>
      </x:c>
      <x:c r="K482" s="13" t="str">
        <x:v>每7个游戏日由「海风香油工坊」交货8货载；只在本港形成稳定产源。</x:v>
      </x:c>
      <x:c r="L482" s="13" t="str">
        <x:v>港口发展度达到D4（≥700点）时，投资项目「海风香油工坊」自动完工；不要求武装度。</x:v>
      </x:c>
    </x:row>
    <x:row r="483" ht="42" customHeight="1">
      <x:c r="A483" s="15" t="str">
        <x:v>P054</x:v>
      </x:c>
      <x:c r="B483" s="15" t="str">
        <x:v>萨瓦金</x:v>
      </x:c>
      <x:c r="C483" s="15" t="str">
        <x:v>G015</x:v>
      </x:c>
      <x:c r="D483" s="15" t="str">
        <x:v>咸鱼</x:v>
      </x:c>
      <x:c r="E483" s="30" t="n">
        <x:v>0</x:v>
      </x:c>
      <x:c r="F483" s="30" t="n">
        <x:v>65</x:v>
      </x:c>
      <x:c r="G483" s="30" t="n">
        <x:v>125</x:v>
      </x:c>
      <x:c r="H483" s="30" t="n">
        <x:v>375</x:v>
      </x:c>
      <x:c r="I483" s="54" t="n">
        <x:v>0.74</x:v>
      </x:c>
      <x:c r="J483" s="15" t="str">
        <x:v>本港生产/腹地集散/港内加工</x:v>
      </x:c>
      <x:c r="K483" s="15" t="str">
        <x:v>每7个游戏日补充125货载单位。本地、所属岛链或相连腹地供货；成品由港内工坊加工，贸易规模是本作设计。</x:v>
      </x:c>
      <x:c r="L483" s="15" t="str">
        <x:v>港口发展度达到D0（≥0点）；不要求武装度。</x:v>
      </x:c>
    </x:row>
    <x:row r="484" ht="42" customHeight="1">
      <x:c r="A484" s="13" t="str">
        <x:v>P054</x:v>
      </x:c>
      <x:c r="B484" s="13" t="str">
        <x:v>萨瓦金</x:v>
      </x:c>
      <x:c r="C484" s="13" t="str">
        <x:v>G009</x:v>
      </x:c>
      <x:c r="D484" s="13" t="str">
        <x:v>盐</x:v>
      </x:c>
      <x:c r="E484" s="27" t="n">
        <x:v>0</x:v>
      </x:c>
      <x:c r="F484" s="27" t="n">
        <x:v>28</x:v>
      </x:c>
      <x:c r="G484" s="27" t="n">
        <x:v>125</x:v>
      </x:c>
      <x:c r="H484" s="27" t="n">
        <x:v>375</x:v>
      </x:c>
      <x:c r="I484" s="52" t="n">
        <x:v>0.74</x:v>
      </x:c>
      <x:c r="J484" s="13" t="str">
        <x:v>本港生产/腹地集散/港内加工</x:v>
      </x:c>
      <x:c r="K484" s="13" t="str">
        <x:v>每7个游戏日补充125货载单位。本地、所属岛链或相连腹地供货；成品由港内工坊加工，贸易规模是本作设计。</x:v>
      </x:c>
      <x:c r="L484" s="13" t="str">
        <x:v>港口发展度达到D0（≥0点）；不要求武装度。</x:v>
      </x:c>
    </x:row>
    <x:row r="485" ht="42" customHeight="1">
      <x:c r="A485" s="15" t="str">
        <x:v>P054</x:v>
      </x:c>
      <x:c r="B485" s="15" t="str">
        <x:v>萨瓦金</x:v>
      </x:c>
      <x:c r="C485" s="15" t="str">
        <x:v>G089</x:v>
      </x:c>
      <x:c r="D485" s="15" t="str">
        <x:v>阿拉伯胶</x:v>
      </x:c>
      <x:c r="E485" s="30" t="n">
        <x:v>1</x:v>
      </x:c>
      <x:c r="F485" s="30" t="n">
        <x:v>160</x:v>
      </x:c>
      <x:c r="G485" s="30" t="n">
        <x:v>59</x:v>
      </x:c>
      <x:c r="H485" s="30" t="n">
        <x:v>177</x:v>
      </x:c>
      <x:c r="I485" s="54" t="n">
        <x:v>0.74</x:v>
      </x:c>
      <x:c r="J485" s="15" t="str">
        <x:v>本港生产/腹地集散/港内加工</x:v>
      </x:c>
      <x:c r="K485" s="15" t="str">
        <x:v>每7个游戏日补充59货载单位。本地、所属岛链或相连腹地供货；成品由港内工坊加工，贸易规模是本作设计。</x:v>
      </x:c>
      <x:c r="L485" s="15" t="str">
        <x:v>港口发展度达到D1（≥100点）；不要求武装度。</x:v>
      </x:c>
    </x:row>
    <x:row r="486" ht="42" customHeight="1">
      <x:c r="A486" s="13" t="str">
        <x:v>P054</x:v>
      </x:c>
      <x:c r="B486" s="13" t="str">
        <x:v>萨瓦金</x:v>
      </x:c>
      <x:c r="C486" s="13" t="str">
        <x:v>G079</x:v>
      </x:c>
      <x:c r="D486" s="13" t="str">
        <x:v>皮革</x:v>
      </x:c>
      <x:c r="E486" s="27" t="n">
        <x:v>1</x:v>
      </x:c>
      <x:c r="F486" s="27" t="n">
        <x:v>110</x:v>
      </x:c>
      <x:c r="G486" s="27" t="n">
        <x:v>59</x:v>
      </x:c>
      <x:c r="H486" s="27" t="n">
        <x:v>177</x:v>
      </x:c>
      <x:c r="I486" s="52" t="n">
        <x:v>0.74</x:v>
      </x:c>
      <x:c r="J486" s="13" t="str">
        <x:v>本港生产/腹地集散/港内加工</x:v>
      </x:c>
      <x:c r="K486" s="13" t="str">
        <x:v>每7个游戏日补充59货载单位。本地、所属岛链或相连腹地供货；成品由港内工坊加工，贸易规模是本作设计。</x:v>
      </x:c>
      <x:c r="L486" s="13" t="str">
        <x:v>港口发展度达到D1（≥100点）；不要求武装度。</x:v>
      </x:c>
    </x:row>
    <x:row r="487" ht="42" customHeight="1">
      <x:c r="A487" s="15" t="str">
        <x:v>P054</x:v>
      </x:c>
      <x:c r="B487" s="15" t="str">
        <x:v>萨瓦金</x:v>
      </x:c>
      <x:c r="C487" s="15" t="str">
        <x:v>G085</x:v>
      </x:c>
      <x:c r="D487" s="15" t="str">
        <x:v>没药</x:v>
      </x:c>
      <x:c r="E487" s="30" t="n">
        <x:v>2</x:v>
      </x:c>
      <x:c r="F487" s="30" t="n">
        <x:v>280</x:v>
      </x:c>
      <x:c r="G487" s="30" t="n">
        <x:v>14</x:v>
      </x:c>
      <x:c r="H487" s="30" t="n">
        <x:v>42</x:v>
      </x:c>
      <x:c r="I487" s="54" t="n">
        <x:v>0.8</x:v>
      </x:c>
      <x:c r="J487" s="15" t="str">
        <x:v>本港生产/腹地集散/港内加工</x:v>
      </x:c>
      <x:c r="K487" s="15" t="str">
        <x:v>每7个游戏日补充14货载单位。本地、所属岛链或相连腹地供货；成品由港内工坊加工，贸易规模是本作设计。</x:v>
      </x:c>
      <x:c r="L487" s="15" t="str">
        <x:v>港口发展度达到D2（≥250点）；不要求武装度。</x:v>
      </x:c>
    </x:row>
    <x:row r="488" ht="42" customHeight="1">
      <x:c r="A488" s="13" t="str">
        <x:v>P054</x:v>
      </x:c>
      <x:c r="B488" s="13" t="str">
        <x:v>萨瓦金</x:v>
      </x:c>
      <x:c r="C488" s="13" t="str">
        <x:v>G084</x:v>
      </x:c>
      <x:c r="D488" s="13" t="str">
        <x:v>乳香</x:v>
      </x:c>
      <x:c r="E488" s="27" t="n">
        <x:v>3</x:v>
      </x:c>
      <x:c r="F488" s="27" t="n">
        <x:v>340</x:v>
      </x:c>
      <x:c r="G488" s="27" t="n">
        <x:v>12</x:v>
      </x:c>
      <x:c r="H488" s="27" t="n">
        <x:v>36</x:v>
      </x:c>
      <x:c r="I488" s="52" t="n">
        <x:v>0.8</x:v>
      </x:c>
      <x:c r="J488" s="13" t="str">
        <x:v>本港生产/腹地集散/港内加工</x:v>
      </x:c>
      <x:c r="K488" s="13" t="str">
        <x:v>每7个游戏日补充12货载单位。本地、所属岛链或相连腹地供货；成品由港内工坊加工，贸易规模是本作设计。</x:v>
      </x:c>
      <x:c r="L488" s="13" t="str">
        <x:v>港口发展度达到D3（≥450点）；不要求武装度。</x:v>
      </x:c>
    </x:row>
    <x:row r="489" ht="42" customHeight="1">
      <x:c r="A489" s="15" t="str">
        <x:v>P054</x:v>
      </x:c>
      <x:c r="B489" s="15" t="str">
        <x:v>萨瓦金</x:v>
      </x:c>
      <x:c r="C489" s="15" t="str">
        <x:v>G043</x:v>
      </x:c>
      <x:c r="D489" s="15" t="str">
        <x:v>棉布</x:v>
      </x:c>
      <x:c r="E489" s="30" t="n">
        <x:v>4</x:v>
      </x:c>
      <x:c r="F489" s="30" t="n">
        <x:v>160</x:v>
      </x:c>
      <x:c r="G489" s="30" t="n">
        <x:v>20</x:v>
      </x:c>
      <x:c r="H489" s="30" t="n">
        <x:v>60</x:v>
      </x:c>
      <x:c r="I489" s="54" t="n">
        <x:v>1.14</x:v>
      </x:c>
      <x:c r="J489" s="15" t="str">
        <x:v>进口/区域转口</x:v>
      </x:c>
      <x:c r="K489" s="15" t="str">
        <x:v>每7个游戏日补充20货载单位。由区域商队或NPC货船带入；为港口转售供货，不改变商品的原产地区。</x:v>
      </x:c>
      <x:c r="L489" s="15" t="str">
        <x:v>港口发展度达到D4（≥700点）；不要求武装度。</x:v>
      </x:c>
    </x:row>
    <x:row r="490" ht="42" customHeight="1">
      <x:c r="A490" s="13" t="str">
        <x:v>P054</x:v>
      </x:c>
      <x:c r="B490" s="13" t="str">
        <x:v>萨瓦金</x:v>
      </x:c>
      <x:c r="C490" s="13" t="str">
        <x:v>G096</x:v>
      </x:c>
      <x:c r="D490" s="13" t="str">
        <x:v>贝壳工艺品</x:v>
      </x:c>
      <x:c r="E490" s="27" t="n">
        <x:v>5</x:v>
      </x:c>
      <x:c r="F490" s="27" t="n">
        <x:v>210</x:v>
      </x:c>
      <x:c r="G490" s="27" t="n">
        <x:v>14</x:v>
      </x:c>
      <x:c r="H490" s="27" t="n">
        <x:v>42</x:v>
      </x:c>
      <x:c r="I490" s="52" t="n">
        <x:v>0.87</x:v>
      </x:c>
      <x:c r="J490" s="13" t="str">
        <x:v>本港生产/腹地集散/港内加工</x:v>
      </x:c>
      <x:c r="K490" s="13" t="str">
        <x:v>每7个游戏日补充14货载单位。本地、所属岛链或相连腹地供货；成品由港内工坊加工，贸易规模是本作设计。</x:v>
      </x:c>
      <x:c r="L490" s="13" t="str">
        <x:v>港口发展度达到D5（≥1000点）；不要求武装度。</x:v>
      </x:c>
    </x:row>
    <x:row r="491" ht="42" customHeight="1">
      <x:c r="A491" s="15" t="str">
        <x:v>P054</x:v>
      </x:c>
      <x:c r="B491" s="15" t="str">
        <x:v>萨瓦金</x:v>
      </x:c>
      <x:c r="C491" s="15" t="str">
        <x:v>SP054</x:v>
      </x:c>
      <x:c r="D491" s="15" t="str">
        <x:v>珊瑚月白贝嵌匣</x:v>
      </x:c>
      <x:c r="E491" s="30" t="n">
        <x:v>3</x:v>
      </x:c>
      <x:c r="F491" s="30" t="n">
        <x:v>590</x:v>
      </x:c>
      <x:c r="G491" s="30" t="n">
        <x:v>7</x:v>
      </x:c>
      <x:c r="H491" s="30" t="n">
        <x:v>14</x:v>
      </x:c>
      <x:c r="I491" s="54" t="n">
        <x:v>0.78</x:v>
      </x:c>
      <x:c r="J491" s="15" t="str">
        <x:v>港口独占原创工坊特产</x:v>
      </x:c>
      <x:c r="K491" s="15" t="str">
        <x:v>每7个游戏日由「圆岛贝嵌作坊」交货7货载；只在本港形成稳定产源。</x:v>
      </x:c>
      <x:c r="L491" s="15" t="str">
        <x:v>港口发展度达到D3（≥450点）时，投资项目「圆岛贝嵌作坊」自动完工；不要求武装度。</x:v>
      </x:c>
    </x:row>
    <x:row r="492" ht="42" customHeight="1">
      <x:c r="A492" s="13" t="str">
        <x:v>P055</x:v>
      </x:c>
      <x:c r="B492" s="13" t="str">
        <x:v>马斯喀特</x:v>
      </x:c>
      <x:c r="C492" s="13" t="str">
        <x:v>G102</x:v>
      </x:c>
      <x:c r="D492" s="13" t="str">
        <x:v>椰枣</x:v>
      </x:c>
      <x:c r="E492" s="27" t="n">
        <x:v>0</x:v>
      </x:c>
      <x:c r="F492" s="27" t="n">
        <x:v>78</x:v>
      </x:c>
      <x:c r="G492" s="27" t="n">
        <x:v>167</x:v>
      </x:c>
      <x:c r="H492" s="27" t="n">
        <x:v>501</x:v>
      </x:c>
      <x:c r="I492" s="52" t="n">
        <x:v>0.74</x:v>
      </x:c>
      <x:c r="J492" s="13" t="str">
        <x:v>本港生产/腹地集散/港内加工</x:v>
      </x:c>
      <x:c r="K492" s="13" t="str">
        <x:v>每7个游戏日补充167货载单位。本地、所属岛链或相连腹地供货；成品由港内工坊加工，贸易规模是本作设计。</x:v>
      </x:c>
      <x:c r="L492" s="13" t="str">
        <x:v>港口发展度达到D0（≥0点）；不要求武装度。</x:v>
      </x:c>
    </x:row>
    <x:row r="493" ht="42" customHeight="1">
      <x:c r="A493" s="15" t="str">
        <x:v>P055</x:v>
      </x:c>
      <x:c r="B493" s="15" t="str">
        <x:v>马斯喀特</x:v>
      </x:c>
      <x:c r="C493" s="15" t="str">
        <x:v>G015</x:v>
      </x:c>
      <x:c r="D493" s="15" t="str">
        <x:v>咸鱼</x:v>
      </x:c>
      <x:c r="E493" s="30" t="n">
        <x:v>0</x:v>
      </x:c>
      <x:c r="F493" s="30" t="n">
        <x:v>65</x:v>
      </x:c>
      <x:c r="G493" s="30" t="n">
        <x:v>167</x:v>
      </x:c>
      <x:c r="H493" s="30" t="n">
        <x:v>501</x:v>
      </x:c>
      <x:c r="I493" s="54" t="n">
        <x:v>0.74</x:v>
      </x:c>
      <x:c r="J493" s="15" t="str">
        <x:v>本港生产/腹地集散/港内加工</x:v>
      </x:c>
      <x:c r="K493" s="15" t="str">
        <x:v>每7个游戏日补充167货载单位。本地、所属岛链或相连腹地供货；成品由港内工坊加工，贸易规模是本作设计。</x:v>
      </x:c>
      <x:c r="L493" s="15" t="str">
        <x:v>港口发展度达到D0（≥0点）；不要求武装度。</x:v>
      </x:c>
    </x:row>
    <x:row r="494" ht="42" customHeight="1">
      <x:c r="A494" s="13" t="str">
        <x:v>P055</x:v>
      </x:c>
      <x:c r="B494" s="13" t="str">
        <x:v>马斯喀特</x:v>
      </x:c>
      <x:c r="C494" s="13" t="str">
        <x:v>G009</x:v>
      </x:c>
      <x:c r="D494" s="13" t="str">
        <x:v>盐</x:v>
      </x:c>
      <x:c r="E494" s="27" t="n">
        <x:v>1</x:v>
      </x:c>
      <x:c r="F494" s="27" t="n">
        <x:v>28</x:v>
      </x:c>
      <x:c r="G494" s="27" t="n">
        <x:v>158</x:v>
      </x:c>
      <x:c r="H494" s="27" t="n">
        <x:v>474</x:v>
      </x:c>
      <x:c r="I494" s="52" t="n">
        <x:v>0.74</x:v>
      </x:c>
      <x:c r="J494" s="13" t="str">
        <x:v>本港生产/腹地集散/港内加工</x:v>
      </x:c>
      <x:c r="K494" s="13" t="str">
        <x:v>每7个游戏日补充158货载单位。本地、所属岛链或相连腹地供货；成品由港内工坊加工，贸易规模是本作设计。</x:v>
      </x:c>
      <x:c r="L494" s="13" t="str">
        <x:v>港口发展度达到D1（≥100点）；不要求武装度。</x:v>
      </x:c>
    </x:row>
    <x:row r="495" ht="42" customHeight="1">
      <x:c r="A495" s="15" t="str">
        <x:v>P055</x:v>
      </x:c>
      <x:c r="B495" s="15" t="str">
        <x:v>马斯喀特</x:v>
      </x:c>
      <x:c r="C495" s="15" t="str">
        <x:v>G084</x:v>
      </x:c>
      <x:c r="D495" s="15" t="str">
        <x:v>乳香</x:v>
      </x:c>
      <x:c r="E495" s="30" t="n">
        <x:v>1</x:v>
      </x:c>
      <x:c r="F495" s="30" t="n">
        <x:v>340</x:v>
      </x:c>
      <x:c r="G495" s="30" t="n">
        <x:v>11</x:v>
      </x:c>
      <x:c r="H495" s="30" t="n">
        <x:v>33</x:v>
      </x:c>
      <x:c r="I495" s="54" t="n">
        <x:v>1.08</x:v>
      </x:c>
      <x:c r="J495" s="15" t="str">
        <x:v>进口/区域转口</x:v>
      </x:c>
      <x:c r="K495" s="15" t="str">
        <x:v>每7个游戏日补充11货载单位。由区域商队或NPC货船带入；为港口转售供货，不改变商品的原产地区。</x:v>
      </x:c>
      <x:c r="L495" s="15" t="str">
        <x:v>港口发展度达到D1（≥100点）；不要求武装度。</x:v>
      </x:c>
    </x:row>
    <x:row r="496" ht="42" customHeight="1">
      <x:c r="A496" s="13" t="str">
        <x:v>P055</x:v>
      </x:c>
      <x:c r="B496" s="13" t="str">
        <x:v>马斯喀特</x:v>
      </x:c>
      <x:c r="C496" s="13" t="str">
        <x:v>G085</x:v>
      </x:c>
      <x:c r="D496" s="13" t="str">
        <x:v>没药</x:v>
      </x:c>
      <x:c r="E496" s="27" t="n">
        <x:v>2</x:v>
      </x:c>
      <x:c r="F496" s="27" t="n">
        <x:v>280</x:v>
      </x:c>
      <x:c r="G496" s="27" t="n">
        <x:v>9</x:v>
      </x:c>
      <x:c r="H496" s="27" t="n">
        <x:v>27</x:v>
      </x:c>
      <x:c r="I496" s="52" t="n">
        <x:v>1.08</x:v>
      </x:c>
      <x:c r="J496" s="13" t="str">
        <x:v>进口/区域转口</x:v>
      </x:c>
      <x:c r="K496" s="13" t="str">
        <x:v>每7个游戏日补充9货载单位。由区域商队或NPC货船带入；为港口转售供货，不改变商品的原产地区。</x:v>
      </x:c>
      <x:c r="L496" s="13" t="str">
        <x:v>港口发展度达到D2（≥250点）；不要求武装度。</x:v>
      </x:c>
    </x:row>
    <x:row r="497" ht="42" customHeight="1">
      <x:c r="A497" s="15" t="str">
        <x:v>P055</x:v>
      </x:c>
      <x:c r="B497" s="15" t="str">
        <x:v>马斯喀特</x:v>
      </x:c>
      <x:c r="C497" s="15" t="str">
        <x:v>G079</x:v>
      </x:c>
      <x:c r="D497" s="15" t="str">
        <x:v>皮革</x:v>
      </x:c>
      <x:c r="E497" s="30" t="n">
        <x:v>3</x:v>
      </x:c>
      <x:c r="F497" s="30" t="n">
        <x:v>110</x:v>
      </x:c>
      <x:c r="G497" s="30" t="n">
        <x:v>60</x:v>
      </x:c>
      <x:c r="H497" s="30" t="n">
        <x:v>180</x:v>
      </x:c>
      <x:c r="I497" s="54" t="n">
        <x:v>0.8</x:v>
      </x:c>
      <x:c r="J497" s="15" t="str">
        <x:v>本港生产/腹地集散/港内加工</x:v>
      </x:c>
      <x:c r="K497" s="15" t="str">
        <x:v>每7个游戏日补充60货载单位。本地、所属岛链或相连腹地供货；成品由港内工坊加工，贸易规模是本作设计。</x:v>
      </x:c>
      <x:c r="L497" s="15" t="str">
        <x:v>港口发展度达到D3（≥450点）；不要求武装度。</x:v>
      </x:c>
    </x:row>
    <x:row r="498" ht="42" customHeight="1">
      <x:c r="A498" s="13" t="str">
        <x:v>P055</x:v>
      </x:c>
      <x:c r="B498" s="13" t="str">
        <x:v>马斯喀特</x:v>
      </x:c>
      <x:c r="C498" s="13" t="str">
        <x:v>G074</x:v>
      </x:c>
      <x:c r="D498" s="13" t="str">
        <x:v>珍珠</x:v>
      </x:c>
      <x:c r="E498" s="27" t="n">
        <x:v>4</x:v>
      </x:c>
      <x:c r="F498" s="27" t="n">
        <x:v>680</x:v>
      </x:c>
      <x:c r="G498" s="27" t="n">
        <x:v>3</x:v>
      </x:c>
      <x:c r="H498" s="27" t="n">
        <x:v>9</x:v>
      </x:c>
      <x:c r="I498" s="52" t="n">
        <x:v>1.14</x:v>
      </x:c>
      <x:c r="J498" s="13" t="str">
        <x:v>进口/区域转口</x:v>
      </x:c>
      <x:c r="K498" s="13" t="str">
        <x:v>每7个游戏日补充3货载单位。由区域商队或NPC货船带入；为港口转售供货，不改变商品的原产地区。</x:v>
      </x:c>
      <x:c r="L498" s="13" t="str">
        <x:v>港口发展度达到D4（≥700点）；不要求武装度。</x:v>
      </x:c>
    </x:row>
    <x:row r="499" ht="42" customHeight="1">
      <x:c r="A499" s="15" t="str">
        <x:v>P055</x:v>
      </x:c>
      <x:c r="B499" s="15" t="str">
        <x:v>马斯喀特</x:v>
      </x:c>
      <x:c r="C499" s="15" t="str">
        <x:v>G099</x:v>
      </x:c>
      <x:c r="D499" s="15" t="str">
        <x:v>航海仪器</x:v>
      </x:c>
      <x:c r="E499" s="30" t="n">
        <x:v>5</x:v>
      </x:c>
      <x:c r="F499" s="30" t="n">
        <x:v>650</x:v>
      </x:c>
      <x:c r="G499" s="30" t="n">
        <x:v>7</x:v>
      </x:c>
      <x:c r="H499" s="30" t="n">
        <x:v>21</x:v>
      </x:c>
      <x:c r="I499" s="54" t="n">
        <x:v>0.87</x:v>
      </x:c>
      <x:c r="J499" s="15" t="str">
        <x:v>本港生产/腹地集散/港内加工</x:v>
      </x:c>
      <x:c r="K499" s="15" t="str">
        <x:v>每7个游戏日补充7货载单位。本地、所属岛链或相连腹地供货；成品由港内工坊加工，贸易规模是本作设计。</x:v>
      </x:c>
      <x:c r="L499" s="15" t="str">
        <x:v>港口发展度达到D5（≥1000点）；不要求武装度。</x:v>
      </x:c>
    </x:row>
    <x:row r="500" ht="42" customHeight="1">
      <x:c r="A500" s="13" t="str">
        <x:v>P055</x:v>
      </x:c>
      <x:c r="B500" s="13" t="str">
        <x:v>马斯喀特</x:v>
      </x:c>
      <x:c r="C500" s="13" t="str">
        <x:v>SP055</x:v>
      </x:c>
      <x:c r="D500" s="13" t="str">
        <x:v>岩湾银穗香盒</x:v>
      </x:c>
      <x:c r="E500" s="27" t="n">
        <x:v>4</x:v>
      </x:c>
      <x:c r="F500" s="27" t="n">
        <x:v>1240</x:v>
      </x:c>
      <x:c r="G500" s="27" t="n">
        <x:v>7</x:v>
      </x:c>
      <x:c r="H500" s="27" t="n">
        <x:v>14</x:v>
      </x:c>
      <x:c r="I500" s="52" t="n">
        <x:v>0.78</x:v>
      </x:c>
      <x:c r="J500" s="13" t="str">
        <x:v>港口独占原创工坊特产</x:v>
      </x:c>
      <x:c r="K500" s="13" t="str">
        <x:v>每7个游戏日由「岩湾银香具工坊」交货7货载；只在本港形成稳定产源。</x:v>
      </x:c>
      <x:c r="L500" s="13" t="str">
        <x:v>港口发展度达到D4（≥700点）时，投资项目「岩湾银香具工坊」自动完工；不要求武装度。</x:v>
      </x:c>
    </x:row>
    <x:row r="501" ht="42" customHeight="1">
      <x:c r="A501" s="15" t="str">
        <x:v>P056</x:v>
      </x:c>
      <x:c r="B501" s="15" t="str">
        <x:v>霍尔木兹</x:v>
      </x:c>
      <x:c r="C501" s="15" t="str">
        <x:v>G009</x:v>
      </x:c>
      <x:c r="D501" s="15" t="str">
        <x:v>盐</x:v>
      </x:c>
      <x:c r="E501" s="30" t="n">
        <x:v>0</x:v>
      </x:c>
      <x:c r="F501" s="30" t="n">
        <x:v>28</x:v>
      </x:c>
      <x:c r="G501" s="30" t="n">
        <x:v>144</x:v>
      </x:c>
      <x:c r="H501" s="30" t="n">
        <x:v>432</x:v>
      </x:c>
      <x:c r="I501" s="54" t="n">
        <x:v>0.74</x:v>
      </x:c>
      <x:c r="J501" s="15" t="str">
        <x:v>本港生产/腹地集散/港内加工</x:v>
      </x:c>
      <x:c r="K501" s="15" t="str">
        <x:v>每7个游戏日补充144货载单位。本地、所属岛链或相连腹地供货；成品由港内工坊加工，贸易规模是本作设计。</x:v>
      </x:c>
      <x:c r="L501" s="15" t="str">
        <x:v>港口发展度达到D0（≥0点）；不要求武装度。</x:v>
      </x:c>
    </x:row>
    <x:row r="502" ht="42" customHeight="1">
      <x:c r="A502" s="13" t="str">
        <x:v>P056</x:v>
      </x:c>
      <x:c r="B502" s="13" t="str">
        <x:v>霍尔木兹</x:v>
      </x:c>
      <x:c r="C502" s="13" t="str">
        <x:v>G015</x:v>
      </x:c>
      <x:c r="D502" s="13" t="str">
        <x:v>咸鱼</x:v>
      </x:c>
      <x:c r="E502" s="27" t="n">
        <x:v>0</x:v>
      </x:c>
      <x:c r="F502" s="27" t="n">
        <x:v>65</x:v>
      </x:c>
      <x:c r="G502" s="27" t="n">
        <x:v>144</x:v>
      </x:c>
      <x:c r="H502" s="27" t="n">
        <x:v>432</x:v>
      </x:c>
      <x:c r="I502" s="52" t="n">
        <x:v>0.74</x:v>
      </x:c>
      <x:c r="J502" s="13" t="str">
        <x:v>本港生产/腹地集散/港内加工</x:v>
      </x:c>
      <x:c r="K502" s="13" t="str">
        <x:v>每7个游戏日补充144货载单位。本地、所属岛链或相连腹地供货；成品由港内工坊加工，贸易规模是本作设计。</x:v>
      </x:c>
      <x:c r="L502" s="13" t="str">
        <x:v>港口发展度达到D0（≥0点）；不要求武装度。</x:v>
      </x:c>
    </x:row>
    <x:row r="503" ht="42" customHeight="1">
      <x:c r="A503" s="15" t="str">
        <x:v>P056</x:v>
      </x:c>
      <x:c r="B503" s="15" t="str">
        <x:v>霍尔木兹</x:v>
      </x:c>
      <x:c r="C503" s="15" t="str">
        <x:v>G102</x:v>
      </x:c>
      <x:c r="D503" s="15" t="str">
        <x:v>椰枣</x:v>
      </x:c>
      <x:c r="E503" s="30" t="n">
        <x:v>1</x:v>
      </x:c>
      <x:c r="F503" s="30" t="n">
        <x:v>78</x:v>
      </x:c>
      <x:c r="G503" s="30" t="n">
        <x:v>71</x:v>
      </x:c>
      <x:c r="H503" s="30" t="n">
        <x:v>213</x:v>
      </x:c>
      <x:c r="I503" s="54" t="n">
        <x:v>1.08</x:v>
      </x:c>
      <x:c r="J503" s="15" t="str">
        <x:v>进口/区域转口</x:v>
      </x:c>
      <x:c r="K503" s="15" t="str">
        <x:v>每7个游戏日补充71货载单位。由区域商队或NPC货船带入；为港口转售供货，不改变商品的原产地区。</x:v>
      </x:c>
      <x:c r="L503" s="15" t="str">
        <x:v>港口发展度达到D1（≥100点）；不要求武装度。</x:v>
      </x:c>
    </x:row>
    <x:row r="504" ht="42" customHeight="1">
      <x:c r="A504" s="13" t="str">
        <x:v>P056</x:v>
      </x:c>
      <x:c r="B504" s="13" t="str">
        <x:v>霍尔木兹</x:v>
      </x:c>
      <x:c r="C504" s="13" t="str">
        <x:v>G084</x:v>
      </x:c>
      <x:c r="D504" s="13" t="str">
        <x:v>乳香</x:v>
      </x:c>
      <x:c r="E504" s="27" t="n">
        <x:v>1</x:v>
      </x:c>
      <x:c r="F504" s="27" t="n">
        <x:v>340</x:v>
      </x:c>
      <x:c r="G504" s="27" t="n">
        <x:v>9</x:v>
      </x:c>
      <x:c r="H504" s="27" t="n">
        <x:v>27</x:v>
      </x:c>
      <x:c r="I504" s="52" t="n">
        <x:v>1.08</x:v>
      </x:c>
      <x:c r="J504" s="13" t="str">
        <x:v>进口/区域转口</x:v>
      </x:c>
      <x:c r="K504" s="13" t="str">
        <x:v>每7个游戏日补充9货载单位。由区域商队或NPC货船带入；为港口转售供货，不改变商品的原产地区。</x:v>
      </x:c>
      <x:c r="L504" s="13" t="str">
        <x:v>港口发展度达到D1（≥100点）；不要求武装度。</x:v>
      </x:c>
    </x:row>
    <x:row r="505" ht="42" customHeight="1">
      <x:c r="A505" s="15" t="str">
        <x:v>P056</x:v>
      </x:c>
      <x:c r="B505" s="15" t="str">
        <x:v>霍尔木兹</x:v>
      </x:c>
      <x:c r="C505" s="15" t="str">
        <x:v>G074</x:v>
      </x:c>
      <x:c r="D505" s="15" t="str">
        <x:v>珍珠</x:v>
      </x:c>
      <x:c r="E505" s="30" t="n">
        <x:v>2</x:v>
      </x:c>
      <x:c r="F505" s="30" t="n">
        <x:v>680</x:v>
      </x:c>
      <x:c r="G505" s="30" t="n">
        <x:v>4</x:v>
      </x:c>
      <x:c r="H505" s="30" t="n">
        <x:v>12</x:v>
      </x:c>
      <x:c r="I505" s="54" t="n">
        <x:v>1.08</x:v>
      </x:c>
      <x:c r="J505" s="15" t="str">
        <x:v>进口/区域转口</x:v>
      </x:c>
      <x:c r="K505" s="15" t="str">
        <x:v>每7个游戏日补充4货载单位。由区域商队或NPC货船带入；为港口转售供货，不改变商品的原产地区。</x:v>
      </x:c>
      <x:c r="L505" s="15" t="str">
        <x:v>港口发展度达到D2（≥250点）；不要求武装度。</x:v>
      </x:c>
    </x:row>
    <x:row r="506" ht="42" customHeight="1">
      <x:c r="A506" s="13" t="str">
        <x:v>P056</x:v>
      </x:c>
      <x:c r="B506" s="13" t="str">
        <x:v>霍尔木兹</x:v>
      </x:c>
      <x:c r="C506" s="13" t="str">
        <x:v>G078</x:v>
      </x:c>
      <x:c r="D506" s="13" t="str">
        <x:v>宝石原石</x:v>
      </x:c>
      <x:c r="E506" s="27" t="n">
        <x:v>3</x:v>
      </x:c>
      <x:c r="F506" s="27" t="n">
        <x:v>820</x:v>
      </x:c>
      <x:c r="G506" s="27" t="n">
        <x:v>3</x:v>
      </x:c>
      <x:c r="H506" s="27" t="n">
        <x:v>9</x:v>
      </x:c>
      <x:c r="I506" s="52" t="n">
        <x:v>1.14</x:v>
      </x:c>
      <x:c r="J506" s="13" t="str">
        <x:v>进口/区域转口</x:v>
      </x:c>
      <x:c r="K506" s="13" t="str">
        <x:v>每7个游戏日补充3货载单位。由区域商队或NPC货船带入；为港口转售供货，不改变商品的原产地区。</x:v>
      </x:c>
      <x:c r="L506" s="13" t="str">
        <x:v>港口发展度达到D3（≥450点）；不要求武装度。</x:v>
      </x:c>
    </x:row>
    <x:row r="507" ht="42" customHeight="1">
      <x:c r="A507" s="15" t="str">
        <x:v>P056</x:v>
      </x:c>
      <x:c r="B507" s="15" t="str">
        <x:v>霍尔木兹</x:v>
      </x:c>
      <x:c r="C507" s="15" t="str">
        <x:v>G043</x:v>
      </x:c>
      <x:c r="D507" s="15" t="str">
        <x:v>棉布</x:v>
      </x:c>
      <x:c r="E507" s="30" t="n">
        <x:v>4</x:v>
      </x:c>
      <x:c r="F507" s="30" t="n">
        <x:v>160</x:v>
      </x:c>
      <x:c r="G507" s="30" t="n">
        <x:v>23</x:v>
      </x:c>
      <x:c r="H507" s="30" t="n">
        <x:v>69</x:v>
      </x:c>
      <x:c r="I507" s="54" t="n">
        <x:v>1.14</x:v>
      </x:c>
      <x:c r="J507" s="15" t="str">
        <x:v>进口/区域转口</x:v>
      </x:c>
      <x:c r="K507" s="15" t="str">
        <x:v>每7个游戏日补充23货载单位。由区域商队或NPC货船带入；为港口转售供货，不改变商品的原产地区。</x:v>
      </x:c>
      <x:c r="L507" s="15" t="str">
        <x:v>港口发展度达到D4（≥700点）；不要求武装度。</x:v>
      </x:c>
    </x:row>
    <x:row r="508" ht="42" customHeight="1">
      <x:c r="A508" s="13" t="str">
        <x:v>P056</x:v>
      </x:c>
      <x:c r="B508" s="13" t="str">
        <x:v>霍尔木兹</x:v>
      </x:c>
      <x:c r="C508" s="13" t="str">
        <x:v>G073</x:v>
      </x:c>
      <x:c r="D508" s="13" t="str">
        <x:v>珠宝</x:v>
      </x:c>
      <x:c r="E508" s="27" t="n">
        <x:v>5</x:v>
      </x:c>
      <x:c r="F508" s="27" t="n">
        <x:v>760</x:v>
      </x:c>
      <x:c r="G508" s="27" t="n">
        <x:v>6</x:v>
      </x:c>
      <x:c r="H508" s="27" t="n">
        <x:v>18</x:v>
      </x:c>
      <x:c r="I508" s="52" t="n">
        <x:v>0.87</x:v>
      </x:c>
      <x:c r="J508" s="13" t="str">
        <x:v>本港生产/腹地集散/港内加工</x:v>
      </x:c>
      <x:c r="K508" s="13" t="str">
        <x:v>每7个游戏日补充6货载单位。本地、所属岛链或相连腹地供货；成品由港内工坊加工，贸易规模是本作设计。</x:v>
      </x:c>
      <x:c r="L508" s="13" t="str">
        <x:v>港口发展度达到D5（≥1000点）；不要求武装度。</x:v>
      </x:c>
    </x:row>
    <x:row r="509" ht="42" customHeight="1">
      <x:c r="A509" s="15" t="str">
        <x:v>P056</x:v>
      </x:c>
      <x:c r="B509" s="15" t="str">
        <x:v>霍尔木兹</x:v>
      </x:c>
      <x:c r="C509" s="15" t="str">
        <x:v>SP056</x:v>
      </x:c>
      <x:c r="D509" s="15" t="str">
        <x:v>虹盐山珍珠冠扣</x:v>
      </x:c>
      <x:c r="E509" s="30" t="n">
        <x:v>4</x:v>
      </x:c>
      <x:c r="F509" s="30" t="n">
        <x:v>1550</x:v>
      </x:c>
      <x:c r="G509" s="30" t="n">
        <x:v>6</x:v>
      </x:c>
      <x:c r="H509" s="30" t="n">
        <x:v>12</x:v>
      </x:c>
      <x:c r="I509" s="54" t="n">
        <x:v>0.78</x:v>
      </x:c>
      <x:c r="J509" s="15" t="str">
        <x:v>港口独占原创工坊特产</x:v>
      </x:c>
      <x:c r="K509" s="15" t="str">
        <x:v>每7个游戏日由「海峡珐琅金工作坊」交货6货载；只在本港形成稳定产源。</x:v>
      </x:c>
      <x:c r="L509" s="15" t="str">
        <x:v>港口发展度达到D4（≥700点）时，投资项目「海峡珐琅金工作坊」自动完工；不要求武装度。</x:v>
      </x:c>
    </x:row>
    <x:row r="510" ht="42" customHeight="1">
      <x:c r="A510" s="13" t="str">
        <x:v>P057</x:v>
      </x:c>
      <x:c r="B510" s="13" t="str">
        <x:v>阿巴斯港</x:v>
      </x:c>
      <x:c r="C510" s="13" t="str">
        <x:v>G102</x:v>
      </x:c>
      <x:c r="D510" s="13" t="str">
        <x:v>椰枣</x:v>
      </x:c>
      <x:c r="E510" s="27" t="n">
        <x:v>0</x:v>
      </x:c>
      <x:c r="F510" s="27" t="n">
        <x:v>78</x:v>
      </x:c>
      <x:c r="G510" s="27" t="n">
        <x:v>164</x:v>
      </x:c>
      <x:c r="H510" s="27" t="n">
        <x:v>492</x:v>
      </x:c>
      <x:c r="I510" s="52" t="n">
        <x:v>0.74</x:v>
      </x:c>
      <x:c r="J510" s="13" t="str">
        <x:v>本港生产/腹地集散/港内加工</x:v>
      </x:c>
      <x:c r="K510" s="13" t="str">
        <x:v>每7个游戏日补充164货载单位。本地、所属岛链或相连腹地供货；成品由港内工坊加工，贸易规模是本作设计。</x:v>
      </x:c>
      <x:c r="L510" s="13" t="str">
        <x:v>港口发展度达到D0（≥0点）；不要求武装度。</x:v>
      </x:c>
    </x:row>
    <x:row r="511" ht="42" customHeight="1">
      <x:c r="A511" s="15" t="str">
        <x:v>P057</x:v>
      </x:c>
      <x:c r="B511" s="15" t="str">
        <x:v>阿巴斯港</x:v>
      </x:c>
      <x:c r="C511" s="15" t="str">
        <x:v>G015</x:v>
      </x:c>
      <x:c r="D511" s="15" t="str">
        <x:v>咸鱼</x:v>
      </x:c>
      <x:c r="E511" s="30" t="n">
        <x:v>0</x:v>
      </x:c>
      <x:c r="F511" s="30" t="n">
        <x:v>65</x:v>
      </x:c>
      <x:c r="G511" s="30" t="n">
        <x:v>164</x:v>
      </x:c>
      <x:c r="H511" s="30" t="n">
        <x:v>492</x:v>
      </x:c>
      <x:c r="I511" s="54" t="n">
        <x:v>0.74</x:v>
      </x:c>
      <x:c r="J511" s="15" t="str">
        <x:v>本港生产/腹地集散/港内加工</x:v>
      </x:c>
      <x:c r="K511" s="15" t="str">
        <x:v>每7个游戏日补充164货载单位。本地、所属岛链或相连腹地供货；成品由港内工坊加工，贸易规模是本作设计。</x:v>
      </x:c>
      <x:c r="L511" s="15" t="str">
        <x:v>港口发展度达到D0（≥0点）；不要求武装度。</x:v>
      </x:c>
    </x:row>
    <x:row r="512" ht="42" customHeight="1">
      <x:c r="A512" s="13" t="str">
        <x:v>P057</x:v>
      </x:c>
      <x:c r="B512" s="13" t="str">
        <x:v>阿巴斯港</x:v>
      </x:c>
      <x:c r="C512" s="13" t="str">
        <x:v>G042</x:v>
      </x:c>
      <x:c r="D512" s="13" t="str">
        <x:v>生丝</x:v>
      </x:c>
      <x:c r="E512" s="27" t="n">
        <x:v>1</x:v>
      </x:c>
      <x:c r="F512" s="27" t="n">
        <x:v>390</x:v>
      </x:c>
      <x:c r="G512" s="27" t="n">
        <x:v>69</x:v>
      </x:c>
      <x:c r="H512" s="27" t="n">
        <x:v>207</x:v>
      </x:c>
      <x:c r="I512" s="52" t="n">
        <x:v>1.08</x:v>
      </x:c>
      <x:c r="J512" s="13" t="str">
        <x:v>进口/区域转口</x:v>
      </x:c>
      <x:c r="K512" s="13" t="str">
        <x:v>每7个游戏日补充69货载单位。由区域商队或NPC货船带入；为港口转售供货，不改变商品的原产地区。</x:v>
      </x:c>
      <x:c r="L512" s="13" t="str">
        <x:v>港口发展度达到D1（≥100点）；不要求武装度。</x:v>
      </x:c>
    </x:row>
    <x:row r="513" ht="42" customHeight="1">
      <x:c r="A513" s="15" t="str">
        <x:v>P057</x:v>
      </x:c>
      <x:c r="B513" s="15" t="str">
        <x:v>阿巴斯港</x:v>
      </x:c>
      <x:c r="C513" s="15" t="str">
        <x:v>G050</x:v>
      </x:c>
      <x:c r="D513" s="15" t="str">
        <x:v>茜草染料</x:v>
      </x:c>
      <x:c r="E513" s="30" t="n">
        <x:v>1</x:v>
      </x:c>
      <x:c r="F513" s="30" t="n">
        <x:v>175</x:v>
      </x:c>
      <x:c r="G513" s="30" t="n">
        <x:v>18</x:v>
      </x:c>
      <x:c r="H513" s="30" t="n">
        <x:v>54</x:v>
      </x:c>
      <x:c r="I513" s="54" t="n">
        <x:v>1.08</x:v>
      </x:c>
      <x:c r="J513" s="15" t="str">
        <x:v>进口/区域转口</x:v>
      </x:c>
      <x:c r="K513" s="15" t="str">
        <x:v>每7个游戏日补充18货载单位。由区域商队或NPC货船带入；为港口转售供货，不改变商品的原产地区。</x:v>
      </x:c>
      <x:c r="L513" s="15" t="str">
        <x:v>港口发展度达到D1（≥100点）；不要求武装度。</x:v>
      </x:c>
    </x:row>
    <x:row r="514" ht="42" customHeight="1">
      <x:c r="A514" s="13" t="str">
        <x:v>P057</x:v>
      </x:c>
      <x:c r="B514" s="13" t="str">
        <x:v>阿巴斯港</x:v>
      </x:c>
      <x:c r="C514" s="13" t="str">
        <x:v>G046</x:v>
      </x:c>
      <x:c r="D514" s="13" t="str">
        <x:v>丝绸</x:v>
      </x:c>
      <x:c r="E514" s="27" t="n">
        <x:v>2</x:v>
      </x:c>
      <x:c r="F514" s="27" t="n">
        <x:v>620</x:v>
      </x:c>
      <x:c r="G514" s="27" t="n">
        <x:v>36</x:v>
      </x:c>
      <x:c r="H514" s="27" t="n">
        <x:v>108</x:v>
      </x:c>
      <x:c r="I514" s="52" t="n">
        <x:v>1.08</x:v>
      </x:c>
      <x:c r="J514" s="13" t="str">
        <x:v>进口/区域转口</x:v>
      </x:c>
      <x:c r="K514" s="13" t="str">
        <x:v>每7个游戏日补充36货载单位。由区域商队或NPC货船带入；为港口转售供货，不改变商品的原产地区。</x:v>
      </x:c>
      <x:c r="L514" s="13" t="str">
        <x:v>港口发展度达到D2（≥250点）；不要求武装度。</x:v>
      </x:c>
    </x:row>
    <x:row r="515" ht="42" customHeight="1">
      <x:c r="A515" s="15" t="str">
        <x:v>P057</x:v>
      </x:c>
      <x:c r="B515" s="15" t="str">
        <x:v>阿巴斯港</x:v>
      </x:c>
      <x:c r="C515" s="15" t="str">
        <x:v>G034</x:v>
      </x:c>
      <x:c r="D515" s="15" t="str">
        <x:v>藏红花</x:v>
      </x:c>
      <x:c r="E515" s="30" t="n">
        <x:v>3</x:v>
      </x:c>
      <x:c r="F515" s="30" t="n">
        <x:v>860</x:v>
      </x:c>
      <x:c r="G515" s="30" t="n">
        <x:v>14</x:v>
      </x:c>
      <x:c r="H515" s="30" t="n">
        <x:v>42</x:v>
      </x:c>
      <x:c r="I515" s="54" t="n">
        <x:v>1.14</x:v>
      </x:c>
      <x:c r="J515" s="15" t="str">
        <x:v>进口/区域转口</x:v>
      </x:c>
      <x:c r="K515" s="15" t="str">
        <x:v>每7个游戏日补充14货载单位。由区域商队或NPC货船带入；为港口转售供货，不改变商品的原产地区。</x:v>
      </x:c>
      <x:c r="L515" s="15" t="str">
        <x:v>港口发展度达到D3（≥450点）；不要求武装度。</x:v>
      </x:c>
    </x:row>
    <x:row r="516" ht="42" customHeight="1">
      <x:c r="A516" s="13" t="str">
        <x:v>P057</x:v>
      </x:c>
      <x:c r="B516" s="13" t="str">
        <x:v>阿巴斯港</x:v>
      </x:c>
      <x:c r="C516" s="13" t="str">
        <x:v>G078</x:v>
      </x:c>
      <x:c r="D516" s="13" t="str">
        <x:v>宝石原石</x:v>
      </x:c>
      <x:c r="E516" s="27" t="n">
        <x:v>4</x:v>
      </x:c>
      <x:c r="F516" s="27" t="n">
        <x:v>820</x:v>
      </x:c>
      <x:c r="G516" s="27" t="n">
        <x:v>3</x:v>
      </x:c>
      <x:c r="H516" s="27" t="n">
        <x:v>9</x:v>
      </x:c>
      <x:c r="I516" s="52" t="n">
        <x:v>1.14</x:v>
      </x:c>
      <x:c r="J516" s="13" t="str">
        <x:v>进口/区域转口</x:v>
      </x:c>
      <x:c r="K516" s="13" t="str">
        <x:v>每7个游戏日补充3货载单位。由区域商队或NPC货船带入；为港口转售供货，不改变商品的原产地区。</x:v>
      </x:c>
      <x:c r="L516" s="13" t="str">
        <x:v>港口发展度达到D4（≥700点）；不要求武装度。</x:v>
      </x:c>
    </x:row>
    <x:row r="517" ht="42" customHeight="1">
      <x:c r="A517" s="15" t="str">
        <x:v>P057</x:v>
      </x:c>
      <x:c r="B517" s="15" t="str">
        <x:v>阿巴斯港</x:v>
      </x:c>
      <x:c r="C517" s="15" t="str">
        <x:v>G047</x:v>
      </x:c>
      <x:c r="D517" s="15" t="str">
        <x:v>锦缎</x:v>
      </x:c>
      <x:c r="E517" s="30" t="n">
        <x:v>5</x:v>
      </x:c>
      <x:c r="F517" s="30" t="n">
        <x:v>850</x:v>
      </x:c>
      <x:c r="G517" s="30" t="n">
        <x:v>43</x:v>
      </x:c>
      <x:c r="H517" s="30" t="n">
        <x:v>129</x:v>
      </x:c>
      <x:c r="I517" s="54" t="n">
        <x:v>0.87</x:v>
      </x:c>
      <x:c r="J517" s="15" t="str">
        <x:v>本港生产/腹地集散/港内加工</x:v>
      </x:c>
      <x:c r="K517" s="15" t="str">
        <x:v>每7个游戏日补充43货载单位。本地、所属岛链或相连腹地供货；成品由港内工坊加工，贸易规模是本作设计。</x:v>
      </x:c>
      <x:c r="L517" s="15" t="str">
        <x:v>港口发展度达到D5（≥1000点）；不要求武装度。</x:v>
      </x:c>
    </x:row>
    <x:row r="518" ht="42" customHeight="1">
      <x:c r="A518" s="13" t="str">
        <x:v>P057</x:v>
      </x:c>
      <x:c r="B518" s="13" t="str">
        <x:v>阿巴斯港</x:v>
      </x:c>
      <x:c r="C518" s="13" t="str">
        <x:v>SP057</x:v>
      </x:c>
      <x:c r="D518" s="13" t="str">
        <x:v>孔雀火焰双面锦</x:v>
      </x:c>
      <x:c r="E518" s="27" t="n">
        <x:v>4</x:v>
      </x:c>
      <x:c r="F518" s="27" t="n">
        <x:v>1170</x:v>
      </x:c>
      <x:c r="G518" s="27" t="n">
        <x:v>7</x:v>
      </x:c>
      <x:c r="H518" s="27" t="n">
        <x:v>14</x:v>
      </x:c>
      <x:c r="I518" s="52" t="n">
        <x:v>0.78</x:v>
      </x:c>
      <x:c r="J518" s="13" t="str">
        <x:v>港口独占原创工坊特产</x:v>
      </x:c>
      <x:c r="K518" s="13" t="str">
        <x:v>每7个游戏日由「孔雀双面锦工坊」交货7货载；只在本港形成稳定产源。</x:v>
      </x:c>
      <x:c r="L518" s="13" t="str">
        <x:v>港口发展度达到D4（≥700点）时，投资项目「孔雀双面锦工坊」自动完工；不要求武装度。</x:v>
      </x:c>
    </x:row>
    <x:row r="519" ht="42" customHeight="1">
      <x:c r="A519" s="15" t="str">
        <x:v>P058</x:v>
      </x:c>
      <x:c r="B519" s="15" t="str">
        <x:v>巴士拉</x:v>
      </x:c>
      <x:c r="C519" s="15" t="str">
        <x:v>G102</x:v>
      </x:c>
      <x:c r="D519" s="15" t="str">
        <x:v>椰枣</x:v>
      </x:c>
      <x:c r="E519" s="30" t="n">
        <x:v>0</x:v>
      </x:c>
      <x:c r="F519" s="30" t="n">
        <x:v>78</x:v>
      </x:c>
      <x:c r="G519" s="30" t="n">
        <x:v>167</x:v>
      </x:c>
      <x:c r="H519" s="30" t="n">
        <x:v>501</x:v>
      </x:c>
      <x:c r="I519" s="54" t="n">
        <x:v>0.74</x:v>
      </x:c>
      <x:c r="J519" s="15" t="str">
        <x:v>本港生产/腹地集散/港内加工</x:v>
      </x:c>
      <x:c r="K519" s="15" t="str">
        <x:v>每7个游戏日补充167货载单位。本地、所属岛链或相连腹地供货；成品由港内工坊加工，贸易规模是本作设计。</x:v>
      </x:c>
      <x:c r="L519" s="15" t="str">
        <x:v>港口发展度达到D0（≥0点）；不要求武装度。</x:v>
      </x:c>
    </x:row>
    <x:row r="520" ht="42" customHeight="1">
      <x:c r="A520" s="13" t="str">
        <x:v>P058</x:v>
      </x:c>
      <x:c r="B520" s="13" t="str">
        <x:v>巴士拉</x:v>
      </x:c>
      <x:c r="C520" s="13" t="str">
        <x:v>G001</x:v>
      </x:c>
      <x:c r="D520" s="13" t="str">
        <x:v>小麦</x:v>
      </x:c>
      <x:c r="E520" s="27" t="n">
        <x:v>0</x:v>
      </x:c>
      <x:c r="F520" s="27" t="n">
        <x:v>45</x:v>
      </x:c>
      <x:c r="G520" s="27" t="n">
        <x:v>214</x:v>
      </x:c>
      <x:c r="H520" s="27" t="n">
        <x:v>642</x:v>
      </x:c>
      <x:c r="I520" s="52" t="n">
        <x:v>0.74</x:v>
      </x:c>
      <x:c r="J520" s="13" t="str">
        <x:v>本港生产/腹地集散/港内加工</x:v>
      </x:c>
      <x:c r="K520" s="13" t="str">
        <x:v>每7个游戏日补充214货载单位。本地、所属岛链或相连腹地供货；成品由港内工坊加工，贸易规模是本作设计。</x:v>
      </x:c>
      <x:c r="L520" s="13" t="str">
        <x:v>港口发展度达到D0（≥0点）；不要求武装度。</x:v>
      </x:c>
    </x:row>
    <x:row r="521" ht="42" customHeight="1">
      <x:c r="A521" s="15" t="str">
        <x:v>P058</x:v>
      </x:c>
      <x:c r="B521" s="15" t="str">
        <x:v>巴士拉</x:v>
      </x:c>
      <x:c r="C521" s="15" t="str">
        <x:v>G015</x:v>
      </x:c>
      <x:c r="D521" s="15" t="str">
        <x:v>咸鱼</x:v>
      </x:c>
      <x:c r="E521" s="30" t="n">
        <x:v>1</x:v>
      </x:c>
      <x:c r="F521" s="30" t="n">
        <x:v>65</x:v>
      </x:c>
      <x:c r="G521" s="30" t="n">
        <x:v>158</x:v>
      </x:c>
      <x:c r="H521" s="30" t="n">
        <x:v>474</x:v>
      </x:c>
      <x:c r="I521" s="54" t="n">
        <x:v>0.74</x:v>
      </x:c>
      <x:c r="J521" s="15" t="str">
        <x:v>本港生产/腹地集散/港内加工</x:v>
      </x:c>
      <x:c r="K521" s="15" t="str">
        <x:v>每7个游戏日补充158货载单位。本地、所属岛链或相连腹地供货；成品由港内工坊加工，贸易规模是本作设计。</x:v>
      </x:c>
      <x:c r="L521" s="15" t="str">
        <x:v>港口发展度达到D1（≥100点）；不要求武装度。</x:v>
      </x:c>
    </x:row>
    <x:row r="522" ht="42" customHeight="1">
      <x:c r="A522" s="13" t="str">
        <x:v>P058</x:v>
      </x:c>
      <x:c r="B522" s="13" t="str">
        <x:v>巴士拉</x:v>
      </x:c>
      <x:c r="C522" s="13" t="str">
        <x:v>G079</x:v>
      </x:c>
      <x:c r="D522" s="13" t="str">
        <x:v>皮革</x:v>
      </x:c>
      <x:c r="E522" s="27" t="n">
        <x:v>1</x:v>
      </x:c>
      <x:c r="F522" s="27" t="n">
        <x:v>110</x:v>
      </x:c>
      <x:c r="G522" s="27" t="n">
        <x:v>79</x:v>
      </x:c>
      <x:c r="H522" s="27" t="n">
        <x:v>237</x:v>
      </x:c>
      <x:c r="I522" s="52" t="n">
        <x:v>0.74</x:v>
      </x:c>
      <x:c r="J522" s="13" t="str">
        <x:v>本港生产/腹地集散/港内加工</x:v>
      </x:c>
      <x:c r="K522" s="13" t="str">
        <x:v>每7个游戏日补充79货载单位。本地、所属岛链或相连腹地供货；成品由港内工坊加工，贸易规模是本作设计。</x:v>
      </x:c>
      <x:c r="L522" s="13" t="str">
        <x:v>港口发展度达到D1（≥100点）；不要求武装度。</x:v>
      </x:c>
    </x:row>
    <x:row r="523" ht="42" customHeight="1">
      <x:c r="A523" s="15" t="str">
        <x:v>P058</x:v>
      </x:c>
      <x:c r="B523" s="15" t="str">
        <x:v>巴士拉</x:v>
      </x:c>
      <x:c r="C523" s="15" t="str">
        <x:v>G084</x:v>
      </x:c>
      <x:c r="D523" s="15" t="str">
        <x:v>乳香</x:v>
      </x:c>
      <x:c r="E523" s="30" t="n">
        <x:v>2</x:v>
      </x:c>
      <x:c r="F523" s="30" t="n">
        <x:v>340</x:v>
      </x:c>
      <x:c r="G523" s="30" t="n">
        <x:v>9</x:v>
      </x:c>
      <x:c r="H523" s="30" t="n">
        <x:v>27</x:v>
      </x:c>
      <x:c r="I523" s="54" t="n">
        <x:v>1.08</x:v>
      </x:c>
      <x:c r="J523" s="15" t="str">
        <x:v>进口/区域转口</x:v>
      </x:c>
      <x:c r="K523" s="15" t="str">
        <x:v>每7个游戏日补充9货载单位。由区域商队或NPC货船带入；为港口转售供货，不改变商品的原产地区。</x:v>
      </x:c>
      <x:c r="L523" s="15" t="str">
        <x:v>港口发展度达到D2（≥250点）；不要求武装度。</x:v>
      </x:c>
    </x:row>
    <x:row r="524" ht="42" customHeight="1">
      <x:c r="A524" s="13" t="str">
        <x:v>P058</x:v>
      </x:c>
      <x:c r="B524" s="13" t="str">
        <x:v>巴士拉</x:v>
      </x:c>
      <x:c r="C524" s="13" t="str">
        <x:v>G074</x:v>
      </x:c>
      <x:c r="D524" s="13" t="str">
        <x:v>珍珠</x:v>
      </x:c>
      <x:c r="E524" s="27" t="n">
        <x:v>3</x:v>
      </x:c>
      <x:c r="F524" s="27" t="n">
        <x:v>680</x:v>
      </x:c>
      <x:c r="G524" s="27" t="n">
        <x:v>4</x:v>
      </x:c>
      <x:c r="H524" s="27" t="n">
        <x:v>12</x:v>
      </x:c>
      <x:c r="I524" s="52" t="n">
        <x:v>1.14</x:v>
      </x:c>
      <x:c r="J524" s="13" t="str">
        <x:v>进口/区域转口</x:v>
      </x:c>
      <x:c r="K524" s="13" t="str">
        <x:v>每7个游戏日补充4货载单位。由区域商队或NPC货船带入；为港口转售供货，不改变商品的原产地区。</x:v>
      </x:c>
      <x:c r="L524" s="13" t="str">
        <x:v>港口发展度达到D3（≥450点）；不要求武装度。</x:v>
      </x:c>
    </x:row>
    <x:row r="525" ht="42" customHeight="1">
      <x:c r="A525" s="15" t="str">
        <x:v>P058</x:v>
      </x:c>
      <x:c r="B525" s="15" t="str">
        <x:v>巴士拉</x:v>
      </x:c>
      <x:c r="C525" s="15" t="str">
        <x:v>G043</x:v>
      </x:c>
      <x:c r="D525" s="15" t="str">
        <x:v>棉布</x:v>
      </x:c>
      <x:c r="E525" s="30" t="n">
        <x:v>4</x:v>
      </x:c>
      <x:c r="F525" s="30" t="n">
        <x:v>160</x:v>
      </x:c>
      <x:c r="G525" s="30" t="n">
        <x:v>27</x:v>
      </x:c>
      <x:c r="H525" s="30" t="n">
        <x:v>81</x:v>
      </x:c>
      <x:c r="I525" s="54" t="n">
        <x:v>1.14</x:v>
      </x:c>
      <x:c r="J525" s="15" t="str">
        <x:v>进口/区域转口</x:v>
      </x:c>
      <x:c r="K525" s="15" t="str">
        <x:v>每7个游戏日补充27货载单位。由区域商队或NPC货船带入；为港口转售供货，不改变商品的原产地区。</x:v>
      </x:c>
      <x:c r="L525" s="15" t="str">
        <x:v>港口发展度达到D4（≥700点）；不要求武装度。</x:v>
      </x:c>
    </x:row>
    <x:row r="526" ht="42" customHeight="1">
      <x:c r="A526" s="13" t="str">
        <x:v>P058</x:v>
      </x:c>
      <x:c r="B526" s="13" t="str">
        <x:v>巴士拉</x:v>
      </x:c>
      <x:c r="C526" s="13" t="str">
        <x:v>G087</x:v>
      </x:c>
      <x:c r="D526" s="13" t="str">
        <x:v>香水</x:v>
      </x:c>
      <x:c r="E526" s="27" t="n">
        <x:v>5</x:v>
      </x:c>
      <x:c r="F526" s="27" t="n">
        <x:v>570</x:v>
      </x:c>
      <x:c r="G526" s="27" t="n">
        <x:v>11</x:v>
      </x:c>
      <x:c r="H526" s="27" t="n">
        <x:v>33</x:v>
      </x:c>
      <x:c r="I526" s="52" t="n">
        <x:v>0.87</x:v>
      </x:c>
      <x:c r="J526" s="13" t="str">
        <x:v>本港生产/腹地集散/港内加工</x:v>
      </x:c>
      <x:c r="K526" s="13" t="str">
        <x:v>每7个游戏日补充11货载单位。本地、所属岛链或相连腹地供货；成品由港内工坊加工，贸易规模是本作设计。</x:v>
      </x:c>
      <x:c r="L526" s="13" t="str">
        <x:v>港口发展度达到D5（≥1000点）；不要求武装度。</x:v>
      </x:c>
    </x:row>
    <x:row r="527" ht="42" customHeight="1">
      <x:c r="A527" s="15" t="str">
        <x:v>P058</x:v>
      </x:c>
      <x:c r="B527" s="15" t="str">
        <x:v>巴士拉</x:v>
      </x:c>
      <x:c r="C527" s="15" t="str">
        <x:v>SP058</x:v>
      </x:c>
      <x:c r="D527" s="15" t="str">
        <x:v>双河蜜枣银匣</x:v>
      </x:c>
      <x:c r="E527" s="30" t="n">
        <x:v>3</x:v>
      </x:c>
      <x:c r="F527" s="30" t="n">
        <x:v>530</x:v>
      </x:c>
      <x:c r="G527" s="30" t="n">
        <x:v>10</x:v>
      </x:c>
      <x:c r="H527" s="30" t="n">
        <x:v>20</x:v>
      </x:c>
      <x:c r="I527" s="54" t="n">
        <x:v>0.78</x:v>
      </x:c>
      <x:c r="J527" s="15" t="str">
        <x:v>港口独占原创工坊特产</x:v>
      </x:c>
      <x:c r="K527" s="15" t="str">
        <x:v>每7个游戏日由「椰枣甜食与匣匠合作坊」交货10货载；只在本港形成稳定产源。</x:v>
      </x:c>
      <x:c r="L527" s="15" t="str">
        <x:v>港口发展度达到D3（≥450点）时，投资项目「椰枣甜食与匣匠合作坊」自动完工；不要求武装度。</x:v>
      </x:c>
    </x:row>
    <x:row r="528" ht="42" customHeight="1">
      <x:c r="A528" s="13" t="str">
        <x:v>P059</x:v>
      </x:c>
      <x:c r="B528" s="13" t="str">
        <x:v>第乌</x:v>
      </x:c>
      <x:c r="C528" s="13" t="str">
        <x:v>G009</x:v>
      </x:c>
      <x:c r="D528" s="13" t="str">
        <x:v>盐</x:v>
      </x:c>
      <x:c r="E528" s="27" t="n">
        <x:v>0</x:v>
      </x:c>
      <x:c r="F528" s="27" t="n">
        <x:v>28</x:v>
      </x:c>
      <x:c r="G528" s="27" t="n">
        <x:v>144</x:v>
      </x:c>
      <x:c r="H528" s="27" t="n">
        <x:v>432</x:v>
      </x:c>
      <x:c r="I528" s="52" t="n">
        <x:v>0.74</x:v>
      </x:c>
      <x:c r="J528" s="13" t="str">
        <x:v>本港生产/腹地集散/港内加工</x:v>
      </x:c>
      <x:c r="K528" s="13" t="str">
        <x:v>每7个游戏日补充144货载单位。本地、所属岛链或相连腹地供货；成品由港内工坊加工，贸易规模是本作设计。</x:v>
      </x:c>
      <x:c r="L528" s="13" t="str">
        <x:v>港口发展度达到D0（≥0点）；不要求武装度。</x:v>
      </x:c>
    </x:row>
    <x:row r="529" ht="42" customHeight="1">
      <x:c r="A529" s="15" t="str">
        <x:v>P059</x:v>
      </x:c>
      <x:c r="B529" s="15" t="str">
        <x:v>第乌</x:v>
      </x:c>
      <x:c r="C529" s="15" t="str">
        <x:v>G015</x:v>
      </x:c>
      <x:c r="D529" s="15" t="str">
        <x:v>咸鱼</x:v>
      </x:c>
      <x:c r="E529" s="30" t="n">
        <x:v>0</x:v>
      </x:c>
      <x:c r="F529" s="30" t="n">
        <x:v>65</x:v>
      </x:c>
      <x:c r="G529" s="30" t="n">
        <x:v>144</x:v>
      </x:c>
      <x:c r="H529" s="30" t="n">
        <x:v>432</x:v>
      </x:c>
      <x:c r="I529" s="54" t="n">
        <x:v>0.74</x:v>
      </x:c>
      <x:c r="J529" s="15" t="str">
        <x:v>本港生产/腹地集散/港内加工</x:v>
      </x:c>
      <x:c r="K529" s="15" t="str">
        <x:v>每7个游戏日补充144货载单位。本地、所属岛链或相连腹地供货；成品由港内工坊加工，贸易规模是本作设计。</x:v>
      </x:c>
      <x:c r="L529" s="15" t="str">
        <x:v>港口发展度达到D0（≥0点）；不要求武装度。</x:v>
      </x:c>
    </x:row>
    <x:row r="530" ht="42" customHeight="1">
      <x:c r="A530" s="13" t="str">
        <x:v>P059</x:v>
      </x:c>
      <x:c r="B530" s="13" t="str">
        <x:v>第乌</x:v>
      </x:c>
      <x:c r="C530" s="13" t="str">
        <x:v>G038</x:v>
      </x:c>
      <x:c r="D530" s="13" t="str">
        <x:v>原棉</x:v>
      </x:c>
      <x:c r="E530" s="27" t="n">
        <x:v>1</x:v>
      </x:c>
      <x:c r="F530" s="27" t="n">
        <x:v>95</x:v>
      </x:c>
      <x:c r="G530" s="27" t="n">
        <x:v>117</x:v>
      </x:c>
      <x:c r="H530" s="27" t="n">
        <x:v>351</x:v>
      </x:c>
      <x:c r="I530" s="52" t="n">
        <x:v>0.74</x:v>
      </x:c>
      <x:c r="J530" s="13" t="str">
        <x:v>本港生产/腹地集散/港内加工</x:v>
      </x:c>
      <x:c r="K530" s="13" t="str">
        <x:v>每7个游戏日补充117货载单位。本地、所属岛链或相连腹地供货；成品由港内工坊加工，贸易规模是本作设计。</x:v>
      </x:c>
      <x:c r="L530" s="13" t="str">
        <x:v>港口发展度达到D1（≥100点）；不要求武装度。</x:v>
      </x:c>
    </x:row>
    <x:row r="531" ht="42" customHeight="1">
      <x:c r="A531" s="15" t="str">
        <x:v>P059</x:v>
      </x:c>
      <x:c r="B531" s="15" t="str">
        <x:v>第乌</x:v>
      </x:c>
      <x:c r="C531" s="15" t="str">
        <x:v>G043</x:v>
      </x:c>
      <x:c r="D531" s="15" t="str">
        <x:v>棉布</x:v>
      </x:c>
      <x:c r="E531" s="30" t="n">
        <x:v>1</x:v>
      </x:c>
      <x:c r="F531" s="30" t="n">
        <x:v>160</x:v>
      </x:c>
      <x:c r="G531" s="30" t="n">
        <x:v>68</x:v>
      </x:c>
      <x:c r="H531" s="30" t="n">
        <x:v>204</x:v>
      </x:c>
      <x:c r="I531" s="54" t="n">
        <x:v>0.74</x:v>
      </x:c>
      <x:c r="J531" s="15" t="str">
        <x:v>本港生产/腹地集散/港内加工</x:v>
      </x:c>
      <x:c r="K531" s="15" t="str">
        <x:v>每7个游戏日补充68货载单位。本地、所属岛链或相连腹地供货；成品由港内工坊加工，贸易规模是本作设计。</x:v>
      </x:c>
      <x:c r="L531" s="15" t="str">
        <x:v>港口发展度达到D1（≥100点）；不要求武装度。</x:v>
      </x:c>
    </x:row>
    <x:row r="532" ht="42" customHeight="1">
      <x:c r="A532" s="13" t="str">
        <x:v>P059</x:v>
      </x:c>
      <x:c r="B532" s="13" t="str">
        <x:v>第乌</x:v>
      </x:c>
      <x:c r="C532" s="13" t="str">
        <x:v>G049</x:v>
      </x:c>
      <x:c r="D532" s="13" t="str">
        <x:v>靛蓝</x:v>
      </x:c>
      <x:c r="E532" s="27" t="n">
        <x:v>2</x:v>
      </x:c>
      <x:c r="F532" s="27" t="n">
        <x:v>280</x:v>
      </x:c>
      <x:c r="G532" s="27" t="n">
        <x:v>28</x:v>
      </x:c>
      <x:c r="H532" s="27" t="n">
        <x:v>84</x:v>
      </x:c>
      <x:c r="I532" s="52" t="n">
        <x:v>0.8</x:v>
      </x:c>
      <x:c r="J532" s="13" t="str">
        <x:v>本港生产/腹地集散/港内加工</x:v>
      </x:c>
      <x:c r="K532" s="13" t="str">
        <x:v>每7个游戏日补充28货载单位。本地、所属岛链或相连腹地供货；成品由港内工坊加工，贸易规模是本作设计。</x:v>
      </x:c>
      <x:c r="L532" s="13" t="str">
        <x:v>港口发展度达到D2（≥250点）；不要求武装度。</x:v>
      </x:c>
    </x:row>
    <x:row r="533" ht="42" customHeight="1">
      <x:c r="A533" s="15" t="str">
        <x:v>P059</x:v>
      </x:c>
      <x:c r="B533" s="15" t="str">
        <x:v>第乌</x:v>
      </x:c>
      <x:c r="C533" s="15" t="str">
        <x:v>G079</x:v>
      </x:c>
      <x:c r="D533" s="15" t="str">
        <x:v>皮革</x:v>
      </x:c>
      <x:c r="E533" s="30" t="n">
        <x:v>3</x:v>
      </x:c>
      <x:c r="F533" s="30" t="n">
        <x:v>110</x:v>
      </x:c>
      <x:c r="G533" s="30" t="n">
        <x:v>52</x:v>
      </x:c>
      <x:c r="H533" s="30" t="n">
        <x:v>156</x:v>
      </x:c>
      <x:c r="I533" s="54" t="n">
        <x:v>0.8</x:v>
      </x:c>
      <x:c r="J533" s="15" t="str">
        <x:v>本港生产/腹地集散/港内加工</x:v>
      </x:c>
      <x:c r="K533" s="15" t="str">
        <x:v>每7个游戏日补充52货载单位。本地、所属岛链或相连腹地供货；成品由港内工坊加工，贸易规模是本作设计。</x:v>
      </x:c>
      <x:c r="L533" s="15" t="str">
        <x:v>港口发展度达到D3（≥450点）；不要求武装度。</x:v>
      </x:c>
    </x:row>
    <x:row r="534" ht="42" customHeight="1">
      <x:c r="A534" s="13" t="str">
        <x:v>P059</x:v>
      </x:c>
      <x:c r="B534" s="13" t="str">
        <x:v>第乌</x:v>
      </x:c>
      <x:c r="C534" s="13" t="str">
        <x:v>G068</x:v>
      </x:c>
      <x:c r="D534" s="13" t="str">
        <x:v>铁工具</x:v>
      </x:c>
      <x:c r="E534" s="27" t="n">
        <x:v>4</x:v>
      </x:c>
      <x:c r="F534" s="27" t="n">
        <x:v>190</x:v>
      </x:c>
      <x:c r="G534" s="27" t="n">
        <x:v>45</x:v>
      </x:c>
      <x:c r="H534" s="27" t="n">
        <x:v>135</x:v>
      </x:c>
      <x:c r="I534" s="52" t="n">
        <x:v>0.87</x:v>
      </x:c>
      <x:c r="J534" s="13" t="str">
        <x:v>本港生产/腹地集散/港内加工</x:v>
      </x:c>
      <x:c r="K534" s="13" t="str">
        <x:v>每7个游戏日补充45货载单位。本地、所属岛链或相连腹地供货；成品由港内工坊加工，贸易规模是本作设计。</x:v>
      </x:c>
      <x:c r="L534" s="13" t="str">
        <x:v>港口发展度达到D4（≥700点）；不要求武装度。</x:v>
      </x:c>
    </x:row>
    <x:row r="535" ht="42" customHeight="1">
      <x:c r="A535" s="15" t="str">
        <x:v>P059</x:v>
      </x:c>
      <x:c r="B535" s="15" t="str">
        <x:v>第乌</x:v>
      </x:c>
      <x:c r="C535" s="15" t="str">
        <x:v>G073</x:v>
      </x:c>
      <x:c r="D535" s="15" t="str">
        <x:v>珠宝</x:v>
      </x:c>
      <x:c r="E535" s="30" t="n">
        <x:v>5</x:v>
      </x:c>
      <x:c r="F535" s="30" t="n">
        <x:v>760</x:v>
      </x:c>
      <x:c r="G535" s="30" t="n">
        <x:v>6</x:v>
      </x:c>
      <x:c r="H535" s="30" t="n">
        <x:v>18</x:v>
      </x:c>
      <x:c r="I535" s="54" t="n">
        <x:v>0.87</x:v>
      </x:c>
      <x:c r="J535" s="15" t="str">
        <x:v>本港生产/腹地集散/港内加工</x:v>
      </x:c>
      <x:c r="K535" s="15" t="str">
        <x:v>每7个游戏日补充6货载单位。本地、所属岛链或相连腹地供货；成品由港内工坊加工，贸易规模是本作设计。</x:v>
      </x:c>
      <x:c r="L535" s="15" t="str">
        <x:v>港口发展度达到D5（≥1000点）；不要求武装度。</x:v>
      </x:c>
    </x:row>
    <x:row r="536" ht="42" customHeight="1">
      <x:c r="A536" s="13" t="str">
        <x:v>P059</x:v>
      </x:c>
      <x:c r="B536" s="13" t="str">
        <x:v>第乌</x:v>
      </x:c>
      <x:c r="C536" s="13" t="str">
        <x:v>SP059</x:v>
      </x:c>
      <x:c r="D536" s="13" t="str">
        <x:v>第乌红蓝拼帆毯</x:v>
      </x:c>
      <x:c r="E536" s="27" t="n">
        <x:v>3</x:v>
      </x:c>
      <x:c r="F536" s="27" t="n">
        <x:v>540</x:v>
      </x:c>
      <x:c r="G536" s="27" t="n">
        <x:v>8</x:v>
      </x:c>
      <x:c r="H536" s="27" t="n">
        <x:v>16</x:v>
      </x:c>
      <x:c r="I536" s="52" t="n">
        <x:v>0.78</x:v>
      </x:c>
      <x:c r="J536" s="13" t="str">
        <x:v>港口独占原创工坊特产</x:v>
      </x:c>
      <x:c r="K536" s="13" t="str">
        <x:v>每7个游戏日由「岛堡拼帆织坊」交货8货载；只在本港形成稳定产源。</x:v>
      </x:c>
      <x:c r="L536" s="13" t="str">
        <x:v>港口发展度达到D3（≥450点）时，投资项目「岛堡拼帆织坊」自动完工；不要求武装度。</x:v>
      </x:c>
    </x:row>
    <x:row r="537" ht="42" customHeight="1">
      <x:c r="A537" s="15" t="str">
        <x:v>P060</x:v>
      </x:c>
      <x:c r="B537" s="15" t="str">
        <x:v>苏拉特</x:v>
      </x:c>
      <x:c r="C537" s="15" t="str">
        <x:v>G038</x:v>
      </x:c>
      <x:c r="D537" s="15" t="str">
        <x:v>原棉</x:v>
      </x:c>
      <x:c r="E537" s="30" t="n">
        <x:v>0</x:v>
      </x:c>
      <x:c r="F537" s="30" t="n">
        <x:v>95</x:v>
      </x:c>
      <x:c r="G537" s="30" t="n">
        <x:v>169</x:v>
      </x:c>
      <x:c r="H537" s="30" t="n">
        <x:v>507</x:v>
      </x:c>
      <x:c r="I537" s="54" t="n">
        <x:v>0.74</x:v>
      </x:c>
      <x:c r="J537" s="15" t="str">
        <x:v>本港生产/腹地集散/港内加工</x:v>
      </x:c>
      <x:c r="K537" s="15" t="str">
        <x:v>每7个游戏日补充169货载单位。本地、所属岛链或相连腹地供货；成品由港内工坊加工，贸易规模是本作设计。</x:v>
      </x:c>
      <x:c r="L537" s="15" t="str">
        <x:v>港口发展度达到D0（≥0点）；不要求武装度。</x:v>
      </x:c>
    </x:row>
    <x:row r="538" ht="42" customHeight="1">
      <x:c r="A538" s="13" t="str">
        <x:v>P060</x:v>
      </x:c>
      <x:c r="B538" s="13" t="str">
        <x:v>苏拉特</x:v>
      </x:c>
      <x:c r="C538" s="13" t="str">
        <x:v>G004</x:v>
      </x:c>
      <x:c r="D538" s="13" t="str">
        <x:v>稻米</x:v>
      </x:c>
      <x:c r="E538" s="27" t="n">
        <x:v>0</x:v>
      </x:c>
      <x:c r="F538" s="27" t="n">
        <x:v>55</x:v>
      </x:c>
      <x:c r="G538" s="27" t="n">
        <x:v>254</x:v>
      </x:c>
      <x:c r="H538" s="27" t="n">
        <x:v>762</x:v>
      </x:c>
      <x:c r="I538" s="52" t="n">
        <x:v>0.74</x:v>
      </x:c>
      <x:c r="J538" s="13" t="str">
        <x:v>本港生产/腹地集散/港内加工</x:v>
      </x:c>
      <x:c r="K538" s="13" t="str">
        <x:v>每7个游戏日补充254货载单位。本地、所属岛链或相连腹地供货；成品由港内工坊加工，贸易规模是本作设计。</x:v>
      </x:c>
      <x:c r="L538" s="13" t="str">
        <x:v>港口发展度达到D0（≥0点）；不要求武装度。</x:v>
      </x:c>
    </x:row>
    <x:row r="539" ht="42" customHeight="1">
      <x:c r="A539" s="15" t="str">
        <x:v>P060</x:v>
      </x:c>
      <x:c r="B539" s="15" t="str">
        <x:v>苏拉特</x:v>
      </x:c>
      <x:c r="C539" s="15" t="str">
        <x:v>G043</x:v>
      </x:c>
      <x:c r="D539" s="15" t="str">
        <x:v>棉布</x:v>
      </x:c>
      <x:c r="E539" s="30" t="n">
        <x:v>1</x:v>
      </x:c>
      <x:c r="F539" s="30" t="n">
        <x:v>160</x:v>
      </x:c>
      <x:c r="G539" s="30" t="n">
        <x:v>94</x:v>
      </x:c>
      <x:c r="H539" s="30" t="n">
        <x:v>282</x:v>
      </x:c>
      <x:c r="I539" s="54" t="n">
        <x:v>0.74</x:v>
      </x:c>
      <x:c r="J539" s="15" t="str">
        <x:v>本港生产/腹地集散/港内加工</x:v>
      </x:c>
      <x:c r="K539" s="15" t="str">
        <x:v>每7个游戏日补充94货载单位。本地、所属岛链或相连腹地供货；成品由港内工坊加工，贸易规模是本作设计。</x:v>
      </x:c>
      <x:c r="L539" s="15" t="str">
        <x:v>港口发展度达到D1（≥100点）；不要求武装度。</x:v>
      </x:c>
    </x:row>
    <x:row r="540" ht="42" customHeight="1">
      <x:c r="A540" s="13" t="str">
        <x:v>P060</x:v>
      </x:c>
      <x:c r="B540" s="13" t="str">
        <x:v>苏拉特</x:v>
      </x:c>
      <x:c r="C540" s="13" t="str">
        <x:v>G049</x:v>
      </x:c>
      <x:c r="D540" s="13" t="str">
        <x:v>靛蓝</x:v>
      </x:c>
      <x:c r="E540" s="27" t="n">
        <x:v>1</x:v>
      </x:c>
      <x:c r="F540" s="27" t="n">
        <x:v>280</x:v>
      </x:c>
      <x:c r="G540" s="27" t="n">
        <x:v>43</x:v>
      </x:c>
      <x:c r="H540" s="27" t="n">
        <x:v>129</x:v>
      </x:c>
      <x:c r="I540" s="52" t="n">
        <x:v>0.74</x:v>
      </x:c>
      <x:c r="J540" s="13" t="str">
        <x:v>本港生产/腹地集散/港内加工</x:v>
      </x:c>
      <x:c r="K540" s="13" t="str">
        <x:v>每7个游戏日补充43货载单位。本地、所属岛链或相连腹地供货；成品由港内工坊加工，贸易规模是本作设计。</x:v>
      </x:c>
      <x:c r="L540" s="13" t="str">
        <x:v>港口发展度达到D1（≥100点）；不要求武装度。</x:v>
      </x:c>
    </x:row>
    <x:row r="541" ht="42" customHeight="1">
      <x:c r="A541" s="15" t="str">
        <x:v>P060</x:v>
      </x:c>
      <x:c r="B541" s="15" t="str">
        <x:v>苏拉特</x:v>
      </x:c>
      <x:c r="C541" s="15" t="str">
        <x:v>G042</x:v>
      </x:c>
      <x:c r="D541" s="15" t="str">
        <x:v>生丝</x:v>
      </x:c>
      <x:c r="E541" s="30" t="n">
        <x:v>2</x:v>
      </x:c>
      <x:c r="F541" s="30" t="n">
        <x:v>390</x:v>
      </x:c>
      <x:c r="G541" s="30" t="n">
        <x:v>75</x:v>
      </x:c>
      <x:c r="H541" s="30" t="n">
        <x:v>225</x:v>
      </x:c>
      <x:c r="I541" s="54" t="n">
        <x:v>1.08</x:v>
      </x:c>
      <x:c r="J541" s="15" t="str">
        <x:v>进口/区域转口</x:v>
      </x:c>
      <x:c r="K541" s="15" t="str">
        <x:v>每7个游戏日补充75货载单位。由区域商队或NPC货船带入；为港口转售供货，不改变商品的原产地区。</x:v>
      </x:c>
      <x:c r="L541" s="15" t="str">
        <x:v>港口发展度达到D2（≥250点）；不要求武装度。</x:v>
      </x:c>
    </x:row>
    <x:row r="542" ht="42" customHeight="1">
      <x:c r="A542" s="13" t="str">
        <x:v>P060</x:v>
      </x:c>
      <x:c r="B542" s="13" t="str">
        <x:v>苏拉特</x:v>
      </x:c>
      <x:c r="C542" s="13" t="str">
        <x:v>G046</x:v>
      </x:c>
      <x:c r="D542" s="13" t="str">
        <x:v>丝绸</x:v>
      </x:c>
      <x:c r="E542" s="27" t="n">
        <x:v>3</x:v>
      </x:c>
      <x:c r="F542" s="27" t="n">
        <x:v>620</x:v>
      </x:c>
      <x:c r="G542" s="27" t="n">
        <x:v>71</x:v>
      </x:c>
      <x:c r="H542" s="27" t="n">
        <x:v>213</x:v>
      </x:c>
      <x:c r="I542" s="52" t="n">
        <x:v>0.8</x:v>
      </x:c>
      <x:c r="J542" s="13" t="str">
        <x:v>本港生产/腹地集散/港内加工</x:v>
      </x:c>
      <x:c r="K542" s="13" t="str">
        <x:v>每7个游戏日补充71货载单位。本地、所属岛链或相连腹地供货；成品由港内工坊加工，贸易规模是本作设计。</x:v>
      </x:c>
      <x:c r="L542" s="13" t="str">
        <x:v>港口发展度达到D3（≥450点）；不要求武装度。</x:v>
      </x:c>
    </x:row>
    <x:row r="543" ht="42" customHeight="1">
      <x:c r="A543" s="15" t="str">
        <x:v>P060</x:v>
      </x:c>
      <x:c r="B543" s="15" t="str">
        <x:v>苏拉特</x:v>
      </x:c>
      <x:c r="C543" s="15" t="str">
        <x:v>G078</x:v>
      </x:c>
      <x:c r="D543" s="15" t="str">
        <x:v>宝石原石</x:v>
      </x:c>
      <x:c r="E543" s="30" t="n">
        <x:v>4</x:v>
      </x:c>
      <x:c r="F543" s="30" t="n">
        <x:v>820</x:v>
      </x:c>
      <x:c r="G543" s="30" t="n">
        <x:v>4</x:v>
      </x:c>
      <x:c r="H543" s="30" t="n">
        <x:v>12</x:v>
      </x:c>
      <x:c r="I543" s="54" t="n">
        <x:v>1.14</x:v>
      </x:c>
      <x:c r="J543" s="15" t="str">
        <x:v>进口/区域转口</x:v>
      </x:c>
      <x:c r="K543" s="15" t="str">
        <x:v>每7个游戏日补充4货载单位。由区域商队或NPC货船带入；为港口转售供货，不改变商品的原产地区。</x:v>
      </x:c>
      <x:c r="L543" s="15" t="str">
        <x:v>港口发展度达到D4（≥700点）；不要求武装度。</x:v>
      </x:c>
    </x:row>
    <x:row r="544" ht="42" customHeight="1">
      <x:c r="A544" s="13" t="str">
        <x:v>P060</x:v>
      </x:c>
      <x:c r="B544" s="13" t="str">
        <x:v>苏拉特</x:v>
      </x:c>
      <x:c r="C544" s="13" t="str">
        <x:v>G073</x:v>
      </x:c>
      <x:c r="D544" s="13" t="str">
        <x:v>珠宝</x:v>
      </x:c>
      <x:c r="E544" s="27" t="n">
        <x:v>5</x:v>
      </x:c>
      <x:c r="F544" s="27" t="n">
        <x:v>760</x:v>
      </x:c>
      <x:c r="G544" s="27" t="n">
        <x:v>9</x:v>
      </x:c>
      <x:c r="H544" s="27" t="n">
        <x:v>27</x:v>
      </x:c>
      <x:c r="I544" s="52" t="n">
        <x:v>0.87</x:v>
      </x:c>
      <x:c r="J544" s="13" t="str">
        <x:v>本港生产/腹地集散/港内加工</x:v>
      </x:c>
      <x:c r="K544" s="13" t="str">
        <x:v>每7个游戏日补充9货载单位。本地、所属岛链或相连腹地供货；成品由港内工坊加工，贸易规模是本作设计。</x:v>
      </x:c>
      <x:c r="L544" s="13" t="str">
        <x:v>港口发展度达到D5（≥1000点）；不要求武装度。</x:v>
      </x:c>
    </x:row>
    <x:row r="545" ht="42" customHeight="1">
      <x:c r="A545" s="15" t="str">
        <x:v>P060</x:v>
      </x:c>
      <x:c r="B545" s="15" t="str">
        <x:v>苏拉特</x:v>
      </x:c>
      <x:c r="C545" s="15" t="str">
        <x:v>SP060</x:v>
      </x:c>
      <x:c r="D545" s="15" t="str">
        <x:v>千雨银星印花棉</x:v>
      </x:c>
      <x:c r="E545" s="30" t="n">
        <x:v>3</x:v>
      </x:c>
      <x:c r="F545" s="30" t="n">
        <x:v>780</x:v>
      </x:c>
      <x:c r="G545" s="30" t="n">
        <x:v>11</x:v>
      </x:c>
      <x:c r="H545" s="30" t="n">
        <x:v>22</x:v>
      </x:c>
      <x:c r="I545" s="54" t="n">
        <x:v>0.78</x:v>
      </x:c>
      <x:c r="J545" s="15" t="str">
        <x:v>港口独占原创工坊特产</x:v>
      </x:c>
      <x:c r="K545" s="15" t="str">
        <x:v>每7个游戏日由「千雨印花工坊」交货11货载；只在本港形成稳定产源。</x:v>
      </x:c>
      <x:c r="L545" s="15" t="str">
        <x:v>港口发展度达到D3（≥450点）时，投资项目「千雨印花工坊」自动完工；不要求武装度。</x:v>
      </x:c>
    </x:row>
    <x:row r="546" ht="42" customHeight="1">
      <x:c r="A546" s="13" t="str">
        <x:v>P061</x:v>
      </x:c>
      <x:c r="B546" s="13" t="str">
        <x:v>果阿</x:v>
      </x:c>
      <x:c r="C546" s="13" t="str">
        <x:v>G004</x:v>
      </x:c>
      <x:c r="D546" s="13" t="str">
        <x:v>稻米</x:v>
      </x:c>
      <x:c r="E546" s="27" t="n">
        <x:v>0</x:v>
      </x:c>
      <x:c r="F546" s="27" t="n">
        <x:v>55</x:v>
      </x:c>
      <x:c r="G546" s="27" t="n">
        <x:v>229</x:v>
      </x:c>
      <x:c r="H546" s="27" t="n">
        <x:v>687</x:v>
      </x:c>
      <x:c r="I546" s="52" t="n">
        <x:v>0.74</x:v>
      </x:c>
      <x:c r="J546" s="13" t="str">
        <x:v>本港生产/腹地集散/港内加工</x:v>
      </x:c>
      <x:c r="K546" s="13" t="str">
        <x:v>每7个游戏日补充229货载单位。本地、所属岛链或相连腹地供货；成品由港内工坊加工，贸易规模是本作设计。</x:v>
      </x:c>
      <x:c r="L546" s="13" t="str">
        <x:v>港口发展度达到D0（≥0点）；不要求武装度。</x:v>
      </x:c>
    </x:row>
    <x:row r="547" ht="42" customHeight="1">
      <x:c r="A547" s="15" t="str">
        <x:v>P061</x:v>
      </x:c>
      <x:c r="B547" s="15" t="str">
        <x:v>果阿</x:v>
      </x:c>
      <x:c r="C547" s="15" t="str">
        <x:v>G014</x:v>
      </x:c>
      <x:c r="D547" s="15" t="str">
        <x:v>椰子油</x:v>
      </x:c>
      <x:c r="E547" s="30" t="n">
        <x:v>0</x:v>
      </x:c>
      <x:c r="F547" s="30" t="n">
        <x:v>88</x:v>
      </x:c>
      <x:c r="G547" s="30" t="n">
        <x:v>178</x:v>
      </x:c>
      <x:c r="H547" s="30" t="n">
        <x:v>534</x:v>
      </x:c>
      <x:c r="I547" s="54" t="n">
        <x:v>0.74</x:v>
      </x:c>
      <x:c r="J547" s="15" t="str">
        <x:v>本港生产/腹地集散/港内加工</x:v>
      </x:c>
      <x:c r="K547" s="15" t="str">
        <x:v>每7个游戏日补充178货载单位。本地、所属岛链或相连腹地供货；成品由港内工坊加工，贸易规模是本作设计。</x:v>
      </x:c>
      <x:c r="L547" s="15" t="str">
        <x:v>港口发展度达到D0（≥0点）；不要求武装度。</x:v>
      </x:c>
    </x:row>
    <x:row r="548" ht="42" customHeight="1">
      <x:c r="A548" s="13" t="str">
        <x:v>P061</x:v>
      </x:c>
      <x:c r="B548" s="13" t="str">
        <x:v>果阿</x:v>
      </x:c>
      <x:c r="C548" s="13" t="str">
        <x:v>G015</x:v>
      </x:c>
      <x:c r="D548" s="13" t="str">
        <x:v>咸鱼</x:v>
      </x:c>
      <x:c r="E548" s="27" t="n">
        <x:v>1</x:v>
      </x:c>
      <x:c r="F548" s="27" t="n">
        <x:v>65</x:v>
      </x:c>
      <x:c r="G548" s="27" t="n">
        <x:v>169</x:v>
      </x:c>
      <x:c r="H548" s="27" t="n">
        <x:v>507</x:v>
      </x:c>
      <x:c r="I548" s="52" t="n">
        <x:v>0.74</x:v>
      </x:c>
      <x:c r="J548" s="13" t="str">
        <x:v>本港生产/腹地集散/港内加工</x:v>
      </x:c>
      <x:c r="K548" s="13" t="str">
        <x:v>每7个游戏日补充169货载单位。本地、所属岛链或相连腹地供货；成品由港内工坊加工，贸易规模是本作设计。</x:v>
      </x:c>
      <x:c r="L548" s="13" t="str">
        <x:v>港口发展度达到D1（≥100点）；不要求武装度。</x:v>
      </x:c>
    </x:row>
    <x:row r="549" ht="42" customHeight="1">
      <x:c r="A549" s="15" t="str">
        <x:v>P061</x:v>
      </x:c>
      <x:c r="B549" s="15" t="str">
        <x:v>果阿</x:v>
      </x:c>
      <x:c r="C549" s="15" t="str">
        <x:v>G055</x:v>
      </x:c>
      <x:c r="D549" s="15" t="str">
        <x:v>柚木</x:v>
      </x:c>
      <x:c r="E549" s="30" t="n">
        <x:v>1</x:v>
      </x:c>
      <x:c r="F549" s="30" t="n">
        <x:v>180</x:v>
      </x:c>
      <x:c r="G549" s="30" t="n">
        <x:v>133</x:v>
      </x:c>
      <x:c r="H549" s="30" t="n">
        <x:v>399</x:v>
      </x:c>
      <x:c r="I549" s="54" t="n">
        <x:v>0.74</x:v>
      </x:c>
      <x:c r="J549" s="15" t="str">
        <x:v>本港生产/腹地集散/港内加工</x:v>
      </x:c>
      <x:c r="K549" s="15" t="str">
        <x:v>每7个游戏日补充133货载单位。本地、所属岛链或相连腹地供货；成品由港内工坊加工，贸易规模是本作设计。</x:v>
      </x:c>
      <x:c r="L549" s="15" t="str">
        <x:v>港口发展度达到D1（≥100点）；不要求武装度。</x:v>
      </x:c>
    </x:row>
    <x:row r="550" ht="42" customHeight="1">
      <x:c r="A550" s="13" t="str">
        <x:v>P061</x:v>
      </x:c>
      <x:c r="B550" s="13" t="str">
        <x:v>果阿</x:v>
      </x:c>
      <x:c r="C550" s="13" t="str">
        <x:v>G029</x:v>
      </x:c>
      <x:c r="D550" s="13" t="str">
        <x:v>胡椒</x:v>
      </x:c>
      <x:c r="E550" s="27" t="n">
        <x:v>2</x:v>
      </x:c>
      <x:c r="F550" s="27" t="n">
        <x:v>260</x:v>
      </x:c>
      <x:c r="G550" s="27" t="n">
        <x:v>18</x:v>
      </x:c>
      <x:c r="H550" s="27" t="n">
        <x:v>54</x:v>
      </x:c>
      <x:c r="I550" s="52" t="n">
        <x:v>1.08</x:v>
      </x:c>
      <x:c r="J550" s="13" t="str">
        <x:v>进口/区域转口</x:v>
      </x:c>
      <x:c r="K550" s="13" t="str">
        <x:v>每7个游戏日补充18货载单位。由区域商队或NPC货船带入；为港口转售供货，不改变商品的原产地区。</x:v>
      </x:c>
      <x:c r="L550" s="13" t="str">
        <x:v>港口发展度达到D2（≥250点）；不要求武装度。</x:v>
      </x:c>
    </x:row>
    <x:row r="551" ht="42" customHeight="1">
      <x:c r="A551" s="15" t="str">
        <x:v>P061</x:v>
      </x:c>
      <x:c r="B551" s="15" t="str">
        <x:v>果阿</x:v>
      </x:c>
      <x:c r="C551" s="15" t="str">
        <x:v>G043</x:v>
      </x:c>
      <x:c r="D551" s="15" t="str">
        <x:v>棉布</x:v>
      </x:c>
      <x:c r="E551" s="30" t="n">
        <x:v>3</x:v>
      </x:c>
      <x:c r="F551" s="30" t="n">
        <x:v>160</x:v>
      </x:c>
      <x:c r="G551" s="30" t="n">
        <x:v>33</x:v>
      </x:c>
      <x:c r="H551" s="30" t="n">
        <x:v>99</x:v>
      </x:c>
      <x:c r="I551" s="54" t="n">
        <x:v>1.14</x:v>
      </x:c>
      <x:c r="J551" s="15" t="str">
        <x:v>进口/区域转口</x:v>
      </x:c>
      <x:c r="K551" s="15" t="str">
        <x:v>每7个游戏日补充33货载单位。由区域商队或NPC货船带入；为港口转售供货，不改变商品的原产地区。</x:v>
      </x:c>
      <x:c r="L551" s="15" t="str">
        <x:v>港口发展度达到D3（≥450点）；不要求武装度。</x:v>
      </x:c>
    </x:row>
    <x:row r="552" ht="42" customHeight="1">
      <x:c r="A552" s="13" t="str">
        <x:v>P061</x:v>
      </x:c>
      <x:c r="B552" s="13" t="str">
        <x:v>果阿</x:v>
      </x:c>
      <x:c r="C552" s="13" t="str">
        <x:v>G068</x:v>
      </x:c>
      <x:c r="D552" s="13" t="str">
        <x:v>铁工具</x:v>
      </x:c>
      <x:c r="E552" s="27" t="n">
        <x:v>4</x:v>
      </x:c>
      <x:c r="F552" s="27" t="n">
        <x:v>190</x:v>
      </x:c>
      <x:c r="G552" s="27" t="n">
        <x:v>55</x:v>
      </x:c>
      <x:c r="H552" s="27" t="n">
        <x:v>165</x:v>
      </x:c>
      <x:c r="I552" s="52" t="n">
        <x:v>0.87</x:v>
      </x:c>
      <x:c r="J552" s="13" t="str">
        <x:v>本港生产/腹地集散/港内加工</x:v>
      </x:c>
      <x:c r="K552" s="13" t="str">
        <x:v>每7个游戏日补充55货载单位。本地、所属岛链或相连腹地供货；成品由港内工坊加工，贸易规模是本作设计。</x:v>
      </x:c>
      <x:c r="L552" s="13" t="str">
        <x:v>港口发展度达到D4（≥700点）；不要求武装度。</x:v>
      </x:c>
    </x:row>
    <x:row r="553" ht="42" customHeight="1">
      <x:c r="A553" s="15" t="str">
        <x:v>P061</x:v>
      </x:c>
      <x:c r="B553" s="15" t="str">
        <x:v>果阿</x:v>
      </x:c>
      <x:c r="C553" s="15" t="str">
        <x:v>G073</x:v>
      </x:c>
      <x:c r="D553" s="15" t="str">
        <x:v>珠宝</x:v>
      </x:c>
      <x:c r="E553" s="30" t="n">
        <x:v>5</x:v>
      </x:c>
      <x:c r="F553" s="30" t="n">
        <x:v>760</x:v>
      </x:c>
      <x:c r="G553" s="30" t="n">
        <x:v>8</x:v>
      </x:c>
      <x:c r="H553" s="30" t="n">
        <x:v>24</x:v>
      </x:c>
      <x:c r="I553" s="54" t="n">
        <x:v>0.87</x:v>
      </x:c>
      <x:c r="J553" s="15" t="str">
        <x:v>本港生产/腹地集散/港内加工</x:v>
      </x:c>
      <x:c r="K553" s="15" t="str">
        <x:v>每7个游戏日补充8货载单位。本地、所属岛链或相连腹地供货；成品由港内工坊加工，贸易规模是本作设计。</x:v>
      </x:c>
      <x:c r="L553" s="15" t="str">
        <x:v>港口发展度达到D5（≥1000点）；不要求武装度。</x:v>
      </x:c>
    </x:row>
    <x:row r="554" ht="42" customHeight="1">
      <x:c r="A554" s="13" t="str">
        <x:v>P061</x:v>
      </x:c>
      <x:c r="B554" s="13" t="str">
        <x:v>果阿</x:v>
      </x:c>
      <x:c r="C554" s="13" t="str">
        <x:v>SP061</x:v>
      </x:c>
      <x:c r="D554" s="13" t="str">
        <x:v>金藤嵌木书箱</x:v>
      </x:c>
      <x:c r="E554" s="27" t="n">
        <x:v>3</x:v>
      </x:c>
      <x:c r="F554" s="27" t="n">
        <x:v>990</x:v>
      </x:c>
      <x:c r="G554" s="27" t="n">
        <x:v>10</x:v>
      </x:c>
      <x:c r="H554" s="27" t="n">
        <x:v>20</x:v>
      </x:c>
      <x:c r="I554" s="52" t="n">
        <x:v>0.78</x:v>
      </x:c>
      <x:c r="J554" s="13" t="str">
        <x:v>港口独占原创工坊特产</x:v>
      </x:c>
      <x:c r="K554" s="13" t="str">
        <x:v>每7个游戏日由「金藤合匠工坊」交货10货载；只在本港形成稳定产源。</x:v>
      </x:c>
      <x:c r="L554" s="13" t="str">
        <x:v>港口发展度达到D3（≥450点）时，投资项目「金藤合匠工坊」自动完工；不要求武装度。</x:v>
      </x:c>
    </x:row>
    <x:row r="555" ht="42" customHeight="1">
      <x:c r="A555" s="15" t="str">
        <x:v>P062</x:v>
      </x:c>
      <x:c r="B555" s="15" t="str">
        <x:v>卡利卡特</x:v>
      </x:c>
      <x:c r="C555" s="15" t="str">
        <x:v>G004</x:v>
      </x:c>
      <x:c r="D555" s="15" t="str">
        <x:v>稻米</x:v>
      </x:c>
      <x:c r="E555" s="30" t="n">
        <x:v>0</x:v>
      </x:c>
      <x:c r="F555" s="30" t="n">
        <x:v>55</x:v>
      </x:c>
      <x:c r="G555" s="30" t="n">
        <x:v>232</x:v>
      </x:c>
      <x:c r="H555" s="30" t="n">
        <x:v>696</x:v>
      </x:c>
      <x:c r="I555" s="54" t="n">
        <x:v>0.74</x:v>
      </x:c>
      <x:c r="J555" s="15" t="str">
        <x:v>本港生产/腹地集散/港内加工</x:v>
      </x:c>
      <x:c r="K555" s="15" t="str">
        <x:v>每7个游戏日补充232货载单位。本地、所属岛链或相连腹地供货；成品由港内工坊加工，贸易规模是本作设计。</x:v>
      </x:c>
      <x:c r="L555" s="15" t="str">
        <x:v>港口发展度达到D0（≥0点）；不要求武装度。</x:v>
      </x:c>
    </x:row>
    <x:row r="556" ht="42" customHeight="1">
      <x:c r="A556" s="13" t="str">
        <x:v>P062</x:v>
      </x:c>
      <x:c r="B556" s="13" t="str">
        <x:v>卡利卡特</x:v>
      </x:c>
      <x:c r="C556" s="13" t="str">
        <x:v>G095</x:v>
      </x:c>
      <x:c r="D556" s="13" t="str">
        <x:v>干椰肉</x:v>
      </x:c>
      <x:c r="E556" s="27" t="n">
        <x:v>0</x:v>
      </x:c>
      <x:c r="F556" s="27" t="n">
        <x:v>60</x:v>
      </x:c>
      <x:c r="G556" s="27" t="n">
        <x:v>181</x:v>
      </x:c>
      <x:c r="H556" s="27" t="n">
        <x:v>543</x:v>
      </x:c>
      <x:c r="I556" s="52" t="n">
        <x:v>0.74</x:v>
      </x:c>
      <x:c r="J556" s="13" t="str">
        <x:v>本港生产/腹地集散/港内加工</x:v>
      </x:c>
      <x:c r="K556" s="13" t="str">
        <x:v>每7个游戏日补充181货载单位。本地、所属岛链或相连腹地供货；成品由港内工坊加工，贸易规模是本作设计。</x:v>
      </x:c>
      <x:c r="L556" s="13" t="str">
        <x:v>港口发展度达到D0（≥0点）；不要求武装度。</x:v>
      </x:c>
    </x:row>
    <x:row r="557" ht="42" customHeight="1">
      <x:c r="A557" s="15" t="str">
        <x:v>P062</x:v>
      </x:c>
      <x:c r="B557" s="15" t="str">
        <x:v>卡利卡特</x:v>
      </x:c>
      <x:c r="C557" s="15" t="str">
        <x:v>G014</x:v>
      </x:c>
      <x:c r="D557" s="15" t="str">
        <x:v>椰子油</x:v>
      </x:c>
      <x:c r="E557" s="30" t="n">
        <x:v>1</x:v>
      </x:c>
      <x:c r="F557" s="30" t="n">
        <x:v>88</x:v>
      </x:c>
      <x:c r="G557" s="30" t="n">
        <x:v>172</x:v>
      </x:c>
      <x:c r="H557" s="30" t="n">
        <x:v>516</x:v>
      </x:c>
      <x:c r="I557" s="54" t="n">
        <x:v>0.74</x:v>
      </x:c>
      <x:c r="J557" s="15" t="str">
        <x:v>本港生产/腹地集散/港内加工</x:v>
      </x:c>
      <x:c r="K557" s="15" t="str">
        <x:v>每7个游戏日补充172货载单位。本地、所属岛链或相连腹地供货；成品由港内工坊加工，贸易规模是本作设计。</x:v>
      </x:c>
      <x:c r="L557" s="15" t="str">
        <x:v>港口发展度达到D1（≥100点）；不要求武装度。</x:v>
      </x:c>
    </x:row>
    <x:row r="558" ht="42" customHeight="1">
      <x:c r="A558" s="13" t="str">
        <x:v>P062</x:v>
      </x:c>
      <x:c r="B558" s="13" t="str">
        <x:v>卡利卡特</x:v>
      </x:c>
      <x:c r="C558" s="13" t="str">
        <x:v>G029</x:v>
      </x:c>
      <x:c r="D558" s="13" t="str">
        <x:v>胡椒</x:v>
      </x:c>
      <x:c r="E558" s="27" t="n">
        <x:v>1</x:v>
      </x:c>
      <x:c r="F558" s="27" t="n">
        <x:v>260</x:v>
      </x:c>
      <x:c r="G558" s="27" t="n">
        <x:v>39</x:v>
      </x:c>
      <x:c r="H558" s="27" t="n">
        <x:v>117</x:v>
      </x:c>
      <x:c r="I558" s="52" t="n">
        <x:v>0.74</x:v>
      </x:c>
      <x:c r="J558" s="13" t="str">
        <x:v>本港生产/腹地集散/港内加工</x:v>
      </x:c>
      <x:c r="K558" s="13" t="str">
        <x:v>每7个游戏日补充39货载单位。本地、所属岛链或相连腹地供货；成品由港内工坊加工，贸易规模是本作设计。</x:v>
      </x:c>
      <x:c r="L558" s="13" t="str">
        <x:v>港口发展度达到D1（≥100点）；不要求武装度。</x:v>
      </x:c>
    </x:row>
    <x:row r="559" ht="42" customHeight="1">
      <x:c r="A559" s="15" t="str">
        <x:v>P062</x:v>
      </x:c>
      <x:c r="B559" s="15" t="str">
        <x:v>卡利卡特</x:v>
      </x:c>
      <x:c r="C559" s="15" t="str">
        <x:v>G033</x:v>
      </x:c>
      <x:c r="D559" s="15" t="str">
        <x:v>生姜</x:v>
      </x:c>
      <x:c r="E559" s="30" t="n">
        <x:v>2</x:v>
      </x:c>
      <x:c r="F559" s="30" t="n">
        <x:v>140</x:v>
      </x:c>
      <x:c r="G559" s="30" t="n">
        <x:v>35</x:v>
      </x:c>
      <x:c r="H559" s="30" t="n">
        <x:v>105</x:v>
      </x:c>
      <x:c r="I559" s="54" t="n">
        <x:v>0.8</x:v>
      </x:c>
      <x:c r="J559" s="15" t="str">
        <x:v>本港生产/腹地集散/港内加工</x:v>
      </x:c>
      <x:c r="K559" s="15" t="str">
        <x:v>每7个游戏日补充35货载单位。本地、所属岛链或相连腹地供货；成品由港内工坊加工，贸易规模是本作设计。</x:v>
      </x:c>
      <x:c r="L559" s="15" t="str">
        <x:v>港口发展度达到D2（≥250点）；不要求武装度。</x:v>
      </x:c>
    </x:row>
    <x:row r="560" ht="42" customHeight="1">
      <x:c r="A560" s="13" t="str">
        <x:v>P062</x:v>
      </x:c>
      <x:c r="B560" s="13" t="str">
        <x:v>卡利卡特</x:v>
      </x:c>
      <x:c r="C560" s="13" t="str">
        <x:v>G035</x:v>
      </x:c>
      <x:c r="D560" s="13" t="str">
        <x:v>豆蔻</x:v>
      </x:c>
      <x:c r="E560" s="27" t="n">
        <x:v>3</x:v>
      </x:c>
      <x:c r="F560" s="27" t="n">
        <x:v>340</x:v>
      </x:c>
      <x:c r="G560" s="27" t="n">
        <x:v>30</x:v>
      </x:c>
      <x:c r="H560" s="27" t="n">
        <x:v>90</x:v>
      </x:c>
      <x:c r="I560" s="52" t="n">
        <x:v>0.8</x:v>
      </x:c>
      <x:c r="J560" s="13" t="str">
        <x:v>本港生产/腹地集散/港内加工</x:v>
      </x:c>
      <x:c r="K560" s="13" t="str">
        <x:v>每7个游戏日补充30货载单位。本地、所属岛链或相连腹地供货；成品由港内工坊加工，贸易规模是本作设计。</x:v>
      </x:c>
      <x:c r="L560" s="13" t="str">
        <x:v>港口发展度达到D3（≥450点）；不要求武装度。</x:v>
      </x:c>
    </x:row>
    <x:row r="561" ht="42" customHeight="1">
      <x:c r="A561" s="15" t="str">
        <x:v>P062</x:v>
      </x:c>
      <x:c r="B561" s="15" t="str">
        <x:v>卡利卡特</x:v>
      </x:c>
      <x:c r="C561" s="15" t="str">
        <x:v>G055</x:v>
      </x:c>
      <x:c r="D561" s="15" t="str">
        <x:v>柚木</x:v>
      </x:c>
      <x:c r="E561" s="30" t="n">
        <x:v>4</x:v>
      </x:c>
      <x:c r="F561" s="30" t="n">
        <x:v>180</x:v>
      </x:c>
      <x:c r="G561" s="30" t="n">
        <x:v>88</x:v>
      </x:c>
      <x:c r="H561" s="30" t="n">
        <x:v>264</x:v>
      </x:c>
      <x:c r="I561" s="54" t="n">
        <x:v>0.87</x:v>
      </x:c>
      <x:c r="J561" s="15" t="str">
        <x:v>本港生产/腹地集散/港内加工</x:v>
      </x:c>
      <x:c r="K561" s="15" t="str">
        <x:v>每7个游戏日补充88货载单位。本地、所属岛链或相连腹地供货；成品由港内工坊加工，贸易规模是本作设计。</x:v>
      </x:c>
      <x:c r="L561" s="15" t="str">
        <x:v>港口发展度达到D4（≥700点）；不要求武装度。</x:v>
      </x:c>
    </x:row>
    <x:row r="562" ht="42" customHeight="1">
      <x:c r="A562" s="13" t="str">
        <x:v>P062</x:v>
      </x:c>
      <x:c r="B562" s="13" t="str">
        <x:v>卡利卡特</x:v>
      </x:c>
      <x:c r="C562" s="13" t="str">
        <x:v>G073</x:v>
      </x:c>
      <x:c r="D562" s="13" t="str">
        <x:v>珠宝</x:v>
      </x:c>
      <x:c r="E562" s="27" t="n">
        <x:v>5</x:v>
      </x:c>
      <x:c r="F562" s="27" t="n">
        <x:v>760</x:v>
      </x:c>
      <x:c r="G562" s="27" t="n">
        <x:v>8</x:v>
      </x:c>
      <x:c r="H562" s="27" t="n">
        <x:v>24</x:v>
      </x:c>
      <x:c r="I562" s="52" t="n">
        <x:v>0.87</x:v>
      </x:c>
      <x:c r="J562" s="13" t="str">
        <x:v>本港生产/腹地集散/港内加工</x:v>
      </x:c>
      <x:c r="K562" s="13" t="str">
        <x:v>每7个游戏日补充8货载单位。本地、所属岛链或相连腹地供货；成品由港内工坊加工，贸易规模是本作设计。</x:v>
      </x:c>
      <x:c r="L562" s="13" t="str">
        <x:v>港口发展度达到D5（≥1000点）；不要求武装度。</x:v>
      </x:c>
    </x:row>
    <x:row r="563" ht="42" customHeight="1">
      <x:c r="A563" s="15" t="str">
        <x:v>P062</x:v>
      </x:c>
      <x:c r="B563" s="15" t="str">
        <x:v>卡利卡特</x:v>
      </x:c>
      <x:c r="C563" s="15" t="str">
        <x:v>SP062</x:v>
      </x:c>
      <x:c r="D563" s="15" t="str">
        <x:v>黑日重瓣胡椒</x:v>
      </x:c>
      <x:c r="E563" s="30" t="n">
        <x:v>3</x:v>
      </x:c>
      <x:c r="F563" s="30" t="n">
        <x:v>640</x:v>
      </x:c>
      <x:c r="G563" s="30" t="n">
        <x:v>10</x:v>
      </x:c>
      <x:c r="H563" s="30" t="n">
        <x:v>20</x:v>
      </x:c>
      <x:c r="I563" s="54" t="n">
        <x:v>0.78</x:v>
      </x:c>
      <x:c r="J563" s="15" t="str">
        <x:v>港口独占原创工坊特产</x:v>
      </x:c>
      <x:c r="K563" s="15" t="str">
        <x:v>每7个游戏日由「黑日分晒香料场」交货10货载；只在本港形成稳定产源。</x:v>
      </x:c>
      <x:c r="L563" s="15" t="str">
        <x:v>港口发展度达到D3（≥450点）时，投资项目「黑日分晒香料场」自动完工；不要求武装度。</x:v>
      </x:c>
    </x:row>
    <x:row r="564" ht="42" customHeight="1">
      <x:c r="A564" s="13" t="str">
        <x:v>P063</x:v>
      </x:c>
      <x:c r="B564" s="13" t="str">
        <x:v>柯钦</x:v>
      </x:c>
      <x:c r="C564" s="13" t="str">
        <x:v>G015</x:v>
      </x:c>
      <x:c r="D564" s="13" t="str">
        <x:v>咸鱼</x:v>
      </x:c>
      <x:c r="E564" s="27" t="n">
        <x:v>0</x:v>
      </x:c>
      <x:c r="F564" s="27" t="n">
        <x:v>65</x:v>
      </x:c>
      <x:c r="G564" s="27" t="n">
        <x:v>161</x:v>
      </x:c>
      <x:c r="H564" s="27" t="n">
        <x:v>483</x:v>
      </x:c>
      <x:c r="I564" s="52" t="n">
        <x:v>0.74</x:v>
      </x:c>
      <x:c r="J564" s="13" t="str">
        <x:v>本港生产/腹地集散/港内加工</x:v>
      </x:c>
      <x:c r="K564" s="13" t="str">
        <x:v>每7个游戏日补充161货载单位。本地、所属岛链或相连腹地供货；成品由港内工坊加工，贸易规模是本作设计。</x:v>
      </x:c>
      <x:c r="L564" s="13" t="str">
        <x:v>港口发展度达到D0（≥0点）；不要求武装度。</x:v>
      </x:c>
    </x:row>
    <x:row r="565" ht="42" customHeight="1">
      <x:c r="A565" s="15" t="str">
        <x:v>P063</x:v>
      </x:c>
      <x:c r="B565" s="15" t="str">
        <x:v>柯钦</x:v>
      </x:c>
      <x:c r="C565" s="15" t="str">
        <x:v>G004</x:v>
      </x:c>
      <x:c r="D565" s="15" t="str">
        <x:v>稻米</x:v>
      </x:c>
      <x:c r="E565" s="30" t="n">
        <x:v>0</x:v>
      </x:c>
      <x:c r="F565" s="30" t="n">
        <x:v>55</x:v>
      </x:c>
      <x:c r="G565" s="30" t="n">
        <x:v>207</x:v>
      </x:c>
      <x:c r="H565" s="30" t="n">
        <x:v>621</x:v>
      </x:c>
      <x:c r="I565" s="54" t="n">
        <x:v>0.74</x:v>
      </x:c>
      <x:c r="J565" s="15" t="str">
        <x:v>本港生产/腹地集散/港内加工</x:v>
      </x:c>
      <x:c r="K565" s="15" t="str">
        <x:v>每7个游戏日补充207货载单位。本地、所属岛链或相连腹地供货；成品由港内工坊加工，贸易规模是本作设计。</x:v>
      </x:c>
      <x:c r="L565" s="15" t="str">
        <x:v>港口发展度达到D0（≥0点）；不要求武装度。</x:v>
      </x:c>
    </x:row>
    <x:row r="566" ht="42" customHeight="1">
      <x:c r="A566" s="13" t="str">
        <x:v>P063</x:v>
      </x:c>
      <x:c r="B566" s="13" t="str">
        <x:v>柯钦</x:v>
      </x:c>
      <x:c r="C566" s="13" t="str">
        <x:v>G095</x:v>
      </x:c>
      <x:c r="D566" s="13" t="str">
        <x:v>干椰肉</x:v>
      </x:c>
      <x:c r="E566" s="27" t="n">
        <x:v>1</x:v>
      </x:c>
      <x:c r="F566" s="27" t="n">
        <x:v>60</x:v>
      </x:c>
      <x:c r="G566" s="27" t="n">
        <x:v>153</x:v>
      </x:c>
      <x:c r="H566" s="27" t="n">
        <x:v>459</x:v>
      </x:c>
      <x:c r="I566" s="52" t="n">
        <x:v>0.74</x:v>
      </x:c>
      <x:c r="J566" s="13" t="str">
        <x:v>本港生产/腹地集散/港内加工</x:v>
      </x:c>
      <x:c r="K566" s="13" t="str">
        <x:v>每7个游戏日补充153货载单位。本地、所属岛链或相连腹地供货；成品由港内工坊加工，贸易规模是本作设计。</x:v>
      </x:c>
      <x:c r="L566" s="13" t="str">
        <x:v>港口发展度达到D1（≥100点）；不要求武装度。</x:v>
      </x:c>
    </x:row>
    <x:row r="567" ht="42" customHeight="1">
      <x:c r="A567" s="15" t="str">
        <x:v>P063</x:v>
      </x:c>
      <x:c r="B567" s="15" t="str">
        <x:v>柯钦</x:v>
      </x:c>
      <x:c r="C567" s="15" t="str">
        <x:v>G014</x:v>
      </x:c>
      <x:c r="D567" s="15" t="str">
        <x:v>椰子油</x:v>
      </x:c>
      <x:c r="E567" s="30" t="n">
        <x:v>1</x:v>
      </x:c>
      <x:c r="F567" s="30" t="n">
        <x:v>88</x:v>
      </x:c>
      <x:c r="G567" s="30" t="n">
        <x:v>153</x:v>
      </x:c>
      <x:c r="H567" s="30" t="n">
        <x:v>459</x:v>
      </x:c>
      <x:c r="I567" s="54" t="n">
        <x:v>0.74</x:v>
      </x:c>
      <x:c r="J567" s="15" t="str">
        <x:v>本港生产/腹地集散/港内加工</x:v>
      </x:c>
      <x:c r="K567" s="15" t="str">
        <x:v>每7个游戏日补充153货载单位。本地、所属岛链或相连腹地供货；成品由港内工坊加工，贸易规模是本作设计。</x:v>
      </x:c>
      <x:c r="L567" s="15" t="str">
        <x:v>港口发展度达到D1（≥100点）；不要求武装度。</x:v>
      </x:c>
    </x:row>
    <x:row r="568" ht="42" customHeight="1">
      <x:c r="A568" s="13" t="str">
        <x:v>P063</x:v>
      </x:c>
      <x:c r="B568" s="13" t="str">
        <x:v>柯钦</x:v>
      </x:c>
      <x:c r="C568" s="13" t="str">
        <x:v>G029</x:v>
      </x:c>
      <x:c r="D568" s="13" t="str">
        <x:v>胡椒</x:v>
      </x:c>
      <x:c r="E568" s="27" t="n">
        <x:v>2</x:v>
      </x:c>
      <x:c r="F568" s="27" t="n">
        <x:v>260</x:v>
      </x:c>
      <x:c r="G568" s="27" t="n">
        <x:v>31</x:v>
      </x:c>
      <x:c r="H568" s="27" t="n">
        <x:v>93</x:v>
      </x:c>
      <x:c r="I568" s="52" t="n">
        <x:v>0.8</x:v>
      </x:c>
      <x:c r="J568" s="13" t="str">
        <x:v>本港生产/腹地集散/港内加工</x:v>
      </x:c>
      <x:c r="K568" s="13" t="str">
        <x:v>每7个游戏日补充31货载单位。本地、所属岛链或相连腹地供货；成品由港内工坊加工，贸易规模是本作设计。</x:v>
      </x:c>
      <x:c r="L568" s="13" t="str">
        <x:v>港口发展度达到D2（≥250点）；不要求武装度。</x:v>
      </x:c>
    </x:row>
    <x:row r="569" ht="42" customHeight="1">
      <x:c r="A569" s="15" t="str">
        <x:v>P063</x:v>
      </x:c>
      <x:c r="B569" s="15" t="str">
        <x:v>柯钦</x:v>
      </x:c>
      <x:c r="C569" s="15" t="str">
        <x:v>G033</x:v>
      </x:c>
      <x:c r="D569" s="15" t="str">
        <x:v>生姜</x:v>
      </x:c>
      <x:c r="E569" s="30" t="n">
        <x:v>3</x:v>
      </x:c>
      <x:c r="F569" s="30" t="n">
        <x:v>140</x:v>
      </x:c>
      <x:c r="G569" s="30" t="n">
        <x:v>26</x:v>
      </x:c>
      <x:c r="H569" s="30" t="n">
        <x:v>78</x:v>
      </x:c>
      <x:c r="I569" s="54" t="n">
        <x:v>0.8</x:v>
      </x:c>
      <x:c r="J569" s="15" t="str">
        <x:v>本港生产/腹地集散/港内加工</x:v>
      </x:c>
      <x:c r="K569" s="15" t="str">
        <x:v>每7个游戏日补充26货载单位。本地、所属岛链或相连腹地供货；成品由港内工坊加工，贸易规模是本作设计。</x:v>
      </x:c>
      <x:c r="L569" s="15" t="str">
        <x:v>港口发展度达到D3（≥450点）；不要求武装度。</x:v>
      </x:c>
    </x:row>
    <x:row r="570" ht="42" customHeight="1">
      <x:c r="A570" s="13" t="str">
        <x:v>P063</x:v>
      </x:c>
      <x:c r="B570" s="13" t="str">
        <x:v>柯钦</x:v>
      </x:c>
      <x:c r="C570" s="13" t="str">
        <x:v>G055</x:v>
      </x:c>
      <x:c r="D570" s="13" t="str">
        <x:v>柚木</x:v>
      </x:c>
      <x:c r="E570" s="27" t="n">
        <x:v>4</x:v>
      </x:c>
      <x:c r="F570" s="27" t="n">
        <x:v>180</x:v>
      </x:c>
      <x:c r="G570" s="27" t="n">
        <x:v>78</x:v>
      </x:c>
      <x:c r="H570" s="27" t="n">
        <x:v>234</x:v>
      </x:c>
      <x:c r="I570" s="52" t="n">
        <x:v>0.87</x:v>
      </x:c>
      <x:c r="J570" s="13" t="str">
        <x:v>本港生产/腹地集散/港内加工</x:v>
      </x:c>
      <x:c r="K570" s="13" t="str">
        <x:v>每7个游戏日补充78货载单位。本地、所属岛链或相连腹地供货；成品由港内工坊加工，贸易规模是本作设计。</x:v>
      </x:c>
      <x:c r="L570" s="13" t="str">
        <x:v>港口发展度达到D4（≥700点）；不要求武装度。</x:v>
      </x:c>
    </x:row>
    <x:row r="571" ht="42" customHeight="1">
      <x:c r="A571" s="15" t="str">
        <x:v>P063</x:v>
      </x:c>
      <x:c r="B571" s="15" t="str">
        <x:v>柯钦</x:v>
      </x:c>
      <x:c r="C571" s="15" t="str">
        <x:v>G087</x:v>
      </x:c>
      <x:c r="D571" s="15" t="str">
        <x:v>香水</x:v>
      </x:c>
      <x:c r="E571" s="30" t="n">
        <x:v>5</x:v>
      </x:c>
      <x:c r="F571" s="30" t="n">
        <x:v>570</x:v>
      </x:c>
      <x:c r="G571" s="30" t="n">
        <x:v>11</x:v>
      </x:c>
      <x:c r="H571" s="30" t="n">
        <x:v>33</x:v>
      </x:c>
      <x:c r="I571" s="54" t="n">
        <x:v>0.87</x:v>
      </x:c>
      <x:c r="J571" s="15" t="str">
        <x:v>本港生产/腹地集散/港内加工</x:v>
      </x:c>
      <x:c r="K571" s="15" t="str">
        <x:v>每7个游戏日补充11货载单位。本地、所属岛链或相连腹地供货；成品由港内工坊加工，贸易规模是本作设计。</x:v>
      </x:c>
      <x:c r="L571" s="15" t="str">
        <x:v>港口发展度达到D5（≥1000点）；不要求武装度。</x:v>
      </x:c>
    </x:row>
    <x:row r="572" ht="42" customHeight="1">
      <x:c r="A572" s="13" t="str">
        <x:v>P063</x:v>
      </x:c>
      <x:c r="B572" s="13" t="str">
        <x:v>柯钦</x:v>
      </x:c>
      <x:c r="C572" s="13" t="str">
        <x:v>SP063</x:v>
      </x:c>
      <x:c r="D572" s="13" t="str">
        <x:v>潟湖姜糖帆结</x:v>
      </x:c>
      <x:c r="E572" s="27" t="n">
        <x:v>3</x:v>
      </x:c>
      <x:c r="F572" s="27" t="n">
        <x:v>375</x:v>
      </x:c>
      <x:c r="G572" s="27" t="n">
        <x:v>9</x:v>
      </x:c>
      <x:c r="H572" s="27" t="n">
        <x:v>18</x:v>
      </x:c>
      <x:c r="I572" s="52" t="n">
        <x:v>0.78</x:v>
      </x:c>
      <x:c r="J572" s="13" t="str">
        <x:v>港口独占原创工坊特产</x:v>
      </x:c>
      <x:c r="K572" s="13" t="str">
        <x:v>每7个游戏日由「潟湖姜糖作坊」交货9货载；只在本港形成稳定产源。</x:v>
      </x:c>
      <x:c r="L572" s="13" t="str">
        <x:v>港口发展度达到D3（≥450点）时，投资项目「潟湖姜糖作坊」自动完工；不要求武装度。</x:v>
      </x:c>
    </x:row>
    <x:row r="573" ht="42" customHeight="1">
      <x:c r="A573" s="15" t="str">
        <x:v>P064</x:v>
      </x:c>
      <x:c r="B573" s="15" t="str">
        <x:v>科伦坡</x:v>
      </x:c>
      <x:c r="C573" s="15" t="str">
        <x:v>G004</x:v>
      </x:c>
      <x:c r="D573" s="15" t="str">
        <x:v>稻米</x:v>
      </x:c>
      <x:c r="E573" s="30" t="n">
        <x:v>0</x:v>
      </x:c>
      <x:c r="F573" s="30" t="n">
        <x:v>55</x:v>
      </x:c>
      <x:c r="G573" s="30" t="n">
        <x:v>214</x:v>
      </x:c>
      <x:c r="H573" s="30" t="n">
        <x:v>642</x:v>
      </x:c>
      <x:c r="I573" s="54" t="n">
        <x:v>0.74</x:v>
      </x:c>
      <x:c r="J573" s="15" t="str">
        <x:v>本港生产/腹地集散/港内加工</x:v>
      </x:c>
      <x:c r="K573" s="15" t="str">
        <x:v>每7个游戏日补充214货载单位。本地、所属岛链或相连腹地供货；成品由港内工坊加工，贸易规模是本作设计。</x:v>
      </x:c>
      <x:c r="L573" s="15" t="str">
        <x:v>港口发展度达到D0（≥0点）；不要求武装度。</x:v>
      </x:c>
    </x:row>
    <x:row r="574" ht="42" customHeight="1">
      <x:c r="A574" s="13" t="str">
        <x:v>P064</x:v>
      </x:c>
      <x:c r="B574" s="13" t="str">
        <x:v>科伦坡</x:v>
      </x:c>
      <x:c r="C574" s="13" t="str">
        <x:v>G095</x:v>
      </x:c>
      <x:c r="D574" s="13" t="str">
        <x:v>干椰肉</x:v>
      </x:c>
      <x:c r="E574" s="27" t="n">
        <x:v>0</x:v>
      </x:c>
      <x:c r="F574" s="27" t="n">
        <x:v>60</x:v>
      </x:c>
      <x:c r="G574" s="27" t="n">
        <x:v>167</x:v>
      </x:c>
      <x:c r="H574" s="27" t="n">
        <x:v>501</x:v>
      </x:c>
      <x:c r="I574" s="52" t="n">
        <x:v>0.74</x:v>
      </x:c>
      <x:c r="J574" s="13" t="str">
        <x:v>本港生产/腹地集散/港内加工</x:v>
      </x:c>
      <x:c r="K574" s="13" t="str">
        <x:v>每7个游戏日补充167货载单位。本地、所属岛链或相连腹地供货；成品由港内工坊加工，贸易规模是本作设计。</x:v>
      </x:c>
      <x:c r="L574" s="13" t="str">
        <x:v>港口发展度达到D0（≥0点）；不要求武装度。</x:v>
      </x:c>
    </x:row>
    <x:row r="575" ht="42" customHeight="1">
      <x:c r="A575" s="15" t="str">
        <x:v>P064</x:v>
      </x:c>
      <x:c r="B575" s="15" t="str">
        <x:v>科伦坡</x:v>
      </x:c>
      <x:c r="C575" s="15" t="str">
        <x:v>G015</x:v>
      </x:c>
      <x:c r="D575" s="15" t="str">
        <x:v>咸鱼</x:v>
      </x:c>
      <x:c r="E575" s="30" t="n">
        <x:v>1</x:v>
      </x:c>
      <x:c r="F575" s="30" t="n">
        <x:v>65</x:v>
      </x:c>
      <x:c r="G575" s="30" t="n">
        <x:v>158</x:v>
      </x:c>
      <x:c r="H575" s="30" t="n">
        <x:v>474</x:v>
      </x:c>
      <x:c r="I575" s="54" t="n">
        <x:v>0.74</x:v>
      </x:c>
      <x:c r="J575" s="15" t="str">
        <x:v>本港生产/腹地集散/港内加工</x:v>
      </x:c>
      <x:c r="K575" s="15" t="str">
        <x:v>每7个游戏日补充158货载单位。本地、所属岛链或相连腹地供货；成品由港内工坊加工，贸易规模是本作设计。</x:v>
      </x:c>
      <x:c r="L575" s="15" t="str">
        <x:v>港口发展度达到D1（≥100点）；不要求武装度。</x:v>
      </x:c>
    </x:row>
    <x:row r="576" ht="42" customHeight="1">
      <x:c r="A576" s="13" t="str">
        <x:v>P064</x:v>
      </x:c>
      <x:c r="B576" s="13" t="str">
        <x:v>科伦坡</x:v>
      </x:c>
      <x:c r="C576" s="13" t="str">
        <x:v>G032</x:v>
      </x:c>
      <x:c r="D576" s="13" t="str">
        <x:v>桂皮</x:v>
      </x:c>
      <x:c r="E576" s="27" t="n">
        <x:v>1</x:v>
      </x:c>
      <x:c r="F576" s="27" t="n">
        <x:v>310</x:v>
      </x:c>
      <x:c r="G576" s="27" t="n">
        <x:v>36</x:v>
      </x:c>
      <x:c r="H576" s="27" t="n">
        <x:v>108</x:v>
      </x:c>
      <x:c r="I576" s="52" t="n">
        <x:v>0.74</x:v>
      </x:c>
      <x:c r="J576" s="13" t="str">
        <x:v>本港生产/腹地集散/港内加工</x:v>
      </x:c>
      <x:c r="K576" s="13" t="str">
        <x:v>每7个游戏日补充36货载单位。本地、所属岛链或相连腹地供货；成品由港内工坊加工，贸易规模是本作设计。</x:v>
      </x:c>
      <x:c r="L576" s="13" t="str">
        <x:v>港口发展度达到D1（≥100点）；不要求武装度。</x:v>
      </x:c>
    </x:row>
    <x:row r="577" ht="42" customHeight="1">
      <x:c r="A577" s="15" t="str">
        <x:v>P064</x:v>
      </x:c>
      <x:c r="B577" s="15" t="str">
        <x:v>科伦坡</x:v>
      </x:c>
      <x:c r="C577" s="15" t="str">
        <x:v>G014</x:v>
      </x:c>
      <x:c r="D577" s="15" t="str">
        <x:v>椰子油</x:v>
      </x:c>
      <x:c r="E577" s="30" t="n">
        <x:v>2</x:v>
      </x:c>
      <x:c r="F577" s="30" t="n">
        <x:v>88</x:v>
      </x:c>
      <x:c r="G577" s="30" t="n">
        <x:v>142</x:v>
      </x:c>
      <x:c r="H577" s="30" t="n">
        <x:v>426</x:v>
      </x:c>
      <x:c r="I577" s="54" t="n">
        <x:v>0.8</x:v>
      </x:c>
      <x:c r="J577" s="15" t="str">
        <x:v>本港生产/腹地集散/港内加工</x:v>
      </x:c>
      <x:c r="K577" s="15" t="str">
        <x:v>每7个游戏日补充142货载单位。本地、所属岛链或相连腹地供货；成品由港内工坊加工，贸易规模是本作设计。</x:v>
      </x:c>
      <x:c r="L577" s="15" t="str">
        <x:v>港口发展度达到D2（≥250点）；不要求武装度。</x:v>
      </x:c>
    </x:row>
    <x:row r="578" ht="42" customHeight="1">
      <x:c r="A578" s="13" t="str">
        <x:v>P064</x:v>
      </x:c>
      <x:c r="B578" s="13" t="str">
        <x:v>科伦坡</x:v>
      </x:c>
      <x:c r="C578" s="13" t="str">
        <x:v>G074</x:v>
      </x:c>
      <x:c r="D578" s="13" t="str">
        <x:v>珍珠</x:v>
      </x:c>
      <x:c r="E578" s="27" t="n">
        <x:v>3</x:v>
      </x:c>
      <x:c r="F578" s="27" t="n">
        <x:v>680</x:v>
      </x:c>
      <x:c r="G578" s="27" t="n">
        <x:v>7</x:v>
      </x:c>
      <x:c r="H578" s="27" t="n">
        <x:v>21</x:v>
      </x:c>
      <x:c r="I578" s="52" t="n">
        <x:v>0.8</x:v>
      </x:c>
      <x:c r="J578" s="13" t="str">
        <x:v>本港生产/腹地集散/港内加工</x:v>
      </x:c>
      <x:c r="K578" s="13" t="str">
        <x:v>每7个游戏日补充7货载单位。本地、所属岛链或相连腹地供货；成品由港内工坊加工，贸易规模是本作设计。</x:v>
      </x:c>
      <x:c r="L578" s="13" t="str">
        <x:v>港口发展度达到D3（≥450点）；不要求武装度。</x:v>
      </x:c>
    </x:row>
    <x:row r="579" ht="42" customHeight="1">
      <x:c r="A579" s="15" t="str">
        <x:v>P064</x:v>
      </x:c>
      <x:c r="B579" s="15" t="str">
        <x:v>科伦坡</x:v>
      </x:c>
      <x:c r="C579" s="15" t="str">
        <x:v>G078</x:v>
      </x:c>
      <x:c r="D579" s="15" t="str">
        <x:v>宝石原石</x:v>
      </x:c>
      <x:c r="E579" s="30" t="n">
        <x:v>4</x:v>
      </x:c>
      <x:c r="F579" s="30" t="n">
        <x:v>820</x:v>
      </x:c>
      <x:c r="G579" s="30" t="n">
        <x:v>6</x:v>
      </x:c>
      <x:c r="H579" s="30" t="n">
        <x:v>18</x:v>
      </x:c>
      <x:c r="I579" s="54" t="n">
        <x:v>0.87</x:v>
      </x:c>
      <x:c r="J579" s="15" t="str">
        <x:v>本港生产/腹地集散/港内加工</x:v>
      </x:c>
      <x:c r="K579" s="15" t="str">
        <x:v>每7个游戏日补充6货载单位。本地、所属岛链或相连腹地供货；成品由港内工坊加工，贸易规模是本作设计。</x:v>
      </x:c>
      <x:c r="L579" s="15" t="str">
        <x:v>港口发展度达到D4（≥700点）；不要求武装度。</x:v>
      </x:c>
    </x:row>
    <x:row r="580" ht="42" customHeight="1">
      <x:c r="A580" s="13" t="str">
        <x:v>P064</x:v>
      </x:c>
      <x:c r="B580" s="13" t="str">
        <x:v>科伦坡</x:v>
      </x:c>
      <x:c r="C580" s="13" t="str">
        <x:v>G073</x:v>
      </x:c>
      <x:c r="D580" s="13" t="str">
        <x:v>珠宝</x:v>
      </x:c>
      <x:c r="E580" s="27" t="n">
        <x:v>5</x:v>
      </x:c>
      <x:c r="F580" s="27" t="n">
        <x:v>760</x:v>
      </x:c>
      <x:c r="G580" s="27" t="n">
        <x:v>7</x:v>
      </x:c>
      <x:c r="H580" s="27" t="n">
        <x:v>21</x:v>
      </x:c>
      <x:c r="I580" s="52" t="n">
        <x:v>0.87</x:v>
      </x:c>
      <x:c r="J580" s="13" t="str">
        <x:v>本港生产/腹地集散/港内加工</x:v>
      </x:c>
      <x:c r="K580" s="13" t="str">
        <x:v>每7个游戏日补充7货载单位。本地、所属岛链或相连腹地供货；成品由港内工坊加工，贸易规模是本作设计。</x:v>
      </x:c>
      <x:c r="L580" s="13" t="str">
        <x:v>港口发展度达到D5（≥1000点）；不要求武装度。</x:v>
      </x:c>
    </x:row>
    <x:row r="581" ht="42" customHeight="1">
      <x:c r="A581" s="15" t="str">
        <x:v>P064</x:v>
      </x:c>
      <x:c r="B581" s="15" t="str">
        <x:v>科伦坡</x:v>
      </x:c>
      <x:c r="C581" s="15" t="str">
        <x:v>SP064</x:v>
      </x:c>
      <x:c r="D581" s="15" t="str">
        <x:v>锡兰月卷细桂</x:v>
      </x:c>
      <x:c r="E581" s="30" t="n">
        <x:v>3</x:v>
      </x:c>
      <x:c r="F581" s="30" t="n">
        <x:v>760</x:v>
      </x:c>
      <x:c r="G581" s="30" t="n">
        <x:v>10</x:v>
      </x:c>
      <x:c r="H581" s="30" t="n">
        <x:v>20</x:v>
      </x:c>
      <x:c r="I581" s="54" t="n">
        <x:v>0.78</x:v>
      </x:c>
      <x:c r="J581" s="15" t="str">
        <x:v>港口独占原创工坊特产</x:v>
      </x:c>
      <x:c r="K581" s="15" t="str">
        <x:v>每7个游戏日由「月卷桂皮工坊」交货10货载；只在本港形成稳定产源。</x:v>
      </x:c>
      <x:c r="L581" s="15" t="str">
        <x:v>港口发展度达到D3（≥450点）时，投资项目「月卷桂皮工坊」自动完工；不要求武装度。</x:v>
      </x:c>
    </x:row>
    <x:row r="582" ht="42" customHeight="1">
      <x:c r="A582" s="13" t="str">
        <x:v>P065</x:v>
      </x:c>
      <x:c r="B582" s="13" t="str">
        <x:v>马德拉斯</x:v>
      </x:c>
      <x:c r="C582" s="13" t="str">
        <x:v>G004</x:v>
      </x:c>
      <x:c r="D582" s="13" t="str">
        <x:v>稻米</x:v>
      </x:c>
      <x:c r="E582" s="27" t="n">
        <x:v>0</x:v>
      </x:c>
      <x:c r="F582" s="27" t="n">
        <x:v>55</x:v>
      </x:c>
      <x:c r="G582" s="27" t="n">
        <x:v>207</x:v>
      </x:c>
      <x:c r="H582" s="27" t="n">
        <x:v>621</x:v>
      </x:c>
      <x:c r="I582" s="52" t="n">
        <x:v>0.74</x:v>
      </x:c>
      <x:c r="J582" s="13" t="str">
        <x:v>本港生产/腹地集散/港内加工</x:v>
      </x:c>
      <x:c r="K582" s="13" t="str">
        <x:v>每7个游戏日补充207货载单位。本地、所属岛链或相连腹地供货；成品由港内工坊加工，贸易规模是本作设计。</x:v>
      </x:c>
      <x:c r="L582" s="13" t="str">
        <x:v>港口发展度达到D0（≥0点）；不要求武装度。</x:v>
      </x:c>
    </x:row>
    <x:row r="583" ht="42" customHeight="1">
      <x:c r="A583" s="15" t="str">
        <x:v>P065</x:v>
      </x:c>
      <x:c r="B583" s="15" t="str">
        <x:v>马德拉斯</x:v>
      </x:c>
      <x:c r="C583" s="15" t="str">
        <x:v>G038</x:v>
      </x:c>
      <x:c r="D583" s="15" t="str">
        <x:v>原棉</x:v>
      </x:c>
      <x:c r="E583" s="30" t="n">
        <x:v>0</x:v>
      </x:c>
      <x:c r="F583" s="30" t="n">
        <x:v>95</x:v>
      </x:c>
      <x:c r="G583" s="30" t="n">
        <x:v>138</x:v>
      </x:c>
      <x:c r="H583" s="30" t="n">
        <x:v>414</x:v>
      </x:c>
      <x:c r="I583" s="54" t="n">
        <x:v>0.74</x:v>
      </x:c>
      <x:c r="J583" s="15" t="str">
        <x:v>本港生产/腹地集散/港内加工</x:v>
      </x:c>
      <x:c r="K583" s="15" t="str">
        <x:v>每7个游戏日补充138货载单位。本地、所属岛链或相连腹地供货；成品由港内工坊加工，贸易规模是本作设计。</x:v>
      </x:c>
      <x:c r="L583" s="15" t="str">
        <x:v>港口发展度达到D0（≥0点）；不要求武装度。</x:v>
      </x:c>
    </x:row>
    <x:row r="584" ht="42" customHeight="1">
      <x:c r="A584" s="13" t="str">
        <x:v>P065</x:v>
      </x:c>
      <x:c r="B584" s="13" t="str">
        <x:v>马德拉斯</x:v>
      </x:c>
      <x:c r="C584" s="13" t="str">
        <x:v>G043</x:v>
      </x:c>
      <x:c r="D584" s="13" t="str">
        <x:v>棉布</x:v>
      </x:c>
      <x:c r="E584" s="27" t="n">
        <x:v>1</x:v>
      </x:c>
      <x:c r="F584" s="27" t="n">
        <x:v>160</x:v>
      </x:c>
      <x:c r="G584" s="27" t="n">
        <x:v>76</x:v>
      </x:c>
      <x:c r="H584" s="27" t="n">
        <x:v>228</x:v>
      </x:c>
      <x:c r="I584" s="52" t="n">
        <x:v>0.74</x:v>
      </x:c>
      <x:c r="J584" s="13" t="str">
        <x:v>本港生产/腹地集散/港内加工</x:v>
      </x:c>
      <x:c r="K584" s="13" t="str">
        <x:v>每7个游戏日补充76货载单位。本地、所属岛链或相连腹地供货；成品由港内工坊加工，贸易规模是本作设计。</x:v>
      </x:c>
      <x:c r="L584" s="13" t="str">
        <x:v>港口发展度达到D1（≥100点）；不要求武装度。</x:v>
      </x:c>
    </x:row>
    <x:row r="585" ht="42" customHeight="1">
      <x:c r="A585" s="15" t="str">
        <x:v>P065</x:v>
      </x:c>
      <x:c r="B585" s="15" t="str">
        <x:v>马德拉斯</x:v>
      </x:c>
      <x:c r="C585" s="15" t="str">
        <x:v>G049</x:v>
      </x:c>
      <x:c r="D585" s="15" t="str">
        <x:v>靛蓝</x:v>
      </x:c>
      <x:c r="E585" s="30" t="n">
        <x:v>1</x:v>
      </x:c>
      <x:c r="F585" s="30" t="n">
        <x:v>280</x:v>
      </x:c>
      <x:c r="G585" s="30" t="n">
        <x:v>35</x:v>
      </x:c>
      <x:c r="H585" s="30" t="n">
        <x:v>105</x:v>
      </x:c>
      <x:c r="I585" s="54" t="n">
        <x:v>0.74</x:v>
      </x:c>
      <x:c r="J585" s="15" t="str">
        <x:v>本港生产/腹地集散/港内加工</x:v>
      </x:c>
      <x:c r="K585" s="15" t="str">
        <x:v>每7个游戏日补充35货载单位。本地、所属岛链或相连腹地供货；成品由港内工坊加工，贸易规模是本作设计。</x:v>
      </x:c>
      <x:c r="L585" s="15" t="str">
        <x:v>港口发展度达到D1（≥100点）；不要求武装度。</x:v>
      </x:c>
    </x:row>
    <x:row r="586" ht="42" customHeight="1">
      <x:c r="A586" s="13" t="str">
        <x:v>P065</x:v>
      </x:c>
      <x:c r="B586" s="13" t="str">
        <x:v>马德拉斯</x:v>
      </x:c>
      <x:c r="C586" s="13" t="str">
        <x:v>G033</x:v>
      </x:c>
      <x:c r="D586" s="13" t="str">
        <x:v>生姜</x:v>
      </x:c>
      <x:c r="E586" s="27" t="n">
        <x:v>2</x:v>
      </x:c>
      <x:c r="F586" s="27" t="n">
        <x:v>140</x:v>
      </x:c>
      <x:c r="G586" s="27" t="n">
        <x:v>31</x:v>
      </x:c>
      <x:c r="H586" s="27" t="n">
        <x:v>93</x:v>
      </x:c>
      <x:c r="I586" s="52" t="n">
        <x:v>0.8</x:v>
      </x:c>
      <x:c r="J586" s="13" t="str">
        <x:v>本港生产/腹地集散/港内加工</x:v>
      </x:c>
      <x:c r="K586" s="13" t="str">
        <x:v>每7个游戏日补充31货载单位。本地、所属岛链或相连腹地供货；成品由港内工坊加工，贸易规模是本作设计。</x:v>
      </x:c>
      <x:c r="L586" s="13" t="str">
        <x:v>港口发展度达到D2（≥250点）；不要求武装度。</x:v>
      </x:c>
    </x:row>
    <x:row r="587" ht="42" customHeight="1">
      <x:c r="A587" s="15" t="str">
        <x:v>P065</x:v>
      </x:c>
      <x:c r="B587" s="15" t="str">
        <x:v>马德拉斯</x:v>
      </x:c>
      <x:c r="C587" s="15" t="str">
        <x:v>G066</x:v>
      </x:c>
      <x:c r="D587" s="15" t="str">
        <x:v>硝石</x:v>
      </x:c>
      <x:c r="E587" s="30" t="n">
        <x:v>3</x:v>
      </x:c>
      <x:c r="F587" s="30" t="n">
        <x:v>175</x:v>
      </x:c>
      <x:c r="G587" s="30" t="n">
        <x:v>37</x:v>
      </x:c>
      <x:c r="H587" s="30" t="n">
        <x:v>111</x:v>
      </x:c>
      <x:c r="I587" s="54" t="n">
        <x:v>1.14</x:v>
      </x:c>
      <x:c r="J587" s="15" t="str">
        <x:v>进口/区域转口</x:v>
      </x:c>
      <x:c r="K587" s="15" t="str">
        <x:v>每7个游戏日补充37货载单位。由区域商队或NPC货船带入；为港口转售供货，不改变商品的原产地区。</x:v>
      </x:c>
      <x:c r="L587" s="15" t="str">
        <x:v>港口发展度达到D3（≥450点）；不要求武装度。</x:v>
      </x:c>
    </x:row>
    <x:row r="588" ht="42" customHeight="1">
      <x:c r="A588" s="13" t="str">
        <x:v>P065</x:v>
      </x:c>
      <x:c r="B588" s="13" t="str">
        <x:v>马德拉斯</x:v>
      </x:c>
      <x:c r="C588" s="13" t="str">
        <x:v>G067</x:v>
      </x:c>
      <x:c r="D588" s="13" t="str">
        <x:v>火药</x:v>
      </x:c>
      <x:c r="E588" s="27" t="n">
        <x:v>4</x:v>
      </x:c>
      <x:c r="F588" s="27" t="n">
        <x:v>265</x:v>
      </x:c>
      <x:c r="G588" s="27" t="n">
        <x:v>50</x:v>
      </x:c>
      <x:c r="H588" s="27" t="n">
        <x:v>150</x:v>
      </x:c>
      <x:c r="I588" s="52" t="n">
        <x:v>0.87</x:v>
      </x:c>
      <x:c r="J588" s="13" t="str">
        <x:v>本港生产/腹地集散/港内加工</x:v>
      </x:c>
      <x:c r="K588" s="13" t="str">
        <x:v>每7个游戏日补充50货载单位。本地、所属岛链或相连腹地供货；成品由港内工坊加工，贸易规模是本作设计。</x:v>
      </x:c>
      <x:c r="L588" s="13" t="str">
        <x:v>港口发展度达到D4（≥700点）；不要求武装度。</x:v>
      </x:c>
    </x:row>
    <x:row r="589" ht="42" customHeight="1">
      <x:c r="A589" s="15" t="str">
        <x:v>P065</x:v>
      </x:c>
      <x:c r="B589" s="15" t="str">
        <x:v>马德拉斯</x:v>
      </x:c>
      <x:c r="C589" s="15" t="str">
        <x:v>G098</x:v>
      </x:c>
      <x:c r="D589" s="15" t="str">
        <x:v>书籍</x:v>
      </x:c>
      <x:c r="E589" s="30" t="n">
        <x:v>5</x:v>
      </x:c>
      <x:c r="F589" s="30" t="n">
        <x:v>280</x:v>
      </x:c>
      <x:c r="G589" s="30" t="n">
        <x:v>7</x:v>
      </x:c>
      <x:c r="H589" s="30" t="n">
        <x:v>21</x:v>
      </x:c>
      <x:c r="I589" s="54" t="n">
        <x:v>0.87</x:v>
      </x:c>
      <x:c r="J589" s="15" t="str">
        <x:v>本港生产/腹地集散/港内加工</x:v>
      </x:c>
      <x:c r="K589" s="15" t="str">
        <x:v>每7个游戏日补充7货载单位。本地、所属岛链或相连腹地供货；成品由港内工坊加工，贸易规模是本作设计。</x:v>
      </x:c>
      <x:c r="L589" s="15" t="str">
        <x:v>港口发展度达到D5（≥1000点）；不要求武装度。</x:v>
      </x:c>
    </x:row>
    <x:row r="590" ht="42" customHeight="1">
      <x:c r="A590" s="13" t="str">
        <x:v>P065</x:v>
      </x:c>
      <x:c r="B590" s="13" t="str">
        <x:v>马德拉斯</x:v>
      </x:c>
      <x:c r="C590" s="13" t="str">
        <x:v>SP065</x:v>
      </x:c>
      <x:c r="D590" s="13" t="str">
        <x:v>海鸟白地彩印布</x:v>
      </x:c>
      <x:c r="E590" s="27" t="n">
        <x:v>3</x:v>
      </x:c>
      <x:c r="F590" s="27" t="n">
        <x:v>710</x:v>
      </x:c>
      <x:c r="G590" s="27" t="n">
        <x:v>9</x:v>
      </x:c>
      <x:c r="H590" s="27" t="n">
        <x:v>18</x:v>
      </x:c>
      <x:c r="I590" s="52" t="n">
        <x:v>0.78</x:v>
      </x:c>
      <x:c r="J590" s="13" t="str">
        <x:v>港口独占原创工坊特产</x:v>
      </x:c>
      <x:c r="K590" s="13" t="str">
        <x:v>每7个游戏日由「海鸟手绘印花坊」交货9货载；只在本港形成稳定产源。</x:v>
      </x:c>
      <x:c r="L590" s="13" t="str">
        <x:v>港口发展度达到D3（≥450点）时，投资项目「海鸟手绘印花坊」自动完工；不要求武装度。</x:v>
      </x:c>
    </x:row>
    <x:row r="591" ht="42" customHeight="1">
      <x:c r="A591" s="15" t="str">
        <x:v>P066</x:v>
      </x:c>
      <x:c r="B591" s="15" t="str">
        <x:v>马苏利帕特南</x:v>
      </x:c>
      <x:c r="C591" s="15" t="str">
        <x:v>G004</x:v>
      </x:c>
      <x:c r="D591" s="15" t="str">
        <x:v>稻米</x:v>
      </x:c>
      <x:c r="E591" s="30" t="n">
        <x:v>0</x:v>
      </x:c>
      <x:c r="F591" s="30" t="n">
        <x:v>55</x:v>
      </x:c>
      <x:c r="G591" s="30" t="n">
        <x:v>211</x:v>
      </x:c>
      <x:c r="H591" s="30" t="n">
        <x:v>633</x:v>
      </x:c>
      <x:c r="I591" s="54" t="n">
        <x:v>0.74</x:v>
      </x:c>
      <x:c r="J591" s="15" t="str">
        <x:v>本港生产/腹地集散/港内加工</x:v>
      </x:c>
      <x:c r="K591" s="15" t="str">
        <x:v>每7个游戏日补充211货载单位。本地、所属岛链或相连腹地供货；成品由港内工坊加工，贸易规模是本作设计。</x:v>
      </x:c>
      <x:c r="L591" s="15" t="str">
        <x:v>港口发展度达到D0（≥0点）；不要求武装度。</x:v>
      </x:c>
    </x:row>
    <x:row r="592" ht="42" customHeight="1">
      <x:c r="A592" s="13" t="str">
        <x:v>P066</x:v>
      </x:c>
      <x:c r="B592" s="13" t="str">
        <x:v>马苏利帕特南</x:v>
      </x:c>
      <x:c r="C592" s="13" t="str">
        <x:v>G038</x:v>
      </x:c>
      <x:c r="D592" s="13" t="str">
        <x:v>原棉</x:v>
      </x:c>
      <x:c r="E592" s="27" t="n">
        <x:v>0</x:v>
      </x:c>
      <x:c r="F592" s="27" t="n">
        <x:v>95</x:v>
      </x:c>
      <x:c r="G592" s="27" t="n">
        <x:v>140</x:v>
      </x:c>
      <x:c r="H592" s="27" t="n">
        <x:v>420</x:v>
      </x:c>
      <x:c r="I592" s="52" t="n">
        <x:v>0.74</x:v>
      </x:c>
      <x:c r="J592" s="13" t="str">
        <x:v>本港生产/腹地集散/港内加工</x:v>
      </x:c>
      <x:c r="K592" s="13" t="str">
        <x:v>每7个游戏日补充140货载单位。本地、所属岛链或相连腹地供货；成品由港内工坊加工，贸易规模是本作设计。</x:v>
      </x:c>
      <x:c r="L592" s="13" t="str">
        <x:v>港口发展度达到D0（≥0点）；不要求武装度。</x:v>
      </x:c>
    </x:row>
    <x:row r="593" ht="42" customHeight="1">
      <x:c r="A593" s="15" t="str">
        <x:v>P066</x:v>
      </x:c>
      <x:c r="B593" s="15" t="str">
        <x:v>马苏利帕特南</x:v>
      </x:c>
      <x:c r="C593" s="15" t="str">
        <x:v>G043</x:v>
      </x:c>
      <x:c r="D593" s="15" t="str">
        <x:v>棉布</x:v>
      </x:c>
      <x:c r="E593" s="30" t="n">
        <x:v>1</x:v>
      </x:c>
      <x:c r="F593" s="30" t="n">
        <x:v>160</x:v>
      </x:c>
      <x:c r="G593" s="30" t="n">
        <x:v>78</x:v>
      </x:c>
      <x:c r="H593" s="30" t="n">
        <x:v>234</x:v>
      </x:c>
      <x:c r="I593" s="54" t="n">
        <x:v>0.74</x:v>
      </x:c>
      <x:c r="J593" s="15" t="str">
        <x:v>本港生产/腹地集散/港内加工</x:v>
      </x:c>
      <x:c r="K593" s="15" t="str">
        <x:v>每7个游戏日补充78货载单位。本地、所属岛链或相连腹地供货；成品由港内工坊加工，贸易规模是本作设计。</x:v>
      </x:c>
      <x:c r="L593" s="15" t="str">
        <x:v>港口发展度达到D1（≥100点）；不要求武装度。</x:v>
      </x:c>
    </x:row>
    <x:row r="594" ht="42" customHeight="1">
      <x:c r="A594" s="13" t="str">
        <x:v>P066</x:v>
      </x:c>
      <x:c r="B594" s="13" t="str">
        <x:v>马苏利帕特南</x:v>
      </x:c>
      <x:c r="C594" s="13" t="str">
        <x:v>G049</x:v>
      </x:c>
      <x:c r="D594" s="13" t="str">
        <x:v>靛蓝</x:v>
      </x:c>
      <x:c r="E594" s="27" t="n">
        <x:v>1</x:v>
      </x:c>
      <x:c r="F594" s="27" t="n">
        <x:v>280</x:v>
      </x:c>
      <x:c r="G594" s="27" t="n">
        <x:v>36</x:v>
      </x:c>
      <x:c r="H594" s="27" t="n">
        <x:v>108</x:v>
      </x:c>
      <x:c r="I594" s="52" t="n">
        <x:v>0.74</x:v>
      </x:c>
      <x:c r="J594" s="13" t="str">
        <x:v>本港生产/腹地集散/港内加工</x:v>
      </x:c>
      <x:c r="K594" s="13" t="str">
        <x:v>每7个游戏日补充36货载单位。本地、所属岛链或相连腹地供货；成品由港内工坊加工，贸易规模是本作设计。</x:v>
      </x:c>
      <x:c r="L594" s="13" t="str">
        <x:v>港口发展度达到D1（≥100点）；不要求武装度。</x:v>
      </x:c>
    </x:row>
    <x:row r="595" ht="42" customHeight="1">
      <x:c r="A595" s="15" t="str">
        <x:v>P066</x:v>
      </x:c>
      <x:c r="B595" s="15" t="str">
        <x:v>马苏利帕特南</x:v>
      </x:c>
      <x:c r="C595" s="15" t="str">
        <x:v>G037</x:v>
      </x:c>
      <x:c r="D595" s="15" t="str">
        <x:v>辣椒</x:v>
      </x:c>
      <x:c r="E595" s="30" t="n">
        <x:v>2</x:v>
      </x:c>
      <x:c r="F595" s="30" t="n">
        <x:v>125</x:v>
      </x:c>
      <x:c r="G595" s="30" t="n">
        <x:v>32</x:v>
      </x:c>
      <x:c r="H595" s="30" t="n">
        <x:v>96</x:v>
      </x:c>
      <x:c r="I595" s="54" t="n">
        <x:v>0.8</x:v>
      </x:c>
      <x:c r="J595" s="15" t="str">
        <x:v>本港生产/腹地集散/港内加工</x:v>
      </x:c>
      <x:c r="K595" s="15" t="str">
        <x:v>每7个游戏日补充32货载单位。本地、所属岛链或相连腹地供货；成品由港内工坊加工，贸易规模是本作设计。</x:v>
      </x:c>
      <x:c r="L595" s="15" t="str">
        <x:v>港口发展度达到D2（≥250点）；不要求武装度。</x:v>
      </x:c>
    </x:row>
    <x:row r="596" ht="42" customHeight="1">
      <x:c r="A596" s="13" t="str">
        <x:v>P066</x:v>
      </x:c>
      <x:c r="B596" s="13" t="str">
        <x:v>马苏利帕特南</x:v>
      </x:c>
      <x:c r="C596" s="13" t="str">
        <x:v>G066</x:v>
      </x:c>
      <x:c r="D596" s="13" t="str">
        <x:v>硝石</x:v>
      </x:c>
      <x:c r="E596" s="27" t="n">
        <x:v>3</x:v>
      </x:c>
      <x:c r="F596" s="27" t="n">
        <x:v>175</x:v>
      </x:c>
      <x:c r="G596" s="27" t="n">
        <x:v>37</x:v>
      </x:c>
      <x:c r="H596" s="27" t="n">
        <x:v>111</x:v>
      </x:c>
      <x:c r="I596" s="52" t="n">
        <x:v>1.14</x:v>
      </x:c>
      <x:c r="J596" s="13" t="str">
        <x:v>进口/区域转口</x:v>
      </x:c>
      <x:c r="K596" s="13" t="str">
        <x:v>每7个游戏日补充37货载单位。由区域商队或NPC货船带入；为港口转售供货，不改变商品的原产地区。</x:v>
      </x:c>
      <x:c r="L596" s="13" t="str">
        <x:v>港口发展度达到D3（≥450点）；不要求武装度。</x:v>
      </x:c>
    </x:row>
    <x:row r="597" ht="42" customHeight="1">
      <x:c r="A597" s="15" t="str">
        <x:v>P066</x:v>
      </x:c>
      <x:c r="B597" s="15" t="str">
        <x:v>马苏利帕特南</x:v>
      </x:c>
      <x:c r="C597" s="15" t="str">
        <x:v>G046</x:v>
      </x:c>
      <x:c r="D597" s="15" t="str">
        <x:v>丝绸</x:v>
      </x:c>
      <x:c r="E597" s="30" t="n">
        <x:v>4</x:v>
      </x:c>
      <x:c r="F597" s="30" t="n">
        <x:v>620</x:v>
      </x:c>
      <x:c r="G597" s="30" t="n">
        <x:v>51</x:v>
      </x:c>
      <x:c r="H597" s="30" t="n">
        <x:v>153</x:v>
      </x:c>
      <x:c r="I597" s="54" t="n">
        <x:v>0.87</x:v>
      </x:c>
      <x:c r="J597" s="15" t="str">
        <x:v>本港生产/腹地集散/港内加工</x:v>
      </x:c>
      <x:c r="K597" s="15" t="str">
        <x:v>每7个游戏日补充51货载单位。本地、所属岛链或相连腹地供货；成品由港内工坊加工，贸易规模是本作设计。</x:v>
      </x:c>
      <x:c r="L597" s="15" t="str">
        <x:v>港口发展度达到D4（≥700点）；不要求武装度。</x:v>
      </x:c>
    </x:row>
    <x:row r="598" ht="42" customHeight="1">
      <x:c r="A598" s="13" t="str">
        <x:v>P066</x:v>
      </x:c>
      <x:c r="B598" s="13" t="str">
        <x:v>马苏利帕特南</x:v>
      </x:c>
      <x:c r="C598" s="13" t="str">
        <x:v>G073</x:v>
      </x:c>
      <x:c r="D598" s="13" t="str">
        <x:v>珠宝</x:v>
      </x:c>
      <x:c r="E598" s="27" t="n">
        <x:v>5</x:v>
      </x:c>
      <x:c r="F598" s="27" t="n">
        <x:v>760</x:v>
      </x:c>
      <x:c r="G598" s="27" t="n">
        <x:v>7</x:v>
      </x:c>
      <x:c r="H598" s="27" t="n">
        <x:v>21</x:v>
      </x:c>
      <x:c r="I598" s="52" t="n">
        <x:v>0.87</x:v>
      </x:c>
      <x:c r="J598" s="13" t="str">
        <x:v>本港生产/腹地集散/港内加工</x:v>
      </x:c>
      <x:c r="K598" s="13" t="str">
        <x:v>每7个游戏日补充7货载单位。本地、所属岛链或相连腹地供货；成品由港内工坊加工，贸易规模是本作设计。</x:v>
      </x:c>
      <x:c r="L598" s="13" t="str">
        <x:v>港口发展度达到D5（≥1000点）；不要求武装度。</x:v>
      </x:c>
    </x:row>
    <x:row r="599" ht="42" customHeight="1">
      <x:c r="A599" s="15" t="str">
        <x:v>P066</x:v>
      </x:c>
      <x:c r="B599" s="15" t="str">
        <x:v>马苏利帕特南</x:v>
      </x:c>
      <x:c r="C599" s="15" t="str">
        <x:v>SP066</x:v>
      </x:c>
      <x:c r="D599" s="15" t="str">
        <x:v>孔雀海图卡拉姆布</x:v>
      </x:c>
      <x:c r="E599" s="30" t="n">
        <x:v>3</x:v>
      </x:c>
      <x:c r="F599" s="30" t="n">
        <x:v>920</x:v>
      </x:c>
      <x:c r="G599" s="30" t="n">
        <x:v>9</x:v>
      </x:c>
      <x:c r="H599" s="30" t="n">
        <x:v>18</x:v>
      </x:c>
      <x:c r="I599" s="54" t="n">
        <x:v>0.78</x:v>
      </x:c>
      <x:c r="J599" s="15" t="str">
        <x:v>港口独占原创工坊特产</x:v>
      </x:c>
      <x:c r="K599" s="15" t="str">
        <x:v>每7个游戏日由「孔雀手绘棉布总坊」交货9货载；只在本港形成稳定产源。</x:v>
      </x:c>
      <x:c r="L599" s="15" t="str">
        <x:v>港口发展度达到D3（≥450点）时，投资项目「孔雀手绘棉布总坊」自动完工；不要求武装度。</x:v>
      </x:c>
    </x:row>
    <x:row r="600" ht="42" customHeight="1">
      <x:c r="A600" s="13" t="str">
        <x:v>P067</x:v>
      </x:c>
      <x:c r="B600" s="13" t="str">
        <x:v>胡格利</x:v>
      </x:c>
      <x:c r="C600" s="13" t="str">
        <x:v>G004</x:v>
      </x:c>
      <x:c r="D600" s="13" t="str">
        <x:v>稻米</x:v>
      </x:c>
      <x:c r="E600" s="27" t="n">
        <x:v>0</x:v>
      </x:c>
      <x:c r="F600" s="27" t="n">
        <x:v>55</x:v>
      </x:c>
      <x:c r="G600" s="27" t="n">
        <x:v>243</x:v>
      </x:c>
      <x:c r="H600" s="27" t="n">
        <x:v>729</x:v>
      </x:c>
      <x:c r="I600" s="52" t="n">
        <x:v>0.74</x:v>
      </x:c>
      <x:c r="J600" s="13" t="str">
        <x:v>本港生产/腹地集散/港内加工</x:v>
      </x:c>
      <x:c r="K600" s="13" t="str">
        <x:v>每7个游戏日补充243货载单位。本地、所属岛链或相连腹地供货；成品由港内工坊加工，贸易规模是本作设计。</x:v>
      </x:c>
      <x:c r="L600" s="13" t="str">
        <x:v>港口发展度达到D0（≥0点）；不要求武装度。</x:v>
      </x:c>
    </x:row>
    <x:row r="601" ht="42" customHeight="1">
      <x:c r="A601" s="15" t="str">
        <x:v>P067</x:v>
      </x:c>
      <x:c r="B601" s="15" t="str">
        <x:v>胡格利</x:v>
      </x:c>
      <x:c r="C601" s="15" t="str">
        <x:v>G038</x:v>
      </x:c>
      <x:c r="D601" s="15" t="str">
        <x:v>原棉</x:v>
      </x:c>
      <x:c r="E601" s="30" t="n">
        <x:v>0</x:v>
      </x:c>
      <x:c r="F601" s="30" t="n">
        <x:v>95</x:v>
      </x:c>
      <x:c r="G601" s="30" t="n">
        <x:v>162</x:v>
      </x:c>
      <x:c r="H601" s="30" t="n">
        <x:v>486</x:v>
      </x:c>
      <x:c r="I601" s="54" t="n">
        <x:v>0.74</x:v>
      </x:c>
      <x:c r="J601" s="15" t="str">
        <x:v>本港生产/腹地集散/港内加工</x:v>
      </x:c>
      <x:c r="K601" s="15" t="str">
        <x:v>每7个游戏日补充162货载单位。本地、所属岛链或相连腹地供货；成品由港内工坊加工，贸易规模是本作设计。</x:v>
      </x:c>
      <x:c r="L601" s="15" t="str">
        <x:v>港口发展度达到D0（≥0点）；不要求武装度。</x:v>
      </x:c>
    </x:row>
    <x:row r="602" ht="42" customHeight="1">
      <x:c r="A602" s="13" t="str">
        <x:v>P067</x:v>
      </x:c>
      <x:c r="B602" s="13" t="str">
        <x:v>胡格利</x:v>
      </x:c>
      <x:c r="C602" s="13" t="str">
        <x:v>G011</x:v>
      </x:c>
      <x:c r="D602" s="13" t="str">
        <x:v>砂糖</x:v>
      </x:c>
      <x:c r="E602" s="27" t="n">
        <x:v>1</x:v>
      </x:c>
      <x:c r="F602" s="27" t="n">
        <x:v>140</x:v>
      </x:c>
      <x:c r="G602" s="27" t="n">
        <x:v>180</x:v>
      </x:c>
      <x:c r="H602" s="27" t="n">
        <x:v>540</x:v>
      </x:c>
      <x:c r="I602" s="52" t="n">
        <x:v>0.74</x:v>
      </x:c>
      <x:c r="J602" s="13" t="str">
        <x:v>本港生产/腹地集散/港内加工</x:v>
      </x:c>
      <x:c r="K602" s="13" t="str">
        <x:v>每7个游戏日补充180货载单位。本地、所属岛链或相连腹地供货；成品由港内工坊加工，贸易规模是本作设计。</x:v>
      </x:c>
      <x:c r="L602" s="13" t="str">
        <x:v>港口发展度达到D1（≥100点）；不要求武装度。</x:v>
      </x:c>
    </x:row>
    <x:row r="603" ht="42" customHeight="1">
      <x:c r="A603" s="15" t="str">
        <x:v>P067</x:v>
      </x:c>
      <x:c r="B603" s="15" t="str">
        <x:v>胡格利</x:v>
      </x:c>
      <x:c r="C603" s="15" t="str">
        <x:v>G043</x:v>
      </x:c>
      <x:c r="D603" s="15" t="str">
        <x:v>棉布</x:v>
      </x:c>
      <x:c r="E603" s="30" t="n">
        <x:v>1</x:v>
      </x:c>
      <x:c r="F603" s="30" t="n">
        <x:v>160</x:v>
      </x:c>
      <x:c r="G603" s="30" t="n">
        <x:v>90</x:v>
      </x:c>
      <x:c r="H603" s="30" t="n">
        <x:v>270</x:v>
      </x:c>
      <x:c r="I603" s="54" t="n">
        <x:v>0.74</x:v>
      </x:c>
      <x:c r="J603" s="15" t="str">
        <x:v>本港生产/腹地集散/港内加工</x:v>
      </x:c>
      <x:c r="K603" s="15" t="str">
        <x:v>每7个游戏日补充90货载单位。本地、所属岛链或相连腹地供货；成品由港内工坊加工，贸易规模是本作设计。</x:v>
      </x:c>
      <x:c r="L603" s="15" t="str">
        <x:v>港口发展度达到D1（≥100点）；不要求武装度。</x:v>
      </x:c>
    </x:row>
    <x:row r="604" ht="42" customHeight="1">
      <x:c r="A604" s="13" t="str">
        <x:v>P067</x:v>
      </x:c>
      <x:c r="B604" s="13" t="str">
        <x:v>胡格利</x:v>
      </x:c>
      <x:c r="C604" s="13" t="str">
        <x:v>G042</x:v>
      </x:c>
      <x:c r="D604" s="13" t="str">
        <x:v>生丝</x:v>
      </x:c>
      <x:c r="E604" s="27" t="n">
        <x:v>2</x:v>
      </x:c>
      <x:c r="F604" s="27" t="n">
        <x:v>390</x:v>
      </x:c>
      <x:c r="G604" s="27" t="n">
        <x:v>138</x:v>
      </x:c>
      <x:c r="H604" s="27" t="n">
        <x:v>414</x:v>
      </x:c>
      <x:c r="I604" s="52" t="n">
        <x:v>0.8</x:v>
      </x:c>
      <x:c r="J604" s="13" t="str">
        <x:v>本港生产/腹地集散/港内加工</x:v>
      </x:c>
      <x:c r="K604" s="13" t="str">
        <x:v>每7个游戏日补充138货载单位。本地、所属岛链或相连腹地供货；成品由港内工坊加工，贸易规模是本作设计。</x:v>
      </x:c>
      <x:c r="L604" s="13" t="str">
        <x:v>港口发展度达到D2（≥250点）；不要求武装度。</x:v>
      </x:c>
    </x:row>
    <x:row r="605" ht="42" customHeight="1">
      <x:c r="A605" s="15" t="str">
        <x:v>P067</x:v>
      </x:c>
      <x:c r="B605" s="15" t="str">
        <x:v>胡格利</x:v>
      </x:c>
      <x:c r="C605" s="15" t="str">
        <x:v>G066</x:v>
      </x:c>
      <x:c r="D605" s="15" t="str">
        <x:v>硝石</x:v>
      </x:c>
      <x:c r="E605" s="30" t="n">
        <x:v>3</x:v>
      </x:c>
      <x:c r="F605" s="30" t="n">
        <x:v>175</x:v>
      </x:c>
      <x:c r="G605" s="30" t="n">
        <x:v>83</x:v>
      </x:c>
      <x:c r="H605" s="30" t="n">
        <x:v>249</x:v>
      </x:c>
      <x:c r="I605" s="54" t="n">
        <x:v>0.8</x:v>
      </x:c>
      <x:c r="J605" s="15" t="str">
        <x:v>本港生产/腹地集散/港内加工</x:v>
      </x:c>
      <x:c r="K605" s="15" t="str">
        <x:v>每7个游戏日补充83货载单位。本地、所属岛链或相连腹地供货；成品由港内工坊加工，贸易规模是本作设计。</x:v>
      </x:c>
      <x:c r="L605" s="15" t="str">
        <x:v>港口发展度达到D3（≥450点）；不要求武装度。</x:v>
      </x:c>
    </x:row>
    <x:row r="606" ht="42" customHeight="1">
      <x:c r="A606" s="13" t="str">
        <x:v>P067</x:v>
      </x:c>
      <x:c r="B606" s="13" t="str">
        <x:v>胡格利</x:v>
      </x:c>
      <x:c r="C606" s="13" t="str">
        <x:v>G046</x:v>
      </x:c>
      <x:c r="D606" s="13" t="str">
        <x:v>丝绸</x:v>
      </x:c>
      <x:c r="E606" s="27" t="n">
        <x:v>4</x:v>
      </x:c>
      <x:c r="F606" s="27" t="n">
        <x:v>620</x:v>
      </x:c>
      <x:c r="G606" s="27" t="n">
        <x:v>59</x:v>
      </x:c>
      <x:c r="H606" s="27" t="n">
        <x:v>177</x:v>
      </x:c>
      <x:c r="I606" s="52" t="n">
        <x:v>0.87</x:v>
      </x:c>
      <x:c r="J606" s="13" t="str">
        <x:v>本港生产/腹地集散/港内加工</x:v>
      </x:c>
      <x:c r="K606" s="13" t="str">
        <x:v>每7个游戏日补充59货载单位。本地、所属岛链或相连腹地供货；成品由港内工坊加工，贸易规模是本作设计。</x:v>
      </x:c>
      <x:c r="L606" s="13" t="str">
        <x:v>港口发展度达到D4（≥700点）；不要求武装度。</x:v>
      </x:c>
    </x:row>
    <x:row r="607" ht="42" customHeight="1">
      <x:c r="A607" s="15" t="str">
        <x:v>P067</x:v>
      </x:c>
      <x:c r="B607" s="15" t="str">
        <x:v>胡格利</x:v>
      </x:c>
      <x:c r="C607" s="15" t="str">
        <x:v>G047</x:v>
      </x:c>
      <x:c r="D607" s="15" t="str">
        <x:v>锦缎</x:v>
      </x:c>
      <x:c r="E607" s="30" t="n">
        <x:v>5</x:v>
      </x:c>
      <x:c r="F607" s="30" t="n">
        <x:v>850</x:v>
      </x:c>
      <x:c r="G607" s="30" t="n">
        <x:v>49</x:v>
      </x:c>
      <x:c r="H607" s="30" t="n">
        <x:v>147</x:v>
      </x:c>
      <x:c r="I607" s="54" t="n">
        <x:v>0.87</x:v>
      </x:c>
      <x:c r="J607" s="15" t="str">
        <x:v>本港生产/腹地集散/港内加工</x:v>
      </x:c>
      <x:c r="K607" s="15" t="str">
        <x:v>每7个游戏日补充49货载单位。本地、所属岛链或相连腹地供货；成品由港内工坊加工，贸易规模是本作设计。</x:v>
      </x:c>
      <x:c r="L607" s="15" t="str">
        <x:v>港口发展度达到D5（≥1000点）；不要求武装度。</x:v>
      </x:c>
    </x:row>
    <x:row r="608" ht="42" customHeight="1">
      <x:c r="A608" s="13" t="str">
        <x:v>P067</x:v>
      </x:c>
      <x:c r="B608" s="13" t="str">
        <x:v>胡格利</x:v>
      </x:c>
      <x:c r="C608" s="13" t="str">
        <x:v>SP067</x:v>
      </x:c>
      <x:c r="D608" s="13" t="str">
        <x:v>晨雾七层细纱</x:v>
      </x:c>
      <x:c r="E608" s="27" t="n">
        <x:v>4</x:v>
      </x:c>
      <x:c r="F608" s="27" t="n">
        <x:v>1160</x:v>
      </x:c>
      <x:c r="G608" s="27" t="n">
        <x:v>8</x:v>
      </x:c>
      <x:c r="H608" s="27" t="n">
        <x:v>16</x:v>
      </x:c>
      <x:c r="I608" s="52" t="n">
        <x:v>0.78</x:v>
      </x:c>
      <x:c r="J608" s="13" t="str">
        <x:v>港口独占原创工坊特产</x:v>
      </x:c>
      <x:c r="K608" s="13" t="str">
        <x:v>每7个游戏日由「晨雾细纱行会」交货8货载；只在本港形成稳定产源。</x:v>
      </x:c>
      <x:c r="L608" s="13" t="str">
        <x:v>港口发展度达到D4（≥700点）时，投资项目「晨雾细纱行会」自动完工；不要求武装度。</x:v>
      </x:c>
    </x:row>
    <x:row r="609" ht="42" customHeight="1">
      <x:c r="A609" s="15" t="str">
        <x:v>P068</x:v>
      </x:c>
      <x:c r="B609" s="15" t="str">
        <x:v>吉大港</x:v>
      </x:c>
      <x:c r="C609" s="15" t="str">
        <x:v>G004</x:v>
      </x:c>
      <x:c r="D609" s="15" t="str">
        <x:v>稻米</x:v>
      </x:c>
      <x:c r="E609" s="30" t="n">
        <x:v>0</x:v>
      </x:c>
      <x:c r="F609" s="30" t="n">
        <x:v>55</x:v>
      </x:c>
      <x:c r="G609" s="30" t="n">
        <x:v>189</x:v>
      </x:c>
      <x:c r="H609" s="30" t="n">
        <x:v>567</x:v>
      </x:c>
      <x:c r="I609" s="54" t="n">
        <x:v>0.74</x:v>
      </x:c>
      <x:c r="J609" s="15" t="str">
        <x:v>本港生产/腹地集散/港内加工</x:v>
      </x:c>
      <x:c r="K609" s="15" t="str">
        <x:v>每7个游戏日补充189货载单位。本地、所属岛链或相连腹地供货；成品由港内工坊加工，贸易规模是本作设计。</x:v>
      </x:c>
      <x:c r="L609" s="15" t="str">
        <x:v>港口发展度达到D0（≥0点）；不要求武装度。</x:v>
      </x:c>
    </x:row>
    <x:row r="610" ht="42" customHeight="1">
      <x:c r="A610" s="13" t="str">
        <x:v>P068</x:v>
      </x:c>
      <x:c r="B610" s="13" t="str">
        <x:v>吉大港</x:v>
      </x:c>
      <x:c r="C610" s="13" t="str">
        <x:v>G015</x:v>
      </x:c>
      <x:c r="D610" s="13" t="str">
        <x:v>咸鱼</x:v>
      </x:c>
      <x:c r="E610" s="27" t="n">
        <x:v>0</x:v>
      </x:c>
      <x:c r="F610" s="27" t="n">
        <x:v>65</x:v>
      </x:c>
      <x:c r="G610" s="27" t="n">
        <x:v>147</x:v>
      </x:c>
      <x:c r="H610" s="27" t="n">
        <x:v>441</x:v>
      </x:c>
      <x:c r="I610" s="52" t="n">
        <x:v>0.74</x:v>
      </x:c>
      <x:c r="J610" s="13" t="str">
        <x:v>本港生产/腹地集散/港内加工</x:v>
      </x:c>
      <x:c r="K610" s="13" t="str">
        <x:v>每7个游戏日补充147货载单位。本地、所属岛链或相连腹地供货；成品由港内工坊加工，贸易规模是本作设计。</x:v>
      </x:c>
      <x:c r="L610" s="13" t="str">
        <x:v>港口发展度达到D0（≥0点）；不要求武装度。</x:v>
      </x:c>
    </x:row>
    <x:row r="611" ht="42" customHeight="1">
      <x:c r="A611" s="15" t="str">
        <x:v>P068</x:v>
      </x:c>
      <x:c r="B611" s="15" t="str">
        <x:v>吉大港</x:v>
      </x:c>
      <x:c r="C611" s="15" t="str">
        <x:v>G055</x:v>
      </x:c>
      <x:c r="D611" s="15" t="str">
        <x:v>柚木</x:v>
      </x:c>
      <x:c r="E611" s="30" t="n">
        <x:v>1</x:v>
      </x:c>
      <x:c r="F611" s="30" t="n">
        <x:v>180</x:v>
      </x:c>
      <x:c r="G611" s="30" t="n">
        <x:v>110</x:v>
      </x:c>
      <x:c r="H611" s="30" t="n">
        <x:v>330</x:v>
      </x:c>
      <x:c r="I611" s="54" t="n">
        <x:v>0.74</x:v>
      </x:c>
      <x:c r="J611" s="15" t="str">
        <x:v>本港生产/腹地集散/港内加工</x:v>
      </x:c>
      <x:c r="K611" s="15" t="str">
        <x:v>每7个游戏日补充110货载单位。本地、所属岛链或相连腹地供货；成品由港内工坊加工，贸易规模是本作设计。</x:v>
      </x:c>
      <x:c r="L611" s="15" t="str">
        <x:v>港口发展度达到D1（≥100点）；不要求武装度。</x:v>
      </x:c>
    </x:row>
    <x:row r="612" ht="42" customHeight="1">
      <x:c r="A612" s="13" t="str">
        <x:v>P068</x:v>
      </x:c>
      <x:c r="B612" s="13" t="str">
        <x:v>吉大港</x:v>
      </x:c>
      <x:c r="C612" s="13" t="str">
        <x:v>G038</x:v>
      </x:c>
      <x:c r="D612" s="13" t="str">
        <x:v>原棉</x:v>
      </x:c>
      <x:c r="E612" s="27" t="n">
        <x:v>1</x:v>
      </x:c>
      <x:c r="F612" s="27" t="n">
        <x:v>95</x:v>
      </x:c>
      <x:c r="G612" s="27" t="n">
        <x:v>120</x:v>
      </x:c>
      <x:c r="H612" s="27" t="n">
        <x:v>360</x:v>
      </x:c>
      <x:c r="I612" s="52" t="n">
        <x:v>0.74</x:v>
      </x:c>
      <x:c r="J612" s="13" t="str">
        <x:v>本港生产/腹地集散/港内加工</x:v>
      </x:c>
      <x:c r="K612" s="13" t="str">
        <x:v>每7个游戏日补充120货载单位。本地、所属岛链或相连腹地供货；成品由港内工坊加工，贸易规模是本作设计。</x:v>
      </x:c>
      <x:c r="L612" s="13" t="str">
        <x:v>港口发展度达到D1（≥100点）；不要求武装度。</x:v>
      </x:c>
    </x:row>
    <x:row r="613" ht="42" customHeight="1">
      <x:c r="A613" s="15" t="str">
        <x:v>P068</x:v>
      </x:c>
      <x:c r="B613" s="15" t="str">
        <x:v>吉大港</x:v>
      </x:c>
      <x:c r="C613" s="15" t="str">
        <x:v>G043</x:v>
      </x:c>
      <x:c r="D613" s="15" t="str">
        <x:v>棉布</x:v>
      </x:c>
      <x:c r="E613" s="30" t="n">
        <x:v>2</x:v>
      </x:c>
      <x:c r="F613" s="30" t="n">
        <x:v>160</x:v>
      </x:c>
      <x:c r="G613" s="30" t="n">
        <x:v>62</x:v>
      </x:c>
      <x:c r="H613" s="30" t="n">
        <x:v>186</x:v>
      </x:c>
      <x:c r="I613" s="54" t="n">
        <x:v>0.8</x:v>
      </x:c>
      <x:c r="J613" s="15" t="str">
        <x:v>本港生产/腹地集散/港内加工</x:v>
      </x:c>
      <x:c r="K613" s="15" t="str">
        <x:v>每7个游戏日补充62货载单位。本地、所属岛链或相连腹地供货；成品由港内工坊加工，贸易规模是本作设计。</x:v>
      </x:c>
      <x:c r="L613" s="15" t="str">
        <x:v>港口发展度达到D2（≥250点）；不要求武装度。</x:v>
      </x:c>
    </x:row>
    <x:row r="614" ht="42" customHeight="1">
      <x:c r="A614" s="13" t="str">
        <x:v>P068</x:v>
      </x:c>
      <x:c r="B614" s="13" t="str">
        <x:v>吉大港</x:v>
      </x:c>
      <x:c r="C614" s="13" t="str">
        <x:v>G107</x:v>
      </x:c>
      <x:c r="D614" s="13" t="str">
        <x:v>藤材</x:v>
      </x:c>
      <x:c r="E614" s="27" t="n">
        <x:v>3</x:v>
      </x:c>
      <x:c r="F614" s="27" t="n">
        <x:v>75</x:v>
      </x:c>
      <x:c r="G614" s="27" t="n">
        <x:v>83</x:v>
      </x:c>
      <x:c r="H614" s="27" t="n">
        <x:v>249</x:v>
      </x:c>
      <x:c r="I614" s="52" t="n">
        <x:v>0.8</x:v>
      </x:c>
      <x:c r="J614" s="13" t="str">
        <x:v>本港生产/腹地集散/港内加工</x:v>
      </x:c>
      <x:c r="K614" s="13" t="str">
        <x:v>每7个游戏日补充83货载单位。本地、所属岛链或相连腹地供货；成品由港内工坊加工，贸易规模是本作设计。</x:v>
      </x:c>
      <x:c r="L614" s="13" t="str">
        <x:v>港口发展度达到D3（≥450点）；不要求武装度。</x:v>
      </x:c>
    </x:row>
    <x:row r="615" ht="42" customHeight="1">
      <x:c r="A615" s="15" t="str">
        <x:v>P068</x:v>
      </x:c>
      <x:c r="B615" s="15" t="str">
        <x:v>吉大港</x:v>
      </x:c>
      <x:c r="C615" s="15" t="str">
        <x:v>G101</x:v>
      </x:c>
      <x:c r="D615" s="15" t="str">
        <x:v>药草</x:v>
      </x:c>
      <x:c r="E615" s="30" t="n">
        <x:v>4</x:v>
      </x:c>
      <x:c r="F615" s="30" t="n">
        <x:v>130</x:v>
      </x:c>
      <x:c r="G615" s="30" t="n">
        <x:v>21</x:v>
      </x:c>
      <x:c r="H615" s="30" t="n">
        <x:v>63</x:v>
      </x:c>
      <x:c r="I615" s="54" t="n">
        <x:v>0.87</x:v>
      </x:c>
      <x:c r="J615" s="15" t="str">
        <x:v>本港生产/腹地集散/港内加工</x:v>
      </x:c>
      <x:c r="K615" s="15" t="str">
        <x:v>每7个游戏日补充21货载单位。本地、所属岛链或相连腹地供货；成品由港内工坊加工，贸易规模是本作设计。</x:v>
      </x:c>
      <x:c r="L615" s="15" t="str">
        <x:v>港口发展度达到D4（≥700点）；不要求武装度。</x:v>
      </x:c>
    </x:row>
    <x:row r="616" ht="42" customHeight="1">
      <x:c r="A616" s="13" t="str">
        <x:v>P068</x:v>
      </x:c>
      <x:c r="B616" s="13" t="str">
        <x:v>吉大港</x:v>
      </x:c>
      <x:c r="C616" s="13" t="str">
        <x:v>G073</x:v>
      </x:c>
      <x:c r="D616" s="13" t="str">
        <x:v>珠宝</x:v>
      </x:c>
      <x:c r="E616" s="27" t="n">
        <x:v>5</x:v>
      </x:c>
      <x:c r="F616" s="27" t="n">
        <x:v>760</x:v>
      </x:c>
      <x:c r="G616" s="27" t="n">
        <x:v>3</x:v>
      </x:c>
      <x:c r="H616" s="27" t="n">
        <x:v>9</x:v>
      </x:c>
      <x:c r="I616" s="52" t="n">
        <x:v>1.14</x:v>
      </x:c>
      <x:c r="J616" s="13" t="str">
        <x:v>进口/区域转口</x:v>
      </x:c>
      <x:c r="K616" s="13" t="str">
        <x:v>每7个游戏日补充3货载单位。由区域商队或NPC货船带入；为港口转售供货，不改变商品的原产地区。</x:v>
      </x:c>
      <x:c r="L616" s="13" t="str">
        <x:v>港口发展度达到D5（≥1000点）；不要求武装度。</x:v>
      </x:c>
    </x:row>
    <x:row r="617" ht="42" customHeight="1">
      <x:c r="A617" s="15" t="str">
        <x:v>P068</x:v>
      </x:c>
      <x:c r="B617" s="15" t="str">
        <x:v>吉大港</x:v>
      </x:c>
      <x:c r="C617" s="15" t="str">
        <x:v>SP068</x:v>
      </x:c>
      <x:c r="D617" s="15" t="str">
        <x:v>青湾柚木拼浪箱</x:v>
      </x:c>
      <x:c r="E617" s="30" t="n">
        <x:v>3</x:v>
      </x:c>
      <x:c r="F617" s="30" t="n">
        <x:v>670</x:v>
      </x:c>
      <x:c r="G617" s="30" t="n">
        <x:v>9</x:v>
      </x:c>
      <x:c r="H617" s="30" t="n">
        <x:v>18</x:v>
      </x:c>
      <x:c r="I617" s="54" t="n">
        <x:v>0.78</x:v>
      </x:c>
      <x:c r="J617" s="15" t="str">
        <x:v>港口独占原创工坊特产</x:v>
      </x:c>
      <x:c r="K617" s="15" t="str">
        <x:v>每7个游戏日由「青湾箱匠工坊」交货9货载；只在本港形成稳定产源。</x:v>
      </x:c>
      <x:c r="L617" s="15" t="str">
        <x:v>港口发展度达到D3（≥450点）时，投资项目「青湾箱匠工坊」自动完工；不要求武装度。</x:v>
      </x:c>
    </x:row>
    <x:row r="618" ht="42" customHeight="1">
      <x:c r="A618" s="13" t="str">
        <x:v>P069</x:v>
      </x:c>
      <x:c r="B618" s="13" t="str">
        <x:v>马六甲</x:v>
      </x:c>
      <x:c r="C618" s="13" t="str">
        <x:v>G004</x:v>
      </x:c>
      <x:c r="D618" s="13" t="str">
        <x:v>稻米</x:v>
      </x:c>
      <x:c r="E618" s="27" t="n">
        <x:v>0</x:v>
      </x:c>
      <x:c r="F618" s="27" t="n">
        <x:v>55</x:v>
      </x:c>
      <x:c r="G618" s="27" t="n">
        <x:v>134</x:v>
      </x:c>
      <x:c r="H618" s="27" t="n">
        <x:v>402</x:v>
      </x:c>
      <x:c r="I618" s="52" t="n">
        <x:v>1.08</x:v>
      </x:c>
      <x:c r="J618" s="13" t="str">
        <x:v>进口/区域转口</x:v>
      </x:c>
      <x:c r="K618" s="13" t="str">
        <x:v>每7个游戏日补充134货载单位。由区域商队或NPC货船带入；为港口转售供货，不改变商品的原产地区。</x:v>
      </x:c>
      <x:c r="L618" s="13" t="str">
        <x:v>港口发展度达到D0（≥0点）；不要求武装度。</x:v>
      </x:c>
    </x:row>
    <x:row r="619" ht="42" customHeight="1">
      <x:c r="A619" s="15" t="str">
        <x:v>P069</x:v>
      </x:c>
      <x:c r="B619" s="15" t="str">
        <x:v>马六甲</x:v>
      </x:c>
      <x:c r="C619" s="15" t="str">
        <x:v>G015</x:v>
      </x:c>
      <x:c r="D619" s="15" t="str">
        <x:v>咸鱼</x:v>
      </x:c>
      <x:c r="E619" s="30" t="n">
        <x:v>0</x:v>
      </x:c>
      <x:c r="F619" s="30" t="n">
        <x:v>65</x:v>
      </x:c>
      <x:c r="G619" s="30" t="n">
        <x:v>200</x:v>
      </x:c>
      <x:c r="H619" s="30" t="n">
        <x:v>600</x:v>
      </x:c>
      <x:c r="I619" s="54" t="n">
        <x:v>0.74</x:v>
      </x:c>
      <x:c r="J619" s="15" t="str">
        <x:v>本港生产/腹地集散/港内加工</x:v>
      </x:c>
      <x:c r="K619" s="15" t="str">
        <x:v>每7个游戏日补充200货载单位。本地、所属岛链或相连腹地供货；成品由港内工坊加工，贸易规模是本作设计。</x:v>
      </x:c>
      <x:c r="L619" s="15" t="str">
        <x:v>港口发展度达到D0（≥0点）；不要求武装度。</x:v>
      </x:c>
    </x:row>
    <x:row r="620" ht="42" customHeight="1">
      <x:c r="A620" s="13" t="str">
        <x:v>P069</x:v>
      </x:c>
      <x:c r="B620" s="13" t="str">
        <x:v>马六甲</x:v>
      </x:c>
      <x:c r="C620" s="13" t="str">
        <x:v>G060</x:v>
      </x:c>
      <x:c r="D620" s="13" t="str">
        <x:v>锡锭</x:v>
      </x:c>
      <x:c r="E620" s="27" t="n">
        <x:v>1</x:v>
      </x:c>
      <x:c r="F620" s="27" t="n">
        <x:v>220</x:v>
      </x:c>
      <x:c r="G620" s="27" t="n">
        <x:v>28</x:v>
      </x:c>
      <x:c r="H620" s="27" t="n">
        <x:v>84</x:v>
      </x:c>
      <x:c r="I620" s="52" t="n">
        <x:v>1.08</x:v>
      </x:c>
      <x:c r="J620" s="13" t="str">
        <x:v>进口/区域转口</x:v>
      </x:c>
      <x:c r="K620" s="13" t="str">
        <x:v>每7个游戏日补充28货载单位。由区域商队或NPC货船带入；为港口转售供货，不改变商品的原产地区。</x:v>
      </x:c>
      <x:c r="L620" s="13" t="str">
        <x:v>港口发展度达到D1（≥100点）；不要求武装度。</x:v>
      </x:c>
    </x:row>
    <x:row r="621" ht="42" customHeight="1">
      <x:c r="A621" s="15" t="str">
        <x:v>P069</x:v>
      </x:c>
      <x:c r="B621" s="15" t="str">
        <x:v>马六甲</x:v>
      </x:c>
      <x:c r="C621" s="15" t="str">
        <x:v>G029</x:v>
      </x:c>
      <x:c r="D621" s="15" t="str">
        <x:v>胡椒</x:v>
      </x:c>
      <x:c r="E621" s="30" t="n">
        <x:v>1</x:v>
      </x:c>
      <x:c r="F621" s="30" t="n">
        <x:v>260</x:v>
      </x:c>
      <x:c r="G621" s="30" t="n">
        <x:v>23</x:v>
      </x:c>
      <x:c r="H621" s="30" t="n">
        <x:v>69</x:v>
      </x:c>
      <x:c r="I621" s="54" t="n">
        <x:v>1.08</x:v>
      </x:c>
      <x:c r="J621" s="15" t="str">
        <x:v>进口/区域转口</x:v>
      </x:c>
      <x:c r="K621" s="15" t="str">
        <x:v>每7个游戏日补充23货载单位。由区域商队或NPC货船带入；为港口转售供货，不改变商品的原产地区。</x:v>
      </x:c>
      <x:c r="L621" s="15" t="str">
        <x:v>港口发展度达到D1（≥100点）；不要求武装度。</x:v>
      </x:c>
    </x:row>
    <x:row r="622" ht="42" customHeight="1">
      <x:c r="A622" s="13" t="str">
        <x:v>P069</x:v>
      </x:c>
      <x:c r="B622" s="13" t="str">
        <x:v>马六甲</x:v>
      </x:c>
      <x:c r="C622" s="13" t="str">
        <x:v>G043</x:v>
      </x:c>
      <x:c r="D622" s="13" t="str">
        <x:v>棉布</x:v>
      </x:c>
      <x:c r="E622" s="27" t="n">
        <x:v>2</x:v>
      </x:c>
      <x:c r="F622" s="27" t="n">
        <x:v>160</x:v>
      </x:c>
      <x:c r="G622" s="27" t="n">
        <x:v>44</x:v>
      </x:c>
      <x:c r="H622" s="27" t="n">
        <x:v>132</x:v>
      </x:c>
      <x:c r="I622" s="52" t="n">
        <x:v>1.08</x:v>
      </x:c>
      <x:c r="J622" s="13" t="str">
        <x:v>进口/区域转口</x:v>
      </x:c>
      <x:c r="K622" s="13" t="str">
        <x:v>每7个游戏日补充44货载单位。由区域商队或NPC货船带入；为港口转售供货，不改变商品的原产地区。</x:v>
      </x:c>
      <x:c r="L622" s="13" t="str">
        <x:v>港口发展度达到D2（≥250点）；不要求武装度。</x:v>
      </x:c>
    </x:row>
    <x:row r="623" ht="42" customHeight="1">
      <x:c r="A623" s="15" t="str">
        <x:v>P069</x:v>
      </x:c>
      <x:c r="B623" s="15" t="str">
        <x:v>马六甲</x:v>
      </x:c>
      <x:c r="C623" s="15" t="str">
        <x:v>G070</x:v>
      </x:c>
      <x:c r="D623" s="15" t="str">
        <x:v>瓷器</x:v>
      </x:c>
      <x:c r="E623" s="30" t="n">
        <x:v>3</x:v>
      </x:c>
      <x:c r="F623" s="30" t="n">
        <x:v>370</x:v>
      </x:c>
      <x:c r="G623" s="30" t="n">
        <x:v>16</x:v>
      </x:c>
      <x:c r="H623" s="30" t="n">
        <x:v>48</x:v>
      </x:c>
      <x:c r="I623" s="54" t="n">
        <x:v>1.14</x:v>
      </x:c>
      <x:c r="J623" s="15" t="str">
        <x:v>进口/区域转口</x:v>
      </x:c>
      <x:c r="K623" s="15" t="str">
        <x:v>每7个游戏日补充16货载单位。由区域商队或NPC货船带入；为港口转售供货，不改变商品的原产地区。</x:v>
      </x:c>
      <x:c r="L623" s="15" t="str">
        <x:v>港口发展度达到D3（≥450点）；不要求武装度。</x:v>
      </x:c>
    </x:row>
    <x:row r="624" ht="42" customHeight="1">
      <x:c r="A624" s="13" t="str">
        <x:v>P069</x:v>
      </x:c>
      <x:c r="B624" s="13" t="str">
        <x:v>马六甲</x:v>
      </x:c>
      <x:c r="C624" s="13" t="str">
        <x:v>G030</x:v>
      </x:c>
      <x:c r="D624" s="13" t="str">
        <x:v>丁香</x:v>
      </x:c>
      <x:c r="E624" s="27" t="n">
        <x:v>4</x:v>
      </x:c>
      <x:c r="F624" s="27" t="n">
        <x:v>520</x:v>
      </x:c>
      <x:c r="G624" s="27" t="n">
        <x:v>15</x:v>
      </x:c>
      <x:c r="H624" s="27" t="n">
        <x:v>45</x:v>
      </x:c>
      <x:c r="I624" s="52" t="n">
        <x:v>1.14</x:v>
      </x:c>
      <x:c r="J624" s="13" t="str">
        <x:v>进口/区域转口</x:v>
      </x:c>
      <x:c r="K624" s="13" t="str">
        <x:v>每7个游戏日补充15货载单位。由区域商队或NPC货船带入；为港口转售供货，不改变商品的原产地区。</x:v>
      </x:c>
      <x:c r="L624" s="13" t="str">
        <x:v>港口发展度达到D4（≥700点）；不要求武装度。</x:v>
      </x:c>
    </x:row>
    <x:row r="625" ht="42" customHeight="1">
      <x:c r="A625" s="15" t="str">
        <x:v>P069</x:v>
      </x:c>
      <x:c r="B625" s="15" t="str">
        <x:v>马六甲</x:v>
      </x:c>
      <x:c r="C625" s="15" t="str">
        <x:v>G072</x:v>
      </x:c>
      <x:c r="D625" s="15" t="str">
        <x:v>漆器</x:v>
      </x:c>
      <x:c r="E625" s="30" t="n">
        <x:v>5</x:v>
      </x:c>
      <x:c r="F625" s="30" t="n">
        <x:v>480</x:v>
      </x:c>
      <x:c r="G625" s="30" t="n">
        <x:v>22</x:v>
      </x:c>
      <x:c r="H625" s="30" t="n">
        <x:v>66</x:v>
      </x:c>
      <x:c r="I625" s="54" t="n">
        <x:v>0.87</x:v>
      </x:c>
      <x:c r="J625" s="15" t="str">
        <x:v>本港生产/腹地集散/港内加工</x:v>
      </x:c>
      <x:c r="K625" s="15" t="str">
        <x:v>每7个游戏日补充22货载单位。本地、所属岛链或相连腹地供货；成品由港内工坊加工，贸易规模是本作设计。</x:v>
      </x:c>
      <x:c r="L625" s="15" t="str">
        <x:v>港口发展度达到D5（≥1000点）；不要求武装度。</x:v>
      </x:c>
    </x:row>
    <x:row r="626" ht="42" customHeight="1">
      <x:c r="A626" s="13" t="str">
        <x:v>P069</x:v>
      </x:c>
      <x:c r="B626" s="13" t="str">
        <x:v>马六甲</x:v>
      </x:c>
      <x:c r="C626" s="13" t="str">
        <x:v>SP069</x:v>
      </x:c>
      <x:c r="D626" s="13" t="str">
        <x:v>三海嵌珠商匣</x:v>
      </x:c>
      <x:c r="E626" s="27" t="n">
        <x:v>4</x:v>
      </x:c>
      <x:c r="F626" s="27" t="n">
        <x:v>1090</x:v>
      </x:c>
      <x:c r="G626" s="27" t="n">
        <x:v>8</x:v>
      </x:c>
      <x:c r="H626" s="27" t="n">
        <x:v>16</x:v>
      </x:c>
      <x:c r="I626" s="52" t="n">
        <x:v>0.78</x:v>
      </x:c>
      <x:c r="J626" s="13" t="str">
        <x:v>港口独占原创工坊特产</x:v>
      </x:c>
      <x:c r="K626" s="13" t="str">
        <x:v>每7个游戏日由「三海合匠工坊」交货8货载；只在本港形成稳定产源。</x:v>
      </x:c>
      <x:c r="L626" s="13" t="str">
        <x:v>港口发展度达到D4（≥700点）时，投资项目「三海合匠工坊」自动完工；不要求武装度。</x:v>
      </x:c>
    </x:row>
    <x:row r="627" ht="42" customHeight="1">
      <x:c r="A627" s="15" t="str">
        <x:v>P070</x:v>
      </x:c>
      <x:c r="B627" s="15" t="str">
        <x:v>亚齐</x:v>
      </x:c>
      <x:c r="C627" s="15" t="str">
        <x:v>G004</x:v>
      </x:c>
      <x:c r="D627" s="15" t="str">
        <x:v>稻米</x:v>
      </x:c>
      <x:c r="E627" s="30" t="n">
        <x:v>0</x:v>
      </x:c>
      <x:c r="F627" s="30" t="n">
        <x:v>55</x:v>
      </x:c>
      <x:c r="G627" s="30" t="n">
        <x:v>207</x:v>
      </x:c>
      <x:c r="H627" s="30" t="n">
        <x:v>621</x:v>
      </x:c>
      <x:c r="I627" s="54" t="n">
        <x:v>0.74</x:v>
      </x:c>
      <x:c r="J627" s="15" t="str">
        <x:v>本港生产/腹地集散/港内加工</x:v>
      </x:c>
      <x:c r="K627" s="15" t="str">
        <x:v>每7个游戏日补充207货载单位。本地、所属岛链或相连腹地供货；成品由港内工坊加工，贸易规模是本作设计。</x:v>
      </x:c>
      <x:c r="L627" s="15" t="str">
        <x:v>港口发展度达到D0（≥0点）；不要求武装度。</x:v>
      </x:c>
    </x:row>
    <x:row r="628" ht="42" customHeight="1">
      <x:c r="A628" s="13" t="str">
        <x:v>P070</x:v>
      </x:c>
      <x:c r="B628" s="13" t="str">
        <x:v>亚齐</x:v>
      </x:c>
      <x:c r="C628" s="13" t="str">
        <x:v>G095</x:v>
      </x:c>
      <x:c r="D628" s="13" t="str">
        <x:v>干椰肉</x:v>
      </x:c>
      <x:c r="E628" s="27" t="n">
        <x:v>0</x:v>
      </x:c>
      <x:c r="F628" s="27" t="n">
        <x:v>60</x:v>
      </x:c>
      <x:c r="G628" s="27" t="n">
        <x:v>161</x:v>
      </x:c>
      <x:c r="H628" s="27" t="n">
        <x:v>483</x:v>
      </x:c>
      <x:c r="I628" s="52" t="n">
        <x:v>0.74</x:v>
      </x:c>
      <x:c r="J628" s="13" t="str">
        <x:v>本港生产/腹地集散/港内加工</x:v>
      </x:c>
      <x:c r="K628" s="13" t="str">
        <x:v>每7个游戏日补充161货载单位。本地、所属岛链或相连腹地供货；成品由港内工坊加工，贸易规模是本作设计。</x:v>
      </x:c>
      <x:c r="L628" s="13" t="str">
        <x:v>港口发展度达到D0（≥0点）；不要求武装度。</x:v>
      </x:c>
    </x:row>
    <x:row r="629" ht="42" customHeight="1">
      <x:c r="A629" s="15" t="str">
        <x:v>P070</x:v>
      </x:c>
      <x:c r="B629" s="15" t="str">
        <x:v>亚齐</x:v>
      </x:c>
      <x:c r="C629" s="15" t="str">
        <x:v>G029</x:v>
      </x:c>
      <x:c r="D629" s="15" t="str">
        <x:v>胡椒</x:v>
      </x:c>
      <x:c r="E629" s="30" t="n">
        <x:v>1</x:v>
      </x:c>
      <x:c r="F629" s="30" t="n">
        <x:v>260</x:v>
      </x:c>
      <x:c r="G629" s="30" t="n">
        <x:v>35</x:v>
      </x:c>
      <x:c r="H629" s="30" t="n">
        <x:v>105</x:v>
      </x:c>
      <x:c r="I629" s="54" t="n">
        <x:v>0.74</x:v>
      </x:c>
      <x:c r="J629" s="15" t="str">
        <x:v>本港生产/腹地集散/港内加工</x:v>
      </x:c>
      <x:c r="K629" s="15" t="str">
        <x:v>每7个游戏日补充35货载单位。本地、所属岛链或相连腹地供货；成品由港内工坊加工，贸易规模是本作设计。</x:v>
      </x:c>
      <x:c r="L629" s="15" t="str">
        <x:v>港口发展度达到D1（≥100点）；不要求武装度。</x:v>
      </x:c>
    </x:row>
    <x:row r="630" ht="42" customHeight="1">
      <x:c r="A630" s="13" t="str">
        <x:v>P070</x:v>
      </x:c>
      <x:c r="B630" s="13" t="str">
        <x:v>亚齐</x:v>
      </x:c>
      <x:c r="C630" s="13" t="str">
        <x:v>G110</x:v>
      </x:c>
      <x:c r="D630" s="13" t="str">
        <x:v>硬木</x:v>
      </x:c>
      <x:c r="E630" s="27" t="n">
        <x:v>1</x:v>
      </x:c>
      <x:c r="F630" s="27" t="n">
        <x:v>135</x:v>
      </x:c>
      <x:c r="G630" s="27" t="n">
        <x:v>120</x:v>
      </x:c>
      <x:c r="H630" s="27" t="n">
        <x:v>360</x:v>
      </x:c>
      <x:c r="I630" s="52" t="n">
        <x:v>0.74</x:v>
      </x:c>
      <x:c r="J630" s="13" t="str">
        <x:v>本港生产/腹地集散/港内加工</x:v>
      </x:c>
      <x:c r="K630" s="13" t="str">
        <x:v>每7个游戏日补充120货载单位。本地、所属岛链或相连腹地供货；成品由港内工坊加工，贸易规模是本作设计。</x:v>
      </x:c>
      <x:c r="L630" s="13" t="str">
        <x:v>港口发展度达到D1（≥100点）；不要求武装度。</x:v>
      </x:c>
    </x:row>
    <x:row r="631" ht="42" customHeight="1">
      <x:c r="A631" s="15" t="str">
        <x:v>P070</x:v>
      </x:c>
      <x:c r="B631" s="15" t="str">
        <x:v>亚齐</x:v>
      </x:c>
      <x:c r="C631" s="15" t="str">
        <x:v>G079</x:v>
      </x:c>
      <x:c r="D631" s="15" t="str">
        <x:v>皮革</x:v>
      </x:c>
      <x:c r="E631" s="30" t="n">
        <x:v>2</x:v>
      </x:c>
      <x:c r="F631" s="30" t="n">
        <x:v>110</x:v>
      </x:c>
      <x:c r="G631" s="30" t="n">
        <x:v>68</x:v>
      </x:c>
      <x:c r="H631" s="30" t="n">
        <x:v>204</x:v>
      </x:c>
      <x:c r="I631" s="54" t="n">
        <x:v>0.8</x:v>
      </x:c>
      <x:c r="J631" s="15" t="str">
        <x:v>本港生产/腹地集散/港内加工</x:v>
      </x:c>
      <x:c r="K631" s="15" t="str">
        <x:v>每7个游戏日补充68货载单位。本地、所属岛链或相连腹地供货；成品由港内工坊加工，贸易规模是本作设计。</x:v>
      </x:c>
      <x:c r="L631" s="15" t="str">
        <x:v>港口发展度达到D2（≥250点）；不要求武装度。</x:v>
      </x:c>
    </x:row>
    <x:row r="632" ht="42" customHeight="1">
      <x:c r="A632" s="13" t="str">
        <x:v>P070</x:v>
      </x:c>
      <x:c r="B632" s="13" t="str">
        <x:v>亚齐</x:v>
      </x:c>
      <x:c r="C632" s="13" t="str">
        <x:v>G021</x:v>
      </x:c>
      <x:c r="D632" s="13" t="str">
        <x:v>咖啡</x:v>
      </x:c>
      <x:c r="E632" s="27" t="n">
        <x:v>3</x:v>
      </x:c>
      <x:c r="F632" s="27" t="n">
        <x:v>240</x:v>
      </x:c>
      <x:c r="G632" s="27" t="n">
        <x:v>21</x:v>
      </x:c>
      <x:c r="H632" s="27" t="n">
        <x:v>63</x:v>
      </x:c>
      <x:c r="I632" s="52" t="n">
        <x:v>1.14</x:v>
      </x:c>
      <x:c r="J632" s="13" t="str">
        <x:v>进口/区域转口</x:v>
      </x:c>
      <x:c r="K632" s="13" t="str">
        <x:v>每7个游戏日补充21货载单位。由区域商队或NPC货船带入；为港口转售供货，不改变商品的原产地区。</x:v>
      </x:c>
      <x:c r="L632" s="13" t="str">
        <x:v>港口发展度达到D3（≥450点）；不要求武装度。</x:v>
      </x:c>
    </x:row>
    <x:row r="633" ht="42" customHeight="1">
      <x:c r="A633" s="15" t="str">
        <x:v>P070</x:v>
      </x:c>
      <x:c r="B633" s="15" t="str">
        <x:v>亚齐</x:v>
      </x:c>
      <x:c r="C633" s="15" t="str">
        <x:v>G043</x:v>
      </x:c>
      <x:c r="D633" s="15" t="str">
        <x:v>棉布</x:v>
      </x:c>
      <x:c r="E633" s="30" t="n">
        <x:v>4</x:v>
      </x:c>
      <x:c r="F633" s="30" t="n">
        <x:v>160</x:v>
      </x:c>
      <x:c r="G633" s="30" t="n">
        <x:v>26</x:v>
      </x:c>
      <x:c r="H633" s="30" t="n">
        <x:v>78</x:v>
      </x:c>
      <x:c r="I633" s="54" t="n">
        <x:v>1.14</x:v>
      </x:c>
      <x:c r="J633" s="15" t="str">
        <x:v>进口/区域转口</x:v>
      </x:c>
      <x:c r="K633" s="15" t="str">
        <x:v>每7个游戏日补充26货载单位。由区域商队或NPC货船带入；为港口转售供货，不改变商品的原产地区。</x:v>
      </x:c>
      <x:c r="L633" s="15" t="str">
        <x:v>港口发展度达到D4（≥700点）；不要求武装度。</x:v>
      </x:c>
    </x:row>
    <x:row r="634" ht="42" customHeight="1">
      <x:c r="A634" s="13" t="str">
        <x:v>P070</x:v>
      </x:c>
      <x:c r="B634" s="13" t="str">
        <x:v>亚齐</x:v>
      </x:c>
      <x:c r="C634" s="13" t="str">
        <x:v>G073</x:v>
      </x:c>
      <x:c r="D634" s="13" t="str">
        <x:v>珠宝</x:v>
      </x:c>
      <x:c r="E634" s="27" t="n">
        <x:v>5</x:v>
      </x:c>
      <x:c r="F634" s="27" t="n">
        <x:v>760</x:v>
      </x:c>
      <x:c r="G634" s="27" t="n">
        <x:v>7</x:v>
      </x:c>
      <x:c r="H634" s="27" t="n">
        <x:v>21</x:v>
      </x:c>
      <x:c r="I634" s="52" t="n">
        <x:v>0.87</x:v>
      </x:c>
      <x:c r="J634" s="13" t="str">
        <x:v>本港生产/腹地集散/港内加工</x:v>
      </x:c>
      <x:c r="K634" s="13" t="str">
        <x:v>每7个游戏日补充7货载单位。本地、所属岛链或相连腹地供货；成品由港内工坊加工，贸易规模是本作设计。</x:v>
      </x:c>
      <x:c r="L634" s="13" t="str">
        <x:v>港口发展度达到D5（≥1000点）；不要求武装度。</x:v>
      </x:c>
    </x:row>
    <x:row r="635" ht="42" customHeight="1">
      <x:c r="A635" s="15" t="str">
        <x:v>P070</x:v>
      </x:c>
      <x:c r="B635" s="15" t="str">
        <x:v>亚齐</x:v>
      </x:c>
      <x:c r="C635" s="15" t="str">
        <x:v>SP070</x:v>
      </x:c>
      <x:c r="D635" s="15" t="str">
        <x:v>雨枪长穗胡椒</x:v>
      </x:c>
      <x:c r="E635" s="30" t="n">
        <x:v>3</x:v>
      </x:c>
      <x:c r="F635" s="30" t="n">
        <x:v>660</x:v>
      </x:c>
      <x:c r="G635" s="30" t="n">
        <x:v>9</x:v>
      </x:c>
      <x:c r="H635" s="30" t="n">
        <x:v>18</x:v>
      </x:c>
      <x:c r="I635" s="54" t="n">
        <x:v>0.78</x:v>
      </x:c>
      <x:c r="J635" s="15" t="str">
        <x:v>港口独占原创工坊特产</x:v>
      </x:c>
      <x:c r="K635" s="15" t="str">
        <x:v>每7个游戏日由「雨枪香料分晒场」交货9货载；只在本港形成稳定产源。</x:v>
      </x:c>
      <x:c r="L635" s="15" t="str">
        <x:v>港口发展度达到D3（≥450点）时，投资项目「雨枪香料分晒场」自动完工；不要求武装度。</x:v>
      </x:c>
    </x:row>
    <x:row r="636" ht="42" customHeight="1">
      <x:c r="A636" s="13" t="str">
        <x:v>P071</x:v>
      </x:c>
      <x:c r="B636" s="13" t="str">
        <x:v>万丹</x:v>
      </x:c>
      <x:c r="C636" s="13" t="str">
        <x:v>G004</x:v>
      </x:c>
      <x:c r="D636" s="13" t="str">
        <x:v>稻米</x:v>
      </x:c>
      <x:c r="E636" s="27" t="n">
        <x:v>0</x:v>
      </x:c>
      <x:c r="F636" s="27" t="n">
        <x:v>55</x:v>
      </x:c>
      <x:c r="G636" s="27" t="n">
        <x:v>211</x:v>
      </x:c>
      <x:c r="H636" s="27" t="n">
        <x:v>633</x:v>
      </x:c>
      <x:c r="I636" s="52" t="n">
        <x:v>0.74</x:v>
      </x:c>
      <x:c r="J636" s="13" t="str">
        <x:v>本港生产/腹地集散/港内加工</x:v>
      </x:c>
      <x:c r="K636" s="13" t="str">
        <x:v>每7个游戏日补充211货载单位。本地、所属岛链或相连腹地供货；成品由港内工坊加工，贸易规模是本作设计。</x:v>
      </x:c>
      <x:c r="L636" s="13" t="str">
        <x:v>港口发展度达到D0（≥0点）；不要求武装度。</x:v>
      </x:c>
    </x:row>
    <x:row r="637" ht="42" customHeight="1">
      <x:c r="A637" s="15" t="str">
        <x:v>P071</x:v>
      </x:c>
      <x:c r="B637" s="15" t="str">
        <x:v>万丹</x:v>
      </x:c>
      <x:c r="C637" s="15" t="str">
        <x:v>G095</x:v>
      </x:c>
      <x:c r="D637" s="15" t="str">
        <x:v>干椰肉</x:v>
      </x:c>
      <x:c r="E637" s="30" t="n">
        <x:v>0</x:v>
      </x:c>
      <x:c r="F637" s="30" t="n">
        <x:v>60</x:v>
      </x:c>
      <x:c r="G637" s="30" t="n">
        <x:v>164</x:v>
      </x:c>
      <x:c r="H637" s="30" t="n">
        <x:v>492</x:v>
      </x:c>
      <x:c r="I637" s="54" t="n">
        <x:v>0.74</x:v>
      </x:c>
      <x:c r="J637" s="15" t="str">
        <x:v>本港生产/腹地集散/港内加工</x:v>
      </x:c>
      <x:c r="K637" s="15" t="str">
        <x:v>每7个游戏日补充164货载单位。本地、所属岛链或相连腹地供货；成品由港内工坊加工，贸易规模是本作设计。</x:v>
      </x:c>
      <x:c r="L637" s="15" t="str">
        <x:v>港口发展度达到D0（≥0点）；不要求武装度。</x:v>
      </x:c>
    </x:row>
    <x:row r="638" ht="42" customHeight="1">
      <x:c r="A638" s="13" t="str">
        <x:v>P071</x:v>
      </x:c>
      <x:c r="B638" s="13" t="str">
        <x:v>万丹</x:v>
      </x:c>
      <x:c r="C638" s="13" t="str">
        <x:v>G029</x:v>
      </x:c>
      <x:c r="D638" s="13" t="str">
        <x:v>胡椒</x:v>
      </x:c>
      <x:c r="E638" s="27" t="n">
        <x:v>1</x:v>
      </x:c>
      <x:c r="F638" s="27" t="n">
        <x:v>260</x:v>
      </x:c>
      <x:c r="G638" s="27" t="n">
        <x:v>36</x:v>
      </x:c>
      <x:c r="H638" s="27" t="n">
        <x:v>108</x:v>
      </x:c>
      <x:c r="I638" s="52" t="n">
        <x:v>0.74</x:v>
      </x:c>
      <x:c r="J638" s="13" t="str">
        <x:v>本港生产/腹地集散/港内加工</x:v>
      </x:c>
      <x:c r="K638" s="13" t="str">
        <x:v>每7个游戏日补充36货载单位。本地、所属岛链或相连腹地供货；成品由港内工坊加工，贸易规模是本作设计。</x:v>
      </x:c>
      <x:c r="L638" s="13" t="str">
        <x:v>港口发展度达到D1（≥100点）；不要求武装度。</x:v>
      </x:c>
    </x:row>
    <x:row r="639" ht="42" customHeight="1">
      <x:c r="A639" s="15" t="str">
        <x:v>P071</x:v>
      </x:c>
      <x:c r="B639" s="15" t="str">
        <x:v>万丹</x:v>
      </x:c>
      <x:c r="C639" s="15" t="str">
        <x:v>G011</x:v>
      </x:c>
      <x:c r="D639" s="15" t="str">
        <x:v>砂糖</x:v>
      </x:c>
      <x:c r="E639" s="30" t="n">
        <x:v>1</x:v>
      </x:c>
      <x:c r="F639" s="30" t="n">
        <x:v>140</x:v>
      </x:c>
      <x:c r="G639" s="30" t="n">
        <x:v>156</x:v>
      </x:c>
      <x:c r="H639" s="30" t="n">
        <x:v>468</x:v>
      </x:c>
      <x:c r="I639" s="54" t="n">
        <x:v>0.74</x:v>
      </x:c>
      <x:c r="J639" s="15" t="str">
        <x:v>本港生产/腹地集散/港内加工</x:v>
      </x:c>
      <x:c r="K639" s="15" t="str">
        <x:v>每7个游戏日补充156货载单位。本地、所属岛链或相连腹地供货；成品由港内工坊加工，贸易规模是本作设计。</x:v>
      </x:c>
      <x:c r="L639" s="15" t="str">
        <x:v>港口发展度达到D1（≥100点）；不要求武装度。</x:v>
      </x:c>
    </x:row>
    <x:row r="640" ht="42" customHeight="1">
      <x:c r="A640" s="13" t="str">
        <x:v>P071</x:v>
      </x:c>
      <x:c r="B640" s="13" t="str">
        <x:v>万丹</x:v>
      </x:c>
      <x:c r="C640" s="13" t="str">
        <x:v>G049</x:v>
      </x:c>
      <x:c r="D640" s="13" t="str">
        <x:v>靛蓝</x:v>
      </x:c>
      <x:c r="E640" s="27" t="n">
        <x:v>2</x:v>
      </x:c>
      <x:c r="F640" s="27" t="n">
        <x:v>280</x:v>
      </x:c>
      <x:c r="G640" s="27" t="n">
        <x:v>32</x:v>
      </x:c>
      <x:c r="H640" s="27" t="n">
        <x:v>96</x:v>
      </x:c>
      <x:c r="I640" s="52" t="n">
        <x:v>0.8</x:v>
      </x:c>
      <x:c r="J640" s="13" t="str">
        <x:v>本港生产/腹地集散/港内加工</x:v>
      </x:c>
      <x:c r="K640" s="13" t="str">
        <x:v>每7个游戏日补充32货载单位。本地、所属岛链或相连腹地供货；成品由港内工坊加工，贸易规模是本作设计。</x:v>
      </x:c>
      <x:c r="L640" s="13" t="str">
        <x:v>港口发展度达到D2（≥250点）；不要求武装度。</x:v>
      </x:c>
    </x:row>
    <x:row r="641" ht="42" customHeight="1">
      <x:c r="A641" s="15" t="str">
        <x:v>P071</x:v>
      </x:c>
      <x:c r="B641" s="15" t="str">
        <x:v>万丹</x:v>
      </x:c>
      <x:c r="C641" s="15" t="str">
        <x:v>G043</x:v>
      </x:c>
      <x:c r="D641" s="15" t="str">
        <x:v>棉布</x:v>
      </x:c>
      <x:c r="E641" s="30" t="n">
        <x:v>3</x:v>
      </x:c>
      <x:c r="F641" s="30" t="n">
        <x:v>160</x:v>
      </x:c>
      <x:c r="G641" s="30" t="n">
        <x:v>59</x:v>
      </x:c>
      <x:c r="H641" s="30" t="n">
        <x:v>177</x:v>
      </x:c>
      <x:c r="I641" s="54" t="n">
        <x:v>0.8</x:v>
      </x:c>
      <x:c r="J641" s="15" t="str">
        <x:v>本港生产/腹地集散/港内加工</x:v>
      </x:c>
      <x:c r="K641" s="15" t="str">
        <x:v>每7个游戏日补充59货载单位。本地、所属岛链或相连腹地供货；成品由港内工坊加工，贸易规模是本作设计。</x:v>
      </x:c>
      <x:c r="L641" s="15" t="str">
        <x:v>港口发展度达到D3（≥450点）；不要求武装度。</x:v>
      </x:c>
    </x:row>
    <x:row r="642" ht="42" customHeight="1">
      <x:c r="A642" s="13" t="str">
        <x:v>P071</x:v>
      </x:c>
      <x:c r="B642" s="13" t="str">
        <x:v>万丹</x:v>
      </x:c>
      <x:c r="C642" s="13" t="str">
        <x:v>G055</x:v>
      </x:c>
      <x:c r="D642" s="13" t="str">
        <x:v>柚木</x:v>
      </x:c>
      <x:c r="E642" s="27" t="n">
        <x:v>4</x:v>
      </x:c>
      <x:c r="F642" s="27" t="n">
        <x:v>180</x:v>
      </x:c>
      <x:c r="G642" s="27" t="n">
        <x:v>80</x:v>
      </x:c>
      <x:c r="H642" s="27" t="n">
        <x:v>240</x:v>
      </x:c>
      <x:c r="I642" s="52" t="n">
        <x:v>0.87</x:v>
      </x:c>
      <x:c r="J642" s="13" t="str">
        <x:v>本港生产/腹地集散/港内加工</x:v>
      </x:c>
      <x:c r="K642" s="13" t="str">
        <x:v>每7个游戏日补充80货载单位。本地、所属岛链或相连腹地供货；成品由港内工坊加工，贸易规模是本作设计。</x:v>
      </x:c>
      <x:c r="L642" s="13" t="str">
        <x:v>港口发展度达到D4（≥700点）；不要求武装度。</x:v>
      </x:c>
    </x:row>
    <x:row r="643" ht="42" customHeight="1">
      <x:c r="A643" s="15" t="str">
        <x:v>P071</x:v>
      </x:c>
      <x:c r="B643" s="15" t="str">
        <x:v>万丹</x:v>
      </x:c>
      <x:c r="C643" s="15" t="str">
        <x:v>G072</x:v>
      </x:c>
      <x:c r="D643" s="15" t="str">
        <x:v>漆器</x:v>
      </x:c>
      <x:c r="E643" s="30" t="n">
        <x:v>5</x:v>
      </x:c>
      <x:c r="F643" s="30" t="n">
        <x:v>480</x:v>
      </x:c>
      <x:c r="G643" s="30" t="n">
        <x:v>18</x:v>
      </x:c>
      <x:c r="H643" s="30" t="n">
        <x:v>54</x:v>
      </x:c>
      <x:c r="I643" s="54" t="n">
        <x:v>0.87</x:v>
      </x:c>
      <x:c r="J643" s="15" t="str">
        <x:v>本港生产/腹地集散/港内加工</x:v>
      </x:c>
      <x:c r="K643" s="15" t="str">
        <x:v>每7个游戏日补充18货载单位。本地、所属岛链或相连腹地供货；成品由港内工坊加工，贸易规模是本作设计。</x:v>
      </x:c>
      <x:c r="L643" s="15" t="str">
        <x:v>港口发展度达到D5（≥1000点）；不要求武装度。</x:v>
      </x:c>
    </x:row>
    <x:row r="644" ht="42" customHeight="1">
      <x:c r="A644" s="13" t="str">
        <x:v>P071</x:v>
      </x:c>
      <x:c r="B644" s="13" t="str">
        <x:v>万丹</x:v>
      </x:c>
      <x:c r="C644" s="13" t="str">
        <x:v>SP071</x:v>
      </x:c>
      <x:c r="D644" s="13" t="str">
        <x:v>万丹夜蓝蜡染卷</x:v>
      </x:c>
      <x:c r="E644" s="27" t="n">
        <x:v>3</x:v>
      </x:c>
      <x:c r="F644" s="27" t="n">
        <x:v>730</x:v>
      </x:c>
      <x:c r="G644" s="27" t="n">
        <x:v>9</x:v>
      </x:c>
      <x:c r="H644" s="27" t="n">
        <x:v>18</x:v>
      </x:c>
      <x:c r="I644" s="52" t="n">
        <x:v>0.78</x:v>
      </x:c>
      <x:c r="J644" s="13" t="str">
        <x:v>港口独占原创工坊特产</x:v>
      </x:c>
      <x:c r="K644" s="13" t="str">
        <x:v>每7个游戏日由「夜蓝蜡染工坊」交货9货载；只在本港形成稳定产源。</x:v>
      </x:c>
      <x:c r="L644" s="13" t="str">
        <x:v>港口发展度达到D3（≥450点）时，投资项目「夜蓝蜡染工坊」自动完工；不要求武装度。</x:v>
      </x:c>
    </x:row>
    <x:row r="645" ht="42" customHeight="1">
      <x:c r="A645" s="15" t="str">
        <x:v>P072</x:v>
      </x:c>
      <x:c r="B645" s="15" t="str">
        <x:v>巴达维亚</x:v>
      </x:c>
      <x:c r="C645" s="15" t="str">
        <x:v>G004</x:v>
      </x:c>
      <x:c r="D645" s="15" t="str">
        <x:v>稻米</x:v>
      </x:c>
      <x:c r="E645" s="30" t="n">
        <x:v>0</x:v>
      </x:c>
      <x:c r="F645" s="30" t="n">
        <x:v>55</x:v>
      </x:c>
      <x:c r="G645" s="30" t="n">
        <x:v>254</x:v>
      </x:c>
      <x:c r="H645" s="30" t="n">
        <x:v>762</x:v>
      </x:c>
      <x:c r="I645" s="54" t="n">
        <x:v>0.74</x:v>
      </x:c>
      <x:c r="J645" s="15" t="str">
        <x:v>本港生产/腹地集散/港内加工</x:v>
      </x:c>
      <x:c r="K645" s="15" t="str">
        <x:v>每7个游戏日补充254货载单位。本地、所属岛链或相连腹地供货；成品由港内工坊加工，贸易规模是本作设计。</x:v>
      </x:c>
      <x:c r="L645" s="15" t="str">
        <x:v>港口发展度达到D0（≥0点）；不要求武装度。</x:v>
      </x:c>
    </x:row>
    <x:row r="646" ht="42" customHeight="1">
      <x:c r="A646" s="13" t="str">
        <x:v>P072</x:v>
      </x:c>
      <x:c r="B646" s="13" t="str">
        <x:v>巴达维亚</x:v>
      </x:c>
      <x:c r="C646" s="13" t="str">
        <x:v>G011</x:v>
      </x:c>
      <x:c r="D646" s="13" t="str">
        <x:v>砂糖</x:v>
      </x:c>
      <x:c r="E646" s="27" t="n">
        <x:v>0</x:v>
      </x:c>
      <x:c r="F646" s="27" t="n">
        <x:v>140</x:v>
      </x:c>
      <x:c r="G646" s="27" t="n">
        <x:v>197</x:v>
      </x:c>
      <x:c r="H646" s="27" t="n">
        <x:v>591</x:v>
      </x:c>
      <x:c r="I646" s="52" t="n">
        <x:v>0.74</x:v>
      </x:c>
      <x:c r="J646" s="13" t="str">
        <x:v>本港生产/腹地集散/港内加工</x:v>
      </x:c>
      <x:c r="K646" s="13" t="str">
        <x:v>每7个游戏日补充197货载单位。本地、所属岛链或相连腹地供货；成品由港内工坊加工，贸易规模是本作设计。</x:v>
      </x:c>
      <x:c r="L646" s="13" t="str">
        <x:v>港口发展度达到D0（≥0点）；不要求武装度。</x:v>
      </x:c>
    </x:row>
    <x:row r="647" ht="42" customHeight="1">
      <x:c r="A647" s="15" t="str">
        <x:v>P072</x:v>
      </x:c>
      <x:c r="B647" s="15" t="str">
        <x:v>巴达维亚</x:v>
      </x:c>
      <x:c r="C647" s="15" t="str">
        <x:v>G012</x:v>
      </x:c>
      <x:c r="D647" s="15" t="str">
        <x:v>糖蜜</x:v>
      </x:c>
      <x:c r="E647" s="30" t="n">
        <x:v>1</x:v>
      </x:c>
      <x:c r="F647" s="30" t="n">
        <x:v>70</x:v>
      </x:c>
      <x:c r="G647" s="30" t="n">
        <x:v>188</x:v>
      </x:c>
      <x:c r="H647" s="30" t="n">
        <x:v>564</x:v>
      </x:c>
      <x:c r="I647" s="54" t="n">
        <x:v>0.74</x:v>
      </x:c>
      <x:c r="J647" s="15" t="str">
        <x:v>本港生产/腹地集散/港内加工</x:v>
      </x:c>
      <x:c r="K647" s="15" t="str">
        <x:v>每7个游戏日补充188货载单位。本地、所属岛链或相连腹地供货；成品由港内工坊加工，贸易规模是本作设计。</x:v>
      </x:c>
      <x:c r="L647" s="15" t="str">
        <x:v>港口发展度达到D1（≥100点）；不要求武装度。</x:v>
      </x:c>
    </x:row>
    <x:row r="648" ht="42" customHeight="1">
      <x:c r="A648" s="13" t="str">
        <x:v>P072</x:v>
      </x:c>
      <x:c r="B648" s="13" t="str">
        <x:v>巴达维亚</x:v>
      </x:c>
      <x:c r="C648" s="13" t="str">
        <x:v>G055</x:v>
      </x:c>
      <x:c r="D648" s="13" t="str">
        <x:v>柚木</x:v>
      </x:c>
      <x:c r="E648" s="27" t="n">
        <x:v>1</x:v>
      </x:c>
      <x:c r="F648" s="27" t="n">
        <x:v>180</x:v>
      </x:c>
      <x:c r="G648" s="27" t="n">
        <x:v>147</x:v>
      </x:c>
      <x:c r="H648" s="27" t="n">
        <x:v>441</x:v>
      </x:c>
      <x:c r="I648" s="52" t="n">
        <x:v>0.74</x:v>
      </x:c>
      <x:c r="J648" s="13" t="str">
        <x:v>本港生产/腹地集散/港内加工</x:v>
      </x:c>
      <x:c r="K648" s="13" t="str">
        <x:v>每7个游戏日补充147货载单位。本地、所属岛链或相连腹地供货；成品由港内工坊加工，贸易规模是本作设计。</x:v>
      </x:c>
      <x:c r="L648" s="13" t="str">
        <x:v>港口发展度达到D1（≥100点）；不要求武装度。</x:v>
      </x:c>
    </x:row>
    <x:row r="649" ht="42" customHeight="1">
      <x:c r="A649" s="15" t="str">
        <x:v>P072</x:v>
      </x:c>
      <x:c r="B649" s="15" t="str">
        <x:v>巴达维亚</x:v>
      </x:c>
      <x:c r="C649" s="15" t="str">
        <x:v>G021</x:v>
      </x:c>
      <x:c r="D649" s="15" t="str">
        <x:v>咖啡</x:v>
      </x:c>
      <x:c r="E649" s="30" t="n">
        <x:v>2</x:v>
      </x:c>
      <x:c r="F649" s="30" t="n">
        <x:v>240</x:v>
      </x:c>
      <x:c r="G649" s="30" t="n">
        <x:v>58</x:v>
      </x:c>
      <x:c r="H649" s="30" t="n">
        <x:v>174</x:v>
      </x:c>
      <x:c r="I649" s="54" t="n">
        <x:v>0.8</x:v>
      </x:c>
      <x:c r="J649" s="15" t="str">
        <x:v>本港生产/腹地集散/港内加工</x:v>
      </x:c>
      <x:c r="K649" s="15" t="str">
        <x:v>每7个游戏日补充58货载单位。本地、所属岛链或相连腹地供货；成品由港内工坊加工，贸易规模是本作设计。</x:v>
      </x:c>
      <x:c r="L649" s="15" t="str">
        <x:v>港口发展度达到D2（≥250点）；不要求武装度。</x:v>
      </x:c>
    </x:row>
    <x:row r="650" ht="42" customHeight="1">
      <x:c r="A650" s="13" t="str">
        <x:v>P072</x:v>
      </x:c>
      <x:c r="B650" s="13" t="str">
        <x:v>巴达维亚</x:v>
      </x:c>
      <x:c r="C650" s="13" t="str">
        <x:v>G029</x:v>
      </x:c>
      <x:c r="D650" s="13" t="str">
        <x:v>胡椒</x:v>
      </x:c>
      <x:c r="E650" s="27" t="n">
        <x:v>3</x:v>
      </x:c>
      <x:c r="F650" s="27" t="n">
        <x:v>260</x:v>
      </x:c>
      <x:c r="G650" s="27" t="n">
        <x:v>17</x:v>
      </x:c>
      <x:c r="H650" s="27" t="n">
        <x:v>51</x:v>
      </x:c>
      <x:c r="I650" s="52" t="n">
        <x:v>1.14</x:v>
      </x:c>
      <x:c r="J650" s="13" t="str">
        <x:v>进口/区域转口</x:v>
      </x:c>
      <x:c r="K650" s="13" t="str">
        <x:v>每7个游戏日补充17货载单位。由区域商队或NPC货船带入；为港口转售供货，不改变商品的原产地区。</x:v>
      </x:c>
      <x:c r="L650" s="13" t="str">
        <x:v>港口发展度达到D3（≥450点）；不要求武装度。</x:v>
      </x:c>
    </x:row>
    <x:row r="651" ht="42" customHeight="1">
      <x:c r="A651" s="15" t="str">
        <x:v>P072</x:v>
      </x:c>
      <x:c r="B651" s="15" t="str">
        <x:v>巴达维亚</x:v>
      </x:c>
      <x:c r="C651" s="15" t="str">
        <x:v>G030</x:v>
      </x:c>
      <x:c r="D651" s="15" t="str">
        <x:v>丁香</x:v>
      </x:c>
      <x:c r="E651" s="30" t="n">
        <x:v>4</x:v>
      </x:c>
      <x:c r="F651" s="30" t="n">
        <x:v>520</x:v>
      </x:c>
      <x:c r="G651" s="30" t="n">
        <x:v>15</x:v>
      </x:c>
      <x:c r="H651" s="30" t="n">
        <x:v>45</x:v>
      </x:c>
      <x:c r="I651" s="54" t="n">
        <x:v>1.14</x:v>
      </x:c>
      <x:c r="J651" s="15" t="str">
        <x:v>进口/区域转口</x:v>
      </x:c>
      <x:c r="K651" s="15" t="str">
        <x:v>每7个游戏日补充15货载单位。由区域商队或NPC货船带入；为港口转售供货，不改变商品的原产地区。</x:v>
      </x:c>
      <x:c r="L651" s="15" t="str">
        <x:v>港口发展度达到D4（≥700点）；不要求武装度。</x:v>
      </x:c>
    </x:row>
    <x:row r="652" ht="42" customHeight="1">
      <x:c r="A652" s="13" t="str">
        <x:v>P072</x:v>
      </x:c>
      <x:c r="B652" s="13" t="str">
        <x:v>巴达维亚</x:v>
      </x:c>
      <x:c r="C652" s="13" t="str">
        <x:v>G099</x:v>
      </x:c>
      <x:c r="D652" s="13" t="str">
        <x:v>航海仪器</x:v>
      </x:c>
      <x:c r="E652" s="27" t="n">
        <x:v>5</x:v>
      </x:c>
      <x:c r="F652" s="27" t="n">
        <x:v>650</x:v>
      </x:c>
      <x:c r="G652" s="27" t="n">
        <x:v>9</x:v>
      </x:c>
      <x:c r="H652" s="27" t="n">
        <x:v>27</x:v>
      </x:c>
      <x:c r="I652" s="52" t="n">
        <x:v>0.87</x:v>
      </x:c>
      <x:c r="J652" s="13" t="str">
        <x:v>本港生产/腹地集散/港内加工</x:v>
      </x:c>
      <x:c r="K652" s="13" t="str">
        <x:v>每7个游戏日补充9货载单位。本地、所属岛链或相连腹地供货；成品由港内工坊加工，贸易规模是本作设计。</x:v>
      </x:c>
      <x:c r="L652" s="13" t="str">
        <x:v>港口发展度达到D5（≥1000点）；不要求武装度。</x:v>
      </x:c>
    </x:row>
    <x:row r="653" ht="42" customHeight="1">
      <x:c r="A653" s="15" t="str">
        <x:v>P072</x:v>
      </x:c>
      <x:c r="B653" s="15" t="str">
        <x:v>巴达维亚</x:v>
      </x:c>
      <x:c r="C653" s="15" t="str">
        <x:v>SP072</x:v>
      </x:c>
      <x:c r="D653" s="15" t="str">
        <x:v>群岛十三香橱</x:v>
      </x:c>
      <x:c r="E653" s="30" t="n">
        <x:v>4</x:v>
      </x:c>
      <x:c r="F653" s="30" t="n">
        <x:v>1210</x:v>
      </x:c>
      <x:c r="G653" s="30" t="n">
        <x:v>8</x:v>
      </x:c>
      <x:c r="H653" s="30" t="n">
        <x:v>16</x:v>
      </x:c>
      <x:c r="I653" s="54" t="n">
        <x:v>0.78</x:v>
      </x:c>
      <x:c r="J653" s="15" t="str">
        <x:v>港口独占原创工坊特产</x:v>
      </x:c>
      <x:c r="K653" s="15" t="str">
        <x:v>每7个游戏日由「群岛香橱合匠工坊」交货8货载；只在本港形成稳定产源。</x:v>
      </x:c>
      <x:c r="L653" s="15" t="str">
        <x:v>港口发展度达到D4（≥700点）时，投资项目「群岛香橱合匠工坊」自动完工；不要求武装度。</x:v>
      </x:c>
    </x:row>
    <x:row r="654" ht="42" customHeight="1">
      <x:c r="A654" s="13" t="str">
        <x:v>P073</x:v>
      </x:c>
      <x:c r="B654" s="13" t="str">
        <x:v>巨港</x:v>
      </x:c>
      <x:c r="C654" s="13" t="str">
        <x:v>G004</x:v>
      </x:c>
      <x:c r="D654" s="13" t="str">
        <x:v>稻米</x:v>
      </x:c>
      <x:c r="E654" s="27" t="n">
        <x:v>0</x:v>
      </x:c>
      <x:c r="F654" s="27" t="n">
        <x:v>55</x:v>
      </x:c>
      <x:c r="G654" s="27" t="n">
        <x:v>193</x:v>
      </x:c>
      <x:c r="H654" s="27" t="n">
        <x:v>579</x:v>
      </x:c>
      <x:c r="I654" s="52" t="n">
        <x:v>0.74</x:v>
      </x:c>
      <x:c r="J654" s="13" t="str">
        <x:v>本港生产/腹地集散/港内加工</x:v>
      </x:c>
      <x:c r="K654" s="13" t="str">
        <x:v>每7个游戏日补充193货载单位。本地、所属岛链或相连腹地供货；成品由港内工坊加工，贸易规模是本作设计。</x:v>
      </x:c>
      <x:c r="L654" s="13" t="str">
        <x:v>港口发展度达到D0（≥0点）；不要求武装度。</x:v>
      </x:c>
    </x:row>
    <x:row r="655" ht="42" customHeight="1">
      <x:c r="A655" s="15" t="str">
        <x:v>P073</x:v>
      </x:c>
      <x:c r="B655" s="15" t="str">
        <x:v>巨港</x:v>
      </x:c>
      <x:c r="C655" s="15" t="str">
        <x:v>G106</x:v>
      </x:c>
      <x:c r="D655" s="15" t="str">
        <x:v>西谷米</x:v>
      </x:c>
      <x:c r="E655" s="30" t="n">
        <x:v>0</x:v>
      </x:c>
      <x:c r="F655" s="30" t="n">
        <x:v>43</x:v>
      </x:c>
      <x:c r="G655" s="30" t="n">
        <x:v>193</x:v>
      </x:c>
      <x:c r="H655" s="30" t="n">
        <x:v>579</x:v>
      </x:c>
      <x:c r="I655" s="54" t="n">
        <x:v>0.74</x:v>
      </x:c>
      <x:c r="J655" s="15" t="str">
        <x:v>本港生产/腹地集散/港内加工</x:v>
      </x:c>
      <x:c r="K655" s="15" t="str">
        <x:v>每7个游戏日补充193货载单位。本地、所属岛链或相连腹地供货；成品由港内工坊加工，贸易规模是本作设计。</x:v>
      </x:c>
      <x:c r="L655" s="15" t="str">
        <x:v>港口发展度达到D0（≥0点）；不要求武装度。</x:v>
      </x:c>
    </x:row>
    <x:row r="656" ht="42" customHeight="1">
      <x:c r="A656" s="13" t="str">
        <x:v>P073</x:v>
      </x:c>
      <x:c r="B656" s="13" t="str">
        <x:v>巨港</x:v>
      </x:c>
      <x:c r="C656" s="13" t="str">
        <x:v>G107</x:v>
      </x:c>
      <x:c r="D656" s="13" t="str">
        <x:v>藤材</x:v>
      </x:c>
      <x:c r="E656" s="27" t="n">
        <x:v>1</x:v>
      </x:c>
      <x:c r="F656" s="27" t="n">
        <x:v>75</x:v>
      </x:c>
      <x:c r="G656" s="27" t="n">
        <x:v>112</x:v>
      </x:c>
      <x:c r="H656" s="27" t="n">
        <x:v>336</x:v>
      </x:c>
      <x:c r="I656" s="52" t="n">
        <x:v>0.74</x:v>
      </x:c>
      <x:c r="J656" s="13" t="str">
        <x:v>本港生产/腹地集散/港内加工</x:v>
      </x:c>
      <x:c r="K656" s="13" t="str">
        <x:v>每7个游戏日补充112货载单位。本地、所属岛链或相连腹地供货；成品由港内工坊加工，贸易规模是本作设计。</x:v>
      </x:c>
      <x:c r="L656" s="13" t="str">
        <x:v>港口发展度达到D1（≥100点）；不要求武装度。</x:v>
      </x:c>
    </x:row>
    <x:row r="657" ht="42" customHeight="1">
      <x:c r="A657" s="15" t="str">
        <x:v>P073</x:v>
      </x:c>
      <x:c r="B657" s="15" t="str">
        <x:v>巨港</x:v>
      </x:c>
      <x:c r="C657" s="15" t="str">
        <x:v>G090</x:v>
      </x:c>
      <x:c r="D657" s="15" t="str">
        <x:v>树脂</x:v>
      </x:c>
      <x:c r="E657" s="30" t="n">
        <x:v>1</x:v>
      </x:c>
      <x:c r="F657" s="30" t="n">
        <x:v>95</x:v>
      </x:c>
      <x:c r="G657" s="30" t="n">
        <x:v>71</x:v>
      </x:c>
      <x:c r="H657" s="30" t="n">
        <x:v>213</x:v>
      </x:c>
      <x:c r="I657" s="54" t="n">
        <x:v>0.74</x:v>
      </x:c>
      <x:c r="J657" s="15" t="str">
        <x:v>本港生产/腹地集散/港内加工</x:v>
      </x:c>
      <x:c r="K657" s="15" t="str">
        <x:v>每7个游戏日补充71货载单位。本地、所属岛链或相连腹地供货；成品由港内工坊加工，贸易规模是本作设计。</x:v>
      </x:c>
      <x:c r="L657" s="15" t="str">
        <x:v>港口发展度达到D1（≥100点）；不要求武装度。</x:v>
      </x:c>
    </x:row>
    <x:row r="658" ht="42" customHeight="1">
      <x:c r="A658" s="13" t="str">
        <x:v>P073</x:v>
      </x:c>
      <x:c r="B658" s="13" t="str">
        <x:v>巨港</x:v>
      </x:c>
      <x:c r="C658" s="13" t="str">
        <x:v>G060</x:v>
      </x:c>
      <x:c r="D658" s="13" t="str">
        <x:v>锡锭</x:v>
      </x:c>
      <x:c r="E658" s="27" t="n">
        <x:v>2</x:v>
      </x:c>
      <x:c r="F658" s="27" t="n">
        <x:v>220</x:v>
      </x:c>
      <x:c r="G658" s="27" t="n">
        <x:v>19</x:v>
      </x:c>
      <x:c r="H658" s="27" t="n">
        <x:v>57</x:v>
      </x:c>
      <x:c r="I658" s="52" t="n">
        <x:v>1.08</x:v>
      </x:c>
      <x:c r="J658" s="13" t="str">
        <x:v>进口/区域转口</x:v>
      </x:c>
      <x:c r="K658" s="13" t="str">
        <x:v>每7个游戏日补充19货载单位。由区域商队或NPC货船带入；为港口转售供货，不改变商品的原产地区。</x:v>
      </x:c>
      <x:c r="L658" s="13" t="str">
        <x:v>港口发展度达到D2（≥250点）；不要求武装度。</x:v>
      </x:c>
    </x:row>
    <x:row r="659" ht="42" customHeight="1">
      <x:c r="A659" s="15" t="str">
        <x:v>P073</x:v>
      </x:c>
      <x:c r="B659" s="15" t="str">
        <x:v>巨港</x:v>
      </x:c>
      <x:c r="C659" s="15" t="str">
        <x:v>G029</x:v>
      </x:c>
      <x:c r="D659" s="15" t="str">
        <x:v>胡椒</x:v>
      </x:c>
      <x:c r="E659" s="30" t="n">
        <x:v>3</x:v>
      </x:c>
      <x:c r="F659" s="30" t="n">
        <x:v>260</x:v>
      </x:c>
      <x:c r="G659" s="30" t="n">
        <x:v>13</x:v>
      </x:c>
      <x:c r="H659" s="30" t="n">
        <x:v>39</x:v>
      </x:c>
      <x:c r="I659" s="54" t="n">
        <x:v>1.14</x:v>
      </x:c>
      <x:c r="J659" s="15" t="str">
        <x:v>进口/区域转口</x:v>
      </x:c>
      <x:c r="K659" s="15" t="str">
        <x:v>每7个游戏日补充13货载单位。由区域商队或NPC货船带入；为港口转售供货，不改变商品的原产地区。</x:v>
      </x:c>
      <x:c r="L659" s="15" t="str">
        <x:v>港口发展度达到D3（≥450点）；不要求武装度。</x:v>
      </x:c>
    </x:row>
    <x:row r="660" ht="42" customHeight="1">
      <x:c r="A660" s="13" t="str">
        <x:v>P073</x:v>
      </x:c>
      <x:c r="B660" s="13" t="str">
        <x:v>巨港</x:v>
      </x:c>
      <x:c r="C660" s="13" t="str">
        <x:v>G043</x:v>
      </x:c>
      <x:c r="D660" s="13" t="str">
        <x:v>棉布</x:v>
      </x:c>
      <x:c r="E660" s="27" t="n">
        <x:v>4</x:v>
      </x:c>
      <x:c r="F660" s="27" t="n">
        <x:v>160</x:v>
      </x:c>
      <x:c r="G660" s="27" t="n">
        <x:v>46</x:v>
      </x:c>
      <x:c r="H660" s="27" t="n">
        <x:v>138</x:v>
      </x:c>
      <x:c r="I660" s="52" t="n">
        <x:v>0.87</x:v>
      </x:c>
      <x:c r="J660" s="13" t="str">
        <x:v>本港生产/腹地集散/港内加工</x:v>
      </x:c>
      <x:c r="K660" s="13" t="str">
        <x:v>每7个游戏日补充46货载单位。本地、所属岛链或相连腹地供货；成品由港内工坊加工，贸易规模是本作设计。</x:v>
      </x:c>
      <x:c r="L660" s="13" t="str">
        <x:v>港口发展度达到D4（≥700点）；不要求武装度。</x:v>
      </x:c>
    </x:row>
    <x:row r="661" ht="42" customHeight="1">
      <x:c r="A661" s="15" t="str">
        <x:v>P073</x:v>
      </x:c>
      <x:c r="B661" s="15" t="str">
        <x:v>巨港</x:v>
      </x:c>
      <x:c r="C661" s="15" t="str">
        <x:v>G047</x:v>
      </x:c>
      <x:c r="D661" s="15" t="str">
        <x:v>锦缎</x:v>
      </x:c>
      <x:c r="E661" s="30" t="n">
        <x:v>5</x:v>
      </x:c>
      <x:c r="F661" s="30" t="n">
        <x:v>850</x:v>
      </x:c>
      <x:c r="G661" s="30" t="n">
        <x:v>39</x:v>
      </x:c>
      <x:c r="H661" s="30" t="n">
        <x:v>117</x:v>
      </x:c>
      <x:c r="I661" s="54" t="n">
        <x:v>0.87</x:v>
      </x:c>
      <x:c r="J661" s="15" t="str">
        <x:v>本港生产/腹地集散/港内加工</x:v>
      </x:c>
      <x:c r="K661" s="15" t="str">
        <x:v>每7个游戏日补充39货载单位。本地、所属岛链或相连腹地供货；成品由港内工坊加工，贸易规模是本作设计。</x:v>
      </x:c>
      <x:c r="L661" s="15" t="str">
        <x:v>港口发展度达到D5（≥1000点）；不要求武装度。</x:v>
      </x:c>
    </x:row>
    <x:row r="662" ht="42" customHeight="1">
      <x:c r="A662" s="13" t="str">
        <x:v>P073</x:v>
      </x:c>
      <x:c r="B662" s="13" t="str">
        <x:v>巨港</x:v>
      </x:c>
      <x:c r="C662" s="13" t="str">
        <x:v>SP073</x:v>
      </x:c>
      <x:c r="D662" s="13" t="str">
        <x:v>穆西金河织锦</x:v>
      </x:c>
      <x:c r="E662" s="27" t="n">
        <x:v>3</x:v>
      </x:c>
      <x:c r="F662" s="27" t="n">
        <x:v>990</x:v>
      </x:c>
      <x:c r="G662" s="27" t="n">
        <x:v>9</x:v>
      </x:c>
      <x:c r="H662" s="27" t="n">
        <x:v>18</x:v>
      </x:c>
      <x:c r="I662" s="52" t="n">
        <x:v>0.78</x:v>
      </x:c>
      <x:c r="J662" s="13" t="str">
        <x:v>港口独占原创工坊特产</x:v>
      </x:c>
      <x:c r="K662" s="13" t="str">
        <x:v>每7个游戏日由「金河织锦公所」交货9货载；只在本港形成稳定产源。</x:v>
      </x:c>
      <x:c r="L662" s="13" t="str">
        <x:v>港口发展度达到D3（≥450点）时，投资项目「金河织锦公所」自动完工；不要求武装度。</x:v>
      </x:c>
    </x:row>
    <x:row r="663" ht="42" customHeight="1">
      <x:c r="A663" s="15" t="str">
        <x:v>P074</x:v>
      </x:c>
      <x:c r="B663" s="15" t="str">
        <x:v>文莱</x:v>
      </x:c>
      <x:c r="C663" s="15" t="str">
        <x:v>G106</x:v>
      </x:c>
      <x:c r="D663" s="15" t="str">
        <x:v>西谷米</x:v>
      </x:c>
      <x:c r="E663" s="30" t="n">
        <x:v>0</x:v>
      </x:c>
      <x:c r="F663" s="30" t="n">
        <x:v>43</x:v>
      </x:c>
      <x:c r="G663" s="30" t="n">
        <x:v>189</x:v>
      </x:c>
      <x:c r="H663" s="30" t="n">
        <x:v>567</x:v>
      </x:c>
      <x:c r="I663" s="54" t="n">
        <x:v>0.74</x:v>
      </x:c>
      <x:c r="J663" s="15" t="str">
        <x:v>本港生产/腹地集散/港内加工</x:v>
      </x:c>
      <x:c r="K663" s="15" t="str">
        <x:v>每7个游戏日补充189货载单位。本地、所属岛链或相连腹地供货；成品由港内工坊加工，贸易规模是本作设计。</x:v>
      </x:c>
      <x:c r="L663" s="15" t="str">
        <x:v>港口发展度达到D0（≥0点）；不要求武装度。</x:v>
      </x:c>
    </x:row>
    <x:row r="664" ht="42" customHeight="1">
      <x:c r="A664" s="13" t="str">
        <x:v>P074</x:v>
      </x:c>
      <x:c r="B664" s="13" t="str">
        <x:v>文莱</x:v>
      </x:c>
      <x:c r="C664" s="13" t="str">
        <x:v>G015</x:v>
      </x:c>
      <x:c r="D664" s="13" t="str">
        <x:v>咸鱼</x:v>
      </x:c>
      <x:c r="E664" s="27" t="n">
        <x:v>0</x:v>
      </x:c>
      <x:c r="F664" s="27" t="n">
        <x:v>65</x:v>
      </x:c>
      <x:c r="G664" s="27" t="n">
        <x:v>147</x:v>
      </x:c>
      <x:c r="H664" s="27" t="n">
        <x:v>441</x:v>
      </x:c>
      <x:c r="I664" s="52" t="n">
        <x:v>0.74</x:v>
      </x:c>
      <x:c r="J664" s="13" t="str">
        <x:v>本港生产/腹地集散/港内加工</x:v>
      </x:c>
      <x:c r="K664" s="13" t="str">
        <x:v>每7个游戏日补充147货载单位。本地、所属岛链或相连腹地供货；成品由港内工坊加工，贸易规模是本作设计。</x:v>
      </x:c>
      <x:c r="L664" s="13" t="str">
        <x:v>港口发展度达到D0（≥0点）；不要求武装度。</x:v>
      </x:c>
    </x:row>
    <x:row r="665" ht="42" customHeight="1">
      <x:c r="A665" s="15" t="str">
        <x:v>P074</x:v>
      </x:c>
      <x:c r="B665" s="15" t="str">
        <x:v>文莱</x:v>
      </x:c>
      <x:c r="C665" s="15" t="str">
        <x:v>G107</x:v>
      </x:c>
      <x:c r="D665" s="15" t="str">
        <x:v>藤材</x:v>
      </x:c>
      <x:c r="E665" s="30" t="n">
        <x:v>1</x:v>
      </x:c>
      <x:c r="F665" s="30" t="n">
        <x:v>75</x:v>
      </x:c>
      <x:c r="G665" s="30" t="n">
        <x:v>110</x:v>
      </x:c>
      <x:c r="H665" s="30" t="n">
        <x:v>330</x:v>
      </x:c>
      <x:c r="I665" s="54" t="n">
        <x:v>0.74</x:v>
      </x:c>
      <x:c r="J665" s="15" t="str">
        <x:v>本港生产/腹地集散/港内加工</x:v>
      </x:c>
      <x:c r="K665" s="15" t="str">
        <x:v>每7个游戏日补充110货载单位。本地、所属岛链或相连腹地供货；成品由港内工坊加工，贸易规模是本作设计。</x:v>
      </x:c>
      <x:c r="L665" s="15" t="str">
        <x:v>港口发展度达到D1（≥100点）；不要求武装度。</x:v>
      </x:c>
    </x:row>
    <x:row r="666" ht="42" customHeight="1">
      <x:c r="A666" s="13" t="str">
        <x:v>P074</x:v>
      </x:c>
      <x:c r="B666" s="13" t="str">
        <x:v>文莱</x:v>
      </x:c>
      <x:c r="C666" s="13" t="str">
        <x:v>G110</x:v>
      </x:c>
      <x:c r="D666" s="13" t="str">
        <x:v>硬木</x:v>
      </x:c>
      <x:c r="E666" s="27" t="n">
        <x:v>1</x:v>
      </x:c>
      <x:c r="F666" s="27" t="n">
        <x:v>135</x:v>
      </x:c>
      <x:c r="G666" s="27" t="n">
        <x:v>110</x:v>
      </x:c>
      <x:c r="H666" s="27" t="n">
        <x:v>330</x:v>
      </x:c>
      <x:c r="I666" s="52" t="n">
        <x:v>0.74</x:v>
      </x:c>
      <x:c r="J666" s="13" t="str">
        <x:v>本港生产/腹地集散/港内加工</x:v>
      </x:c>
      <x:c r="K666" s="13" t="str">
        <x:v>每7个游戏日补充110货载单位。本地、所属岛链或相连腹地供货；成品由港内工坊加工，贸易规模是本作设计。</x:v>
      </x:c>
      <x:c r="L666" s="13" t="str">
        <x:v>港口发展度达到D1（≥100点）；不要求武装度。</x:v>
      </x:c>
    </x:row>
    <x:row r="667" ht="42" customHeight="1">
      <x:c r="A667" s="15" t="str">
        <x:v>P074</x:v>
      </x:c>
      <x:c r="B667" s="15" t="str">
        <x:v>文莱</x:v>
      </x:c>
      <x:c r="C667" s="15" t="str">
        <x:v>G053</x:v>
      </x:c>
      <x:c r="D667" s="15" t="str">
        <x:v>黑檀木</x:v>
      </x:c>
      <x:c r="E667" s="30" t="n">
        <x:v>2</x:v>
      </x:c>
      <x:c r="F667" s="30" t="n">
        <x:v>360</x:v>
      </x:c>
      <x:c r="G667" s="30" t="n">
        <x:v>98</x:v>
      </x:c>
      <x:c r="H667" s="30" t="n">
        <x:v>294</x:v>
      </x:c>
      <x:c r="I667" s="54" t="n">
        <x:v>0.8</x:v>
      </x:c>
      <x:c r="J667" s="15" t="str">
        <x:v>本港生产/腹地集散/港内加工</x:v>
      </x:c>
      <x:c r="K667" s="15" t="str">
        <x:v>每7个游戏日补充98货载单位。本地、所属岛链或相连腹地供货；成品由港内工坊加工，贸易规模是本作设计。</x:v>
      </x:c>
      <x:c r="L667" s="15" t="str">
        <x:v>港口发展度达到D2（≥250点）；不要求武装度。</x:v>
      </x:c>
    </x:row>
    <x:row r="668" ht="42" customHeight="1">
      <x:c r="A668" s="13" t="str">
        <x:v>P074</x:v>
      </x:c>
      <x:c r="B668" s="13" t="str">
        <x:v>文莱</x:v>
      </x:c>
      <x:c r="C668" s="13" t="str">
        <x:v>G090</x:v>
      </x:c>
      <x:c r="D668" s="13" t="str">
        <x:v>树脂</x:v>
      </x:c>
      <x:c r="E668" s="27" t="n">
        <x:v>3</x:v>
      </x:c>
      <x:c r="F668" s="27" t="n">
        <x:v>95</x:v>
      </x:c>
      <x:c r="G668" s="27" t="n">
        <x:v>53</x:v>
      </x:c>
      <x:c r="H668" s="27" t="n">
        <x:v>159</x:v>
      </x:c>
      <x:c r="I668" s="52" t="n">
        <x:v>0.8</x:v>
      </x:c>
      <x:c r="J668" s="13" t="str">
        <x:v>本港生产/腹地集散/港内加工</x:v>
      </x:c>
      <x:c r="K668" s="13" t="str">
        <x:v>每7个游戏日补充53货载单位。本地、所属岛链或相连腹地供货；成品由港内工坊加工，贸易规模是本作设计。</x:v>
      </x:c>
      <x:c r="L668" s="13" t="str">
        <x:v>港口发展度达到D3（≥450点）；不要求武装度。</x:v>
      </x:c>
    </x:row>
    <x:row r="669" ht="42" customHeight="1">
      <x:c r="A669" s="15" t="str">
        <x:v>P074</x:v>
      </x:c>
      <x:c r="B669" s="15" t="str">
        <x:v>文莱</x:v>
      </x:c>
      <x:c r="C669" s="15" t="str">
        <x:v>G074</x:v>
      </x:c>
      <x:c r="D669" s="15" t="str">
        <x:v>珍珠</x:v>
      </x:c>
      <x:c r="E669" s="30" t="n">
        <x:v>4</x:v>
      </x:c>
      <x:c r="F669" s="30" t="n">
        <x:v>680</x:v>
      </x:c>
      <x:c r="G669" s="30" t="n">
        <x:v>5</x:v>
      </x:c>
      <x:c r="H669" s="30" t="n">
        <x:v>15</x:v>
      </x:c>
      <x:c r="I669" s="54" t="n">
        <x:v>0.87</x:v>
      </x:c>
      <x:c r="J669" s="15" t="str">
        <x:v>本港生产/腹地集散/港内加工</x:v>
      </x:c>
      <x:c r="K669" s="15" t="str">
        <x:v>每7个游戏日补充5货载单位。本地、所属岛链或相连腹地供货；成品由港内工坊加工，贸易规模是本作设计。</x:v>
      </x:c>
      <x:c r="L669" s="15" t="str">
        <x:v>港口发展度达到D4（≥700点）；不要求武装度。</x:v>
      </x:c>
    </x:row>
    <x:row r="670" ht="42" customHeight="1">
      <x:c r="A670" s="13" t="str">
        <x:v>P074</x:v>
      </x:c>
      <x:c r="B670" s="13" t="str">
        <x:v>文莱</x:v>
      </x:c>
      <x:c r="C670" s="13" t="str">
        <x:v>G096</x:v>
      </x:c>
      <x:c r="D670" s="13" t="str">
        <x:v>贝壳工艺品</x:v>
      </x:c>
      <x:c r="E670" s="27" t="n">
        <x:v>5</x:v>
      </x:c>
      <x:c r="F670" s="27" t="n">
        <x:v>210</x:v>
      </x:c>
      <x:c r="G670" s="27" t="n">
        <x:v>16</x:v>
      </x:c>
      <x:c r="H670" s="27" t="n">
        <x:v>48</x:v>
      </x:c>
      <x:c r="I670" s="52" t="n">
        <x:v>0.87</x:v>
      </x:c>
      <x:c r="J670" s="13" t="str">
        <x:v>本港生产/腹地集散/港内加工</x:v>
      </x:c>
      <x:c r="K670" s="13" t="str">
        <x:v>每7个游戏日补充16货载单位。本地、所属岛链或相连腹地供货；成品由港内工坊加工，贸易规模是本作设计。</x:v>
      </x:c>
      <x:c r="L670" s="13" t="str">
        <x:v>港口发展度达到D5（≥1000点）；不要求武装度。</x:v>
      </x:c>
    </x:row>
    <x:row r="671" ht="42" customHeight="1">
      <x:c r="A671" s="15" t="str">
        <x:v>P074</x:v>
      </x:c>
      <x:c r="B671" s="15" t="str">
        <x:v>文莱</x:v>
      </x:c>
      <x:c r="C671" s="15" t="str">
        <x:v>SP074</x:v>
      </x:c>
      <x:c r="D671" s="15" t="str">
        <x:v>水宫沉纹木屏</x:v>
      </x:c>
      <x:c r="E671" s="30" t="n">
        <x:v>4</x:v>
      </x:c>
      <x:c r="F671" s="30" t="n">
        <x:v>1040</x:v>
      </x:c>
      <x:c r="G671" s="30" t="n">
        <x:v>6</x:v>
      </x:c>
      <x:c r="H671" s="30" t="n">
        <x:v>12</x:v>
      </x:c>
      <x:c r="I671" s="54" t="n">
        <x:v>0.78</x:v>
      </x:c>
      <x:c r="J671" s="15" t="str">
        <x:v>港口独占原创工坊特产</x:v>
      </x:c>
      <x:c r="K671" s="15" t="str">
        <x:v>每7个游戏日由「水宫折屏木作坊」交货6货载；只在本港形成稳定产源。</x:v>
      </x:c>
      <x:c r="L671" s="15" t="str">
        <x:v>港口发展度达到D4（≥700点）时，投资项目「水宫折屏木作坊」自动完工；不要求武装度。</x:v>
      </x:c>
    </x:row>
    <x:row r="672" ht="42" customHeight="1">
      <x:c r="A672" s="13" t="str">
        <x:v>P075</x:v>
      </x:c>
      <x:c r="B672" s="13" t="str">
        <x:v>望加锡</x:v>
      </x:c>
      <x:c r="C672" s="13" t="str">
        <x:v>G004</x:v>
      </x:c>
      <x:c r="D672" s="13" t="str">
        <x:v>稻米</x:v>
      </x:c>
      <x:c r="E672" s="27" t="n">
        <x:v>0</x:v>
      </x:c>
      <x:c r="F672" s="27" t="n">
        <x:v>55</x:v>
      </x:c>
      <x:c r="G672" s="27" t="n">
        <x:v>214</x:v>
      </x:c>
      <x:c r="H672" s="27" t="n">
        <x:v>642</x:v>
      </x:c>
      <x:c r="I672" s="52" t="n">
        <x:v>0.74</x:v>
      </x:c>
      <x:c r="J672" s="13" t="str">
        <x:v>本港生产/腹地集散/港内加工</x:v>
      </x:c>
      <x:c r="K672" s="13" t="str">
        <x:v>每7个游戏日补充214货载单位。本地、所属岛链或相连腹地供货；成品由港内工坊加工，贸易规模是本作设计。</x:v>
      </x:c>
      <x:c r="L672" s="13" t="str">
        <x:v>港口发展度达到D0（≥0点）；不要求武装度。</x:v>
      </x:c>
    </x:row>
    <x:row r="673" ht="42" customHeight="1">
      <x:c r="A673" s="15" t="str">
        <x:v>P075</x:v>
      </x:c>
      <x:c r="B673" s="15" t="str">
        <x:v>望加锡</x:v>
      </x:c>
      <x:c r="C673" s="15" t="str">
        <x:v>G095</x:v>
      </x:c>
      <x:c r="D673" s="15" t="str">
        <x:v>干椰肉</x:v>
      </x:c>
      <x:c r="E673" s="30" t="n">
        <x:v>0</x:v>
      </x:c>
      <x:c r="F673" s="30" t="n">
        <x:v>60</x:v>
      </x:c>
      <x:c r="G673" s="30" t="n">
        <x:v>167</x:v>
      </x:c>
      <x:c r="H673" s="30" t="n">
        <x:v>501</x:v>
      </x:c>
      <x:c r="I673" s="54" t="n">
        <x:v>0.74</x:v>
      </x:c>
      <x:c r="J673" s="15" t="str">
        <x:v>本港生产/腹地集散/港内加工</x:v>
      </x:c>
      <x:c r="K673" s="15" t="str">
        <x:v>每7个游戏日补充167货载单位。本地、所属岛链或相连腹地供货；成品由港内工坊加工，贸易规模是本作设计。</x:v>
      </x:c>
      <x:c r="L673" s="15" t="str">
        <x:v>港口发展度达到D0（≥0点）；不要求武装度。</x:v>
      </x:c>
    </x:row>
    <x:row r="674" ht="42" customHeight="1">
      <x:c r="A674" s="13" t="str">
        <x:v>P075</x:v>
      </x:c>
      <x:c r="B674" s="13" t="str">
        <x:v>望加锡</x:v>
      </x:c>
      <x:c r="C674" s="13" t="str">
        <x:v>G015</x:v>
      </x:c>
      <x:c r="D674" s="13" t="str">
        <x:v>咸鱼</x:v>
      </x:c>
      <x:c r="E674" s="27" t="n">
        <x:v>1</x:v>
      </x:c>
      <x:c r="F674" s="27" t="n">
        <x:v>65</x:v>
      </x:c>
      <x:c r="G674" s="27" t="n">
        <x:v>158</x:v>
      </x:c>
      <x:c r="H674" s="27" t="n">
        <x:v>474</x:v>
      </x:c>
      <x:c r="I674" s="52" t="n">
        <x:v>0.74</x:v>
      </x:c>
      <x:c r="J674" s="13" t="str">
        <x:v>本港生产/腹地集散/港内加工</x:v>
      </x:c>
      <x:c r="K674" s="13" t="str">
        <x:v>每7个游戏日补充158货载单位。本地、所属岛链或相连腹地供货；成品由港内工坊加工，贸易规模是本作设计。</x:v>
      </x:c>
      <x:c r="L674" s="13" t="str">
        <x:v>港口发展度达到D1（≥100点）；不要求武装度。</x:v>
      </x:c>
    </x:row>
    <x:row r="675" ht="42" customHeight="1">
      <x:c r="A675" s="15" t="str">
        <x:v>P075</x:v>
      </x:c>
      <x:c r="B675" s="15" t="str">
        <x:v>望加锡</x:v>
      </x:c>
      <x:c r="C675" s="15" t="str">
        <x:v>G110</x:v>
      </x:c>
      <x:c r="D675" s="15" t="str">
        <x:v>硬木</x:v>
      </x:c>
      <x:c r="E675" s="30" t="n">
        <x:v>1</x:v>
      </x:c>
      <x:c r="F675" s="30" t="n">
        <x:v>135</x:v>
      </x:c>
      <x:c r="G675" s="30" t="n">
        <x:v>124</x:v>
      </x:c>
      <x:c r="H675" s="30" t="n">
        <x:v>372</x:v>
      </x:c>
      <x:c r="I675" s="54" t="n">
        <x:v>0.74</x:v>
      </x:c>
      <x:c r="J675" s="15" t="str">
        <x:v>本港生产/腹地集散/港内加工</x:v>
      </x:c>
      <x:c r="K675" s="15" t="str">
        <x:v>每7个游戏日补充124货载单位。本地、所属岛链或相连腹地供货；成品由港内工坊加工，贸易规模是本作设计。</x:v>
      </x:c>
      <x:c r="L675" s="15" t="str">
        <x:v>港口发展度达到D1（≥100点）；不要求武装度。</x:v>
      </x:c>
    </x:row>
    <x:row r="676" ht="42" customHeight="1">
      <x:c r="A676" s="13" t="str">
        <x:v>P075</x:v>
      </x:c>
      <x:c r="B676" s="13" t="str">
        <x:v>望加锡</x:v>
      </x:c>
      <x:c r="C676" s="13" t="str">
        <x:v>G107</x:v>
      </x:c>
      <x:c r="D676" s="13" t="str">
        <x:v>藤材</x:v>
      </x:c>
      <x:c r="E676" s="27" t="n">
        <x:v>2</x:v>
      </x:c>
      <x:c r="F676" s="27" t="n">
        <x:v>75</x:v>
      </x:c>
      <x:c r="G676" s="27" t="n">
        <x:v>111</x:v>
      </x:c>
      <x:c r="H676" s="27" t="n">
        <x:v>333</x:v>
      </x:c>
      <x:c r="I676" s="52" t="n">
        <x:v>0.8</x:v>
      </x:c>
      <x:c r="J676" s="13" t="str">
        <x:v>本港生产/腹地集散/港内加工</x:v>
      </x:c>
      <x:c r="K676" s="13" t="str">
        <x:v>每7个游戏日补充111货载单位。本地、所属岛链或相连腹地供货；成品由港内工坊加工，贸易规模是本作设计。</x:v>
      </x:c>
      <x:c r="L676" s="13" t="str">
        <x:v>港口发展度达到D2（≥250点）；不要求武装度。</x:v>
      </x:c>
    </x:row>
    <x:row r="677" ht="42" customHeight="1">
      <x:c r="A677" s="15" t="str">
        <x:v>P075</x:v>
      </x:c>
      <x:c r="B677" s="15" t="str">
        <x:v>望加锡</x:v>
      </x:c>
      <x:c r="C677" s="15" t="str">
        <x:v>G030</x:v>
      </x:c>
      <x:c r="D677" s="15" t="str">
        <x:v>丁香</x:v>
      </x:c>
      <x:c r="E677" s="30" t="n">
        <x:v>3</x:v>
      </x:c>
      <x:c r="F677" s="30" t="n">
        <x:v>520</x:v>
      </x:c>
      <x:c r="G677" s="30" t="n">
        <x:v>14</x:v>
      </x:c>
      <x:c r="H677" s="30" t="n">
        <x:v>42</x:v>
      </x:c>
      <x:c r="I677" s="54" t="n">
        <x:v>1.14</x:v>
      </x:c>
      <x:c r="J677" s="15" t="str">
        <x:v>进口/区域转口</x:v>
      </x:c>
      <x:c r="K677" s="15" t="str">
        <x:v>每7个游戏日补充14货载单位。由区域商队或NPC货船带入；为港口转售供货，不改变商品的原产地区。</x:v>
      </x:c>
      <x:c r="L677" s="15" t="str">
        <x:v>港口发展度达到D3（≥450点）；不要求武装度。</x:v>
      </x:c>
    </x:row>
    <x:row r="678" ht="42" customHeight="1">
      <x:c r="A678" s="13" t="str">
        <x:v>P075</x:v>
      </x:c>
      <x:c r="B678" s="13" t="str">
        <x:v>望加锡</x:v>
      </x:c>
      <x:c r="C678" s="13" t="str">
        <x:v>G031</x:v>
      </x:c>
      <x:c r="D678" s="13" t="str">
        <x:v>肉豆蔻</x:v>
      </x:c>
      <x:c r="E678" s="27" t="n">
        <x:v>4</x:v>
      </x:c>
      <x:c r="F678" s="27" t="n">
        <x:v>490</x:v>
      </x:c>
      <x:c r="G678" s="27" t="n">
        <x:v>12</x:v>
      </x:c>
      <x:c r="H678" s="27" t="n">
        <x:v>36</x:v>
      </x:c>
      <x:c r="I678" s="52" t="n">
        <x:v>1.14</x:v>
      </x:c>
      <x:c r="J678" s="13" t="str">
        <x:v>进口/区域转口</x:v>
      </x:c>
      <x:c r="K678" s="13" t="str">
        <x:v>每7个游戏日补充12货载单位。由区域商队或NPC货船带入；为港口转售供货，不改变商品的原产地区。</x:v>
      </x:c>
      <x:c r="L678" s="13" t="str">
        <x:v>港口发展度达到D4（≥700点）；不要求武装度。</x:v>
      </x:c>
    </x:row>
    <x:row r="679" ht="42" customHeight="1">
      <x:c r="A679" s="15" t="str">
        <x:v>P075</x:v>
      </x:c>
      <x:c r="B679" s="15" t="str">
        <x:v>望加锡</x:v>
      </x:c>
      <x:c r="C679" s="15" t="str">
        <x:v>G096</x:v>
      </x:c>
      <x:c r="D679" s="15" t="str">
        <x:v>贝壳工艺品</x:v>
      </x:c>
      <x:c r="E679" s="30" t="n">
        <x:v>5</x:v>
      </x:c>
      <x:c r="F679" s="30" t="n">
        <x:v>210</x:v>
      </x:c>
      <x:c r="G679" s="30" t="n">
        <x:v>19</x:v>
      </x:c>
      <x:c r="H679" s="30" t="n">
        <x:v>57</x:v>
      </x:c>
      <x:c r="I679" s="54" t="n">
        <x:v>0.87</x:v>
      </x:c>
      <x:c r="J679" s="15" t="str">
        <x:v>本港生产/腹地集散/港内加工</x:v>
      </x:c>
      <x:c r="K679" s="15" t="str">
        <x:v>每7个游戏日补充19货载单位。本地、所属岛链或相连腹地供货；成品由港内工坊加工，贸易规模是本作设计。</x:v>
      </x:c>
      <x:c r="L679" s="15" t="str">
        <x:v>港口发展度达到D5（≥1000点）；不要求武装度。</x:v>
      </x:c>
    </x:row>
    <x:row r="680" ht="42" customHeight="1">
      <x:c r="A680" s="13" t="str">
        <x:v>P075</x:v>
      </x:c>
      <x:c r="B680" s="13" t="str">
        <x:v>望加锡</x:v>
      </x:c>
      <x:c r="C680" s="13" t="str">
        <x:v>SP075</x:v>
      </x:c>
      <x:c r="D680" s="13" t="str">
        <x:v>南十字黑帆布</x:v>
      </x:c>
      <x:c r="E680" s="27" t="n">
        <x:v>3</x:v>
      </x:c>
      <x:c r="F680" s="27" t="n">
        <x:v>560</x:v>
      </x:c>
      <x:c r="G680" s="27" t="n">
        <x:v>10</x:v>
      </x:c>
      <x:c r="H680" s="27" t="n">
        <x:v>20</x:v>
      </x:c>
      <x:c r="I680" s="52" t="n">
        <x:v>0.78</x:v>
      </x:c>
      <x:c r="J680" s="13" t="str">
        <x:v>港口独占原创工坊特产</x:v>
      </x:c>
      <x:c r="K680" s="13" t="str">
        <x:v>每7个游戏日由「黑帆染织工坊」交货10货载；只在本港形成稳定产源。</x:v>
      </x:c>
      <x:c r="L680" s="13" t="str">
        <x:v>港口发展度达到D3（≥450点）时，投资项目「黑帆染织工坊」自动完工；不要求武装度。</x:v>
      </x:c>
    </x:row>
    <x:row r="681" ht="42" customHeight="1">
      <x:c r="A681" s="15" t="str">
        <x:v>P076</x:v>
      </x:c>
      <x:c r="B681" s="15" t="str">
        <x:v>特尔纳特</x:v>
      </x:c>
      <x:c r="C681" s="15" t="str">
        <x:v>G004</x:v>
      </x:c>
      <x:c r="D681" s="15" t="str">
        <x:v>稻米</x:v>
      </x:c>
      <x:c r="E681" s="30" t="n">
        <x:v>0</x:v>
      </x:c>
      <x:c r="F681" s="30" t="n">
        <x:v>55</x:v>
      </x:c>
      <x:c r="G681" s="30" t="n">
        <x:v>98</x:v>
      </x:c>
      <x:c r="H681" s="30" t="n">
        <x:v>294</x:v>
      </x:c>
      <x:c r="I681" s="54" t="n">
        <x:v>1.08</x:v>
      </x:c>
      <x:c r="J681" s="15" t="str">
        <x:v>进口/区域转口</x:v>
      </x:c>
      <x:c r="K681" s="15" t="str">
        <x:v>每7个游戏日补充98货载单位。由区域商队或NPC货船带入；为港口转售供货，不改变商品的原产地区。</x:v>
      </x:c>
      <x:c r="L681" s="15" t="str">
        <x:v>港口发展度达到D0（≥0点）；不要求武装度。</x:v>
      </x:c>
    </x:row>
    <x:row r="682" ht="42" customHeight="1">
      <x:c r="A682" s="13" t="str">
        <x:v>P076</x:v>
      </x:c>
      <x:c r="B682" s="13" t="str">
        <x:v>特尔纳特</x:v>
      </x:c>
      <x:c r="C682" s="13" t="str">
        <x:v>G015</x:v>
      </x:c>
      <x:c r="D682" s="13" t="str">
        <x:v>咸鱼</x:v>
      </x:c>
      <x:c r="E682" s="27" t="n">
        <x:v>0</x:v>
      </x:c>
      <x:c r="F682" s="27" t="n">
        <x:v>65</x:v>
      </x:c>
      <x:c r="G682" s="27" t="n">
        <x:v>147</x:v>
      </x:c>
      <x:c r="H682" s="27" t="n">
        <x:v>441</x:v>
      </x:c>
      <x:c r="I682" s="52" t="n">
        <x:v>0.74</x:v>
      </x:c>
      <x:c r="J682" s="13" t="str">
        <x:v>本港生产/腹地集散/港内加工</x:v>
      </x:c>
      <x:c r="K682" s="13" t="str">
        <x:v>每7个游戏日补充147货载单位。本地、所属岛链或相连腹地供货；成品由港内工坊加工，贸易规模是本作设计。</x:v>
      </x:c>
      <x:c r="L682" s="13" t="str">
        <x:v>港口发展度达到D0（≥0点）；不要求武装度。</x:v>
      </x:c>
    </x:row>
    <x:row r="683" ht="42" customHeight="1">
      <x:c r="A683" s="15" t="str">
        <x:v>P076</x:v>
      </x:c>
      <x:c r="B683" s="15" t="str">
        <x:v>特尔纳特</x:v>
      </x:c>
      <x:c r="C683" s="15" t="str">
        <x:v>G095</x:v>
      </x:c>
      <x:c r="D683" s="15" t="str">
        <x:v>干椰肉</x:v>
      </x:c>
      <x:c r="E683" s="30" t="n">
        <x:v>1</x:v>
      </x:c>
      <x:c r="F683" s="30" t="n">
        <x:v>60</x:v>
      </x:c>
      <x:c r="G683" s="30" t="n">
        <x:v>140</x:v>
      </x:c>
      <x:c r="H683" s="30" t="n">
        <x:v>420</x:v>
      </x:c>
      <x:c r="I683" s="54" t="n">
        <x:v>0.74</x:v>
      </x:c>
      <x:c r="J683" s="15" t="str">
        <x:v>本港生产/腹地集散/港内加工</x:v>
      </x:c>
      <x:c r="K683" s="15" t="str">
        <x:v>每7个游戏日补充140货载单位。本地、所属岛链或相连腹地供货；成品由港内工坊加工，贸易规模是本作设计。</x:v>
      </x:c>
      <x:c r="L683" s="15" t="str">
        <x:v>港口发展度达到D1（≥100点）；不要求武装度。</x:v>
      </x:c>
    </x:row>
    <x:row r="684" ht="42" customHeight="1">
      <x:c r="A684" s="13" t="str">
        <x:v>P076</x:v>
      </x:c>
      <x:c r="B684" s="13" t="str">
        <x:v>特尔纳特</x:v>
      </x:c>
      <x:c r="C684" s="13" t="str">
        <x:v>G030</x:v>
      </x:c>
      <x:c r="D684" s="13" t="str">
        <x:v>丁香</x:v>
      </x:c>
      <x:c r="E684" s="27" t="n">
        <x:v>1</x:v>
      </x:c>
      <x:c r="F684" s="27" t="n">
        <x:v>520</x:v>
      </x:c>
      <x:c r="G684" s="27" t="n">
        <x:v>32</x:v>
      </x:c>
      <x:c r="H684" s="27" t="n">
        <x:v>96</x:v>
      </x:c>
      <x:c r="I684" s="52" t="n">
        <x:v>0.74</x:v>
      </x:c>
      <x:c r="J684" s="13" t="str">
        <x:v>本港生产/腹地集散/港内加工</x:v>
      </x:c>
      <x:c r="K684" s="13" t="str">
        <x:v>每7个游戏日补充32货载单位。本地、所属岛链或相连腹地供货；成品由港内工坊加工，贸易规模是本作设计。</x:v>
      </x:c>
      <x:c r="L684" s="13" t="str">
        <x:v>港口发展度达到D1（≥100点）；不要求武装度。</x:v>
      </x:c>
    </x:row>
    <x:row r="685" ht="42" customHeight="1">
      <x:c r="A685" s="15" t="str">
        <x:v>P076</x:v>
      </x:c>
      <x:c r="B685" s="15" t="str">
        <x:v>特尔纳特</x:v>
      </x:c>
      <x:c r="C685" s="15" t="str">
        <x:v>G065</x:v>
      </x:c>
      <x:c r="D685" s="15" t="str">
        <x:v>硫磺</x:v>
      </x:c>
      <x:c r="E685" s="30" t="n">
        <x:v>2</x:v>
      </x:c>
      <x:c r="F685" s="30" t="n">
        <x:v>140</x:v>
      </x:c>
      <x:c r="G685" s="30" t="n">
        <x:v>76</x:v>
      </x:c>
      <x:c r="H685" s="30" t="n">
        <x:v>228</x:v>
      </x:c>
      <x:c r="I685" s="54" t="n">
        <x:v>0.8</x:v>
      </x:c>
      <x:c r="J685" s="15" t="str">
        <x:v>本港生产/腹地集散/港内加工</x:v>
      </x:c>
      <x:c r="K685" s="15" t="str">
        <x:v>每7个游戏日补充76货载单位。本地、所属岛链或相连腹地供货；成品由港内工坊加工，贸易规模是本作设计。</x:v>
      </x:c>
      <x:c r="L685" s="15" t="str">
        <x:v>港口发展度达到D2（≥250点）；不要求武装度。</x:v>
      </x:c>
    </x:row>
    <x:row r="686" ht="42" customHeight="1">
      <x:c r="A686" s="13" t="str">
        <x:v>P076</x:v>
      </x:c>
      <x:c r="B686" s="13" t="str">
        <x:v>特尔纳特</x:v>
      </x:c>
      <x:c r="C686" s="13" t="str">
        <x:v>G014</x:v>
      </x:c>
      <x:c r="D686" s="13" t="str">
        <x:v>椰子油</x:v>
      </x:c>
      <x:c r="E686" s="27" t="n">
        <x:v>3</x:v>
      </x:c>
      <x:c r="F686" s="27" t="n">
        <x:v>88</x:v>
      </x:c>
      <x:c r="G686" s="27" t="n">
        <x:v>106</x:v>
      </x:c>
      <x:c r="H686" s="27" t="n">
        <x:v>318</x:v>
      </x:c>
      <x:c r="I686" s="52" t="n">
        <x:v>0.8</x:v>
      </x:c>
      <x:c r="J686" s="13" t="str">
        <x:v>本港生产/腹地集散/港内加工</x:v>
      </x:c>
      <x:c r="K686" s="13" t="str">
        <x:v>每7个游戏日补充106货载单位。本地、所属岛链或相连腹地供货；成品由港内工坊加工，贸易规模是本作设计。</x:v>
      </x:c>
      <x:c r="L686" s="13" t="str">
        <x:v>港口发展度达到D3（≥450点）；不要求武装度。</x:v>
      </x:c>
    </x:row>
    <x:row r="687" ht="42" customHeight="1">
      <x:c r="A687" s="15" t="str">
        <x:v>P076</x:v>
      </x:c>
      <x:c r="B687" s="15" t="str">
        <x:v>特尔纳特</x:v>
      </x:c>
      <x:c r="C687" s="15" t="str">
        <x:v>G043</x:v>
      </x:c>
      <x:c r="D687" s="15" t="str">
        <x:v>棉布</x:v>
      </x:c>
      <x:c r="E687" s="30" t="n">
        <x:v>4</x:v>
      </x:c>
      <x:c r="F687" s="30" t="n">
        <x:v>160</x:v>
      </x:c>
      <x:c r="G687" s="30" t="n">
        <x:v>24</x:v>
      </x:c>
      <x:c r="H687" s="30" t="n">
        <x:v>72</x:v>
      </x:c>
      <x:c r="I687" s="54" t="n">
        <x:v>1.14</x:v>
      </x:c>
      <x:c r="J687" s="15" t="str">
        <x:v>进口/区域转口</x:v>
      </x:c>
      <x:c r="K687" s="15" t="str">
        <x:v>每7个游戏日补充24货载单位。由区域商队或NPC货船带入；为港口转售供货，不改变商品的原产地区。</x:v>
      </x:c>
      <x:c r="L687" s="15" t="str">
        <x:v>港口发展度达到D4（≥700点）；不要求武装度。</x:v>
      </x:c>
    </x:row>
    <x:row r="688" ht="42" customHeight="1">
      <x:c r="A688" s="13" t="str">
        <x:v>P076</x:v>
      </x:c>
      <x:c r="B688" s="13" t="str">
        <x:v>特尔纳特</x:v>
      </x:c>
      <x:c r="C688" s="13" t="str">
        <x:v>G096</x:v>
      </x:c>
      <x:c r="D688" s="13" t="str">
        <x:v>贝壳工艺品</x:v>
      </x:c>
      <x:c r="E688" s="27" t="n">
        <x:v>5</x:v>
      </x:c>
      <x:c r="F688" s="27" t="n">
        <x:v>210</x:v>
      </x:c>
      <x:c r="G688" s="27" t="n">
        <x:v>16</x:v>
      </x:c>
      <x:c r="H688" s="27" t="n">
        <x:v>48</x:v>
      </x:c>
      <x:c r="I688" s="52" t="n">
        <x:v>0.87</x:v>
      </x:c>
      <x:c r="J688" s="13" t="str">
        <x:v>本港生产/腹地集散/港内加工</x:v>
      </x:c>
      <x:c r="K688" s="13" t="str">
        <x:v>每7个游戏日补充16货载单位。本地、所属岛链或相连腹地供货；成品由港内工坊加工，贸易规模是本作设计。</x:v>
      </x:c>
      <x:c r="L688" s="13" t="str">
        <x:v>港口发展度达到D5（≥1000点）；不要求武装度。</x:v>
      </x:c>
    </x:row>
    <x:row r="689" ht="42" customHeight="1">
      <x:c r="A689" s="15" t="str">
        <x:v>P076</x:v>
      </x:c>
      <x:c r="B689" s="15" t="str">
        <x:v>特尔纳特</x:v>
      </x:c>
      <x:c r="C689" s="15" t="str">
        <x:v>SP076</x:v>
      </x:c>
      <x:c r="D689" s="15" t="str">
        <x:v>火山赤蕊丁香</x:v>
      </x:c>
      <x:c r="E689" s="30" t="n">
        <x:v>3</x:v>
      </x:c>
      <x:c r="F689" s="30" t="n">
        <x:v>910</x:v>
      </x:c>
      <x:c r="G689" s="30" t="n">
        <x:v>9</x:v>
      </x:c>
      <x:c r="H689" s="30" t="n">
        <x:v>18</x:v>
      </x:c>
      <x:c r="I689" s="54" t="n">
        <x:v>0.78</x:v>
      </x:c>
      <x:c r="J689" s="15" t="str">
        <x:v>港口独占原创工坊特产</x:v>
      </x:c>
      <x:c r="K689" s="15" t="str">
        <x:v>每7个游戏日由「赤蕊丁香晾晒院」交货9货载；只在本港形成稳定产源。</x:v>
      </x:c>
      <x:c r="L689" s="15" t="str">
        <x:v>港口发展度达到D3（≥450点）时，投资项目「赤蕊丁香晾晒院」自动完工；不要求武装度。</x:v>
      </x:c>
    </x:row>
    <x:row r="690" ht="42" customHeight="1">
      <x:c r="A690" s="13" t="str">
        <x:v>P077</x:v>
      </x:c>
      <x:c r="B690" s="13" t="str">
        <x:v>班达奈拉</x:v>
      </x:c>
      <x:c r="C690" s="13" t="str">
        <x:v>G015</x:v>
      </x:c>
      <x:c r="D690" s="13" t="str">
        <x:v>咸鱼</x:v>
      </x:c>
      <x:c r="E690" s="27" t="n">
        <x:v>0</x:v>
      </x:c>
      <x:c r="F690" s="27" t="n">
        <x:v>65</x:v>
      </x:c>
      <x:c r="G690" s="27" t="n">
        <x:v>144</x:v>
      </x:c>
      <x:c r="H690" s="27" t="n">
        <x:v>432</x:v>
      </x:c>
      <x:c r="I690" s="52" t="n">
        <x:v>0.74</x:v>
      </x:c>
      <x:c r="J690" s="13" t="str">
        <x:v>本港生产/腹地集散/港内加工</x:v>
      </x:c>
      <x:c r="K690" s="13" t="str">
        <x:v>每7个游戏日补充144货载单位。本地、所属岛链或相连腹地供货；成品由港内工坊加工，贸易规模是本作设计。</x:v>
      </x:c>
      <x:c r="L690" s="13" t="str">
        <x:v>港口发展度达到D0（≥0点）；不要求武装度。</x:v>
      </x:c>
    </x:row>
    <x:row r="691" ht="42" customHeight="1">
      <x:c r="A691" s="15" t="str">
        <x:v>P077</x:v>
      </x:c>
      <x:c r="B691" s="15" t="str">
        <x:v>班达奈拉</x:v>
      </x:c>
      <x:c r="C691" s="15" t="str">
        <x:v>G095</x:v>
      </x:c>
      <x:c r="D691" s="15" t="str">
        <x:v>干椰肉</x:v>
      </x:c>
      <x:c r="E691" s="30" t="n">
        <x:v>0</x:v>
      </x:c>
      <x:c r="F691" s="30" t="n">
        <x:v>60</x:v>
      </x:c>
      <x:c r="G691" s="30" t="n">
        <x:v>144</x:v>
      </x:c>
      <x:c r="H691" s="30" t="n">
        <x:v>432</x:v>
      </x:c>
      <x:c r="I691" s="54" t="n">
        <x:v>0.74</x:v>
      </x:c>
      <x:c r="J691" s="15" t="str">
        <x:v>本港生产/腹地集散/港内加工</x:v>
      </x:c>
      <x:c r="K691" s="15" t="str">
        <x:v>每7个游戏日补充144货载单位。本地、所属岛链或相连腹地供货；成品由港内工坊加工，贸易规模是本作设计。</x:v>
      </x:c>
      <x:c r="L691" s="15" t="str">
        <x:v>港口发展度达到D0（≥0点）；不要求武装度。</x:v>
      </x:c>
    </x:row>
    <x:row r="692" ht="42" customHeight="1">
      <x:c r="A692" s="13" t="str">
        <x:v>P077</x:v>
      </x:c>
      <x:c r="B692" s="13" t="str">
        <x:v>班达奈拉</x:v>
      </x:c>
      <x:c r="C692" s="13" t="str">
        <x:v>G004</x:v>
      </x:c>
      <x:c r="D692" s="13" t="str">
        <x:v>稻米</x:v>
      </x:c>
      <x:c r="E692" s="27" t="n">
        <x:v>1</x:v>
      </x:c>
      <x:c r="F692" s="27" t="n">
        <x:v>55</x:v>
      </x:c>
      <x:c r="G692" s="27" t="n">
        <x:v>92</x:v>
      </x:c>
      <x:c r="H692" s="27" t="n">
        <x:v>276</x:v>
      </x:c>
      <x:c r="I692" s="52" t="n">
        <x:v>1.08</x:v>
      </x:c>
      <x:c r="J692" s="13" t="str">
        <x:v>进口/区域转口</x:v>
      </x:c>
      <x:c r="K692" s="13" t="str">
        <x:v>每7个游戏日补充92货载单位。由区域商队或NPC货船带入；为港口转售供货，不改变商品的原产地区。</x:v>
      </x:c>
      <x:c r="L692" s="13" t="str">
        <x:v>港口发展度达到D1（≥100点）；不要求武装度。</x:v>
      </x:c>
    </x:row>
    <x:row r="693" ht="42" customHeight="1">
      <x:c r="A693" s="15" t="str">
        <x:v>P077</x:v>
      </x:c>
      <x:c r="B693" s="15" t="str">
        <x:v>班达奈拉</x:v>
      </x:c>
      <x:c r="C693" s="15" t="str">
        <x:v>G031</x:v>
      </x:c>
      <x:c r="D693" s="15" t="str">
        <x:v>肉豆蔻</x:v>
      </x:c>
      <x:c r="E693" s="30" t="n">
        <x:v>1</x:v>
      </x:c>
      <x:c r="F693" s="30" t="n">
        <x:v>490</x:v>
      </x:c>
      <x:c r="G693" s="30" t="n">
        <x:v>31</x:v>
      </x:c>
      <x:c r="H693" s="30" t="n">
        <x:v>93</x:v>
      </x:c>
      <x:c r="I693" s="54" t="n">
        <x:v>0.74</x:v>
      </x:c>
      <x:c r="J693" s="15" t="str">
        <x:v>本港生产/腹地集散/港内加工</x:v>
      </x:c>
      <x:c r="K693" s="15" t="str">
        <x:v>每7个游戏日补充31货载单位。本地、所属岛链或相连腹地供货；成品由港内工坊加工，贸易规模是本作设计。</x:v>
      </x:c>
      <x:c r="L693" s="15" t="str">
        <x:v>港口发展度达到D1（≥100点）；不要求武装度。</x:v>
      </x:c>
    </x:row>
    <x:row r="694" ht="42" customHeight="1">
      <x:c r="A694" s="13" t="str">
        <x:v>P077</x:v>
      </x:c>
      <x:c r="B694" s="13" t="str">
        <x:v>班达奈拉</x:v>
      </x:c>
      <x:c r="C694" s="13" t="str">
        <x:v>G030</x:v>
      </x:c>
      <x:c r="D694" s="13" t="str">
        <x:v>丁香</x:v>
      </x:c>
      <x:c r="E694" s="27" t="n">
        <x:v>2</x:v>
      </x:c>
      <x:c r="F694" s="27" t="n">
        <x:v>520</x:v>
      </x:c>
      <x:c r="G694" s="27" t="n">
        <x:v>15</x:v>
      </x:c>
      <x:c r="H694" s="27" t="n">
        <x:v>45</x:v>
      </x:c>
      <x:c r="I694" s="52" t="n">
        <x:v>1.08</x:v>
      </x:c>
      <x:c r="J694" s="13" t="str">
        <x:v>进口/区域转口</x:v>
      </x:c>
      <x:c r="K694" s="13" t="str">
        <x:v>每7个游戏日补充15货载单位。由区域商队或NPC货船带入；为港口转售供货，不改变商品的原产地区。</x:v>
      </x:c>
      <x:c r="L694" s="13" t="str">
        <x:v>港口发展度达到D2（≥250点）；不要求武装度。</x:v>
      </x:c>
    </x:row>
    <x:row r="695" ht="42" customHeight="1">
      <x:c r="A695" s="15" t="str">
        <x:v>P077</x:v>
      </x:c>
      <x:c r="B695" s="15" t="str">
        <x:v>班达奈拉</x:v>
      </x:c>
      <x:c r="C695" s="15" t="str">
        <x:v>G065</x:v>
      </x:c>
      <x:c r="D695" s="15" t="str">
        <x:v>硫磺</x:v>
      </x:c>
      <x:c r="E695" s="30" t="n">
        <x:v>3</x:v>
      </x:c>
      <x:c r="F695" s="30" t="n">
        <x:v>140</x:v>
      </x:c>
      <x:c r="G695" s="30" t="n">
        <x:v>63</x:v>
      </x:c>
      <x:c r="H695" s="30" t="n">
        <x:v>189</x:v>
      </x:c>
      <x:c r="I695" s="54" t="n">
        <x:v>0.8</x:v>
      </x:c>
      <x:c r="J695" s="15" t="str">
        <x:v>本港生产/腹地集散/港内加工</x:v>
      </x:c>
      <x:c r="K695" s="15" t="str">
        <x:v>每7个游戏日补充63货载单位。本地、所属岛链或相连腹地供货；成品由港内工坊加工，贸易规模是本作设计。</x:v>
      </x:c>
      <x:c r="L695" s="15" t="str">
        <x:v>港口发展度达到D3（≥450点）；不要求武装度。</x:v>
      </x:c>
    </x:row>
    <x:row r="696" ht="42" customHeight="1">
      <x:c r="A696" s="13" t="str">
        <x:v>P077</x:v>
      </x:c>
      <x:c r="B696" s="13" t="str">
        <x:v>班达奈拉</x:v>
      </x:c>
      <x:c r="C696" s="13" t="str">
        <x:v>G043</x:v>
      </x:c>
      <x:c r="D696" s="13" t="str">
        <x:v>棉布</x:v>
      </x:c>
      <x:c r="E696" s="27" t="n">
        <x:v>4</x:v>
      </x:c>
      <x:c r="F696" s="27" t="n">
        <x:v>160</x:v>
      </x:c>
      <x:c r="G696" s="27" t="n">
        <x:v>23</x:v>
      </x:c>
      <x:c r="H696" s="27" t="n">
        <x:v>69</x:v>
      </x:c>
      <x:c r="I696" s="52" t="n">
        <x:v>1.14</x:v>
      </x:c>
      <x:c r="J696" s="13" t="str">
        <x:v>进口/区域转口</x:v>
      </x:c>
      <x:c r="K696" s="13" t="str">
        <x:v>每7个游戏日补充23货载单位。由区域商队或NPC货船带入；为港口转售供货，不改变商品的原产地区。</x:v>
      </x:c>
      <x:c r="L696" s="13" t="str">
        <x:v>港口发展度达到D4（≥700点）；不要求武装度。</x:v>
      </x:c>
    </x:row>
    <x:row r="697" ht="42" customHeight="1">
      <x:c r="A697" s="15" t="str">
        <x:v>P077</x:v>
      </x:c>
      <x:c r="B697" s="15" t="str">
        <x:v>班达奈拉</x:v>
      </x:c>
      <x:c r="C697" s="15" t="str">
        <x:v>G096</x:v>
      </x:c>
      <x:c r="D697" s="15" t="str">
        <x:v>贝壳工艺品</x:v>
      </x:c>
      <x:c r="E697" s="30" t="n">
        <x:v>5</x:v>
      </x:c>
      <x:c r="F697" s="30" t="n">
        <x:v>210</x:v>
      </x:c>
      <x:c r="G697" s="30" t="n">
        <x:v>16</x:v>
      </x:c>
      <x:c r="H697" s="30" t="n">
        <x:v>48</x:v>
      </x:c>
      <x:c r="I697" s="54" t="n">
        <x:v>0.87</x:v>
      </x:c>
      <x:c r="J697" s="15" t="str">
        <x:v>本港生产/腹地集散/港内加工</x:v>
      </x:c>
      <x:c r="K697" s="15" t="str">
        <x:v>每7个游戏日补充16货载单位。本地、所属岛链或相连腹地供货；成品由港内工坊加工，贸易规模是本作设计。</x:v>
      </x:c>
      <x:c r="L697" s="15" t="str">
        <x:v>港口发展度达到D5（≥1000点）；不要求武装度。</x:v>
      </x:c>
    </x:row>
    <x:row r="698" ht="42" customHeight="1">
      <x:c r="A698" s="13" t="str">
        <x:v>P077</x:v>
      </x:c>
      <x:c r="B698" s="13" t="str">
        <x:v>班达奈拉</x:v>
      </x:c>
      <x:c r="C698" s="13" t="str">
        <x:v>SP077</x:v>
      </x:c>
      <x:c r="D698" s="13" t="str">
        <x:v>班达绯冠肉豆蔻花衣</x:v>
      </x:c>
      <x:c r="E698" s="27" t="n">
        <x:v>4</x:v>
      </x:c>
      <x:c r="F698" s="27" t="n">
        <x:v>1020</x:v>
      </x:c>
      <x:c r="G698" s="27" t="n">
        <x:v>6</x:v>
      </x:c>
      <x:c r="H698" s="27" t="n">
        <x:v>12</x:v>
      </x:c>
      <x:c r="I698" s="52" t="n">
        <x:v>0.78</x:v>
      </x:c>
      <x:c r="J698" s="13" t="str">
        <x:v>港口独占原创工坊特产</x:v>
      </x:c>
      <x:c r="K698" s="13" t="str">
        <x:v>每7个游戏日由「绯冠花衣分级工坊」交货6货载；只在本港形成稳定产源。</x:v>
      </x:c>
      <x:c r="L698" s="13" t="str">
        <x:v>港口发展度达到D4（≥700点）时，投资项目「绯冠花衣分级工坊」自动完工；不要求武装度。</x:v>
      </x:c>
    </x:row>
    <x:row r="699" ht="42" customHeight="1">
      <x:c r="A699" s="15" t="str">
        <x:v>P078</x:v>
      </x:c>
      <x:c r="B699" s="15" t="str">
        <x:v>马尼拉</x:v>
      </x:c>
      <x:c r="C699" s="15" t="str">
        <x:v>G004</x:v>
      </x:c>
      <x:c r="D699" s="15" t="str">
        <x:v>稻米</x:v>
      </x:c>
      <x:c r="E699" s="30" t="n">
        <x:v>0</x:v>
      </x:c>
      <x:c r="F699" s="30" t="n">
        <x:v>55</x:v>
      </x:c>
      <x:c r="G699" s="30" t="n">
        <x:v>250</x:v>
      </x:c>
      <x:c r="H699" s="30" t="n">
        <x:v>750</x:v>
      </x:c>
      <x:c r="I699" s="54" t="n">
        <x:v>0.74</x:v>
      </x:c>
      <x:c r="J699" s="15" t="str">
        <x:v>本港生产/腹地集散/港内加工</x:v>
      </x:c>
      <x:c r="K699" s="15" t="str">
        <x:v>每7个游戏日补充250货载单位。本地、所属岛链或相连腹地供货；成品由港内工坊加工，贸易规模是本作设计。</x:v>
      </x:c>
      <x:c r="L699" s="15" t="str">
        <x:v>港口发展度达到D0（≥0点）；不要求武装度。</x:v>
      </x:c>
    </x:row>
    <x:row r="700" ht="42" customHeight="1">
      <x:c r="A700" s="13" t="str">
        <x:v>P078</x:v>
      </x:c>
      <x:c r="B700" s="13" t="str">
        <x:v>马尼拉</x:v>
      </x:c>
      <x:c r="C700" s="13" t="str">
        <x:v>G015</x:v>
      </x:c>
      <x:c r="D700" s="13" t="str">
        <x:v>咸鱼</x:v>
      </x:c>
      <x:c r="E700" s="27" t="n">
        <x:v>0</x:v>
      </x:c>
      <x:c r="F700" s="27" t="n">
        <x:v>65</x:v>
      </x:c>
      <x:c r="G700" s="27" t="n">
        <x:v>195</x:v>
      </x:c>
      <x:c r="H700" s="27" t="n">
        <x:v>585</x:v>
      </x:c>
      <x:c r="I700" s="52" t="n">
        <x:v>0.74</x:v>
      </x:c>
      <x:c r="J700" s="13" t="str">
        <x:v>本港生产/腹地集散/港内加工</x:v>
      </x:c>
      <x:c r="K700" s="13" t="str">
        <x:v>每7个游戏日补充195货载单位。本地、所属岛链或相连腹地供货；成品由港内工坊加工，贸易规模是本作设计。</x:v>
      </x:c>
      <x:c r="L700" s="13" t="str">
        <x:v>港口发展度达到D0（≥0点）；不要求武装度。</x:v>
      </x:c>
    </x:row>
    <x:row r="701" ht="42" customHeight="1">
      <x:c r="A701" s="15" t="str">
        <x:v>P078</x:v>
      </x:c>
      <x:c r="B701" s="15" t="str">
        <x:v>马尼拉</x:v>
      </x:c>
      <x:c r="C701" s="15" t="str">
        <x:v>G108</x:v>
      </x:c>
      <x:c r="D701" s="15" t="str">
        <x:v>蕉麻</x:v>
      </x:c>
      <x:c r="E701" s="30" t="n">
        <x:v>1</x:v>
      </x:c>
      <x:c r="F701" s="30" t="n">
        <x:v>105</x:v>
      </x:c>
      <x:c r="G701" s="30" t="n">
        <x:v>158</x:v>
      </x:c>
      <x:c r="H701" s="30" t="n">
        <x:v>474</x:v>
      </x:c>
      <x:c r="I701" s="54" t="n">
        <x:v>0.74</x:v>
      </x:c>
      <x:c r="J701" s="15" t="str">
        <x:v>本港生产/腹地集散/港内加工</x:v>
      </x:c>
      <x:c r="K701" s="15" t="str">
        <x:v>每7个游戏日补充158货载单位。本地、所属岛链或相连腹地供货；成品由港内工坊加工，贸易规模是本作设计。</x:v>
      </x:c>
      <x:c r="L701" s="15" t="str">
        <x:v>港口发展度达到D1（≥100点）；不要求武装度。</x:v>
      </x:c>
    </x:row>
    <x:row r="702" ht="42" customHeight="1">
      <x:c r="A702" s="13" t="str">
        <x:v>P078</x:v>
      </x:c>
      <x:c r="B702" s="13" t="str">
        <x:v>马尼拉</x:v>
      </x:c>
      <x:c r="C702" s="13" t="str">
        <x:v>G011</x:v>
      </x:c>
      <x:c r="D702" s="13" t="str">
        <x:v>砂糖</x:v>
      </x:c>
      <x:c r="E702" s="27" t="n">
        <x:v>1</x:v>
      </x:c>
      <x:c r="F702" s="27" t="n">
        <x:v>140</x:v>
      </x:c>
      <x:c r="G702" s="27" t="n">
        <x:v>185</x:v>
      </x:c>
      <x:c r="H702" s="27" t="n">
        <x:v>555</x:v>
      </x:c>
      <x:c r="I702" s="52" t="n">
        <x:v>0.74</x:v>
      </x:c>
      <x:c r="J702" s="13" t="str">
        <x:v>本港生产/腹地集散/港内加工</x:v>
      </x:c>
      <x:c r="K702" s="13" t="str">
        <x:v>每7个游戏日补充185货载单位。本地、所属岛链或相连腹地供货；成品由港内工坊加工，贸易规模是本作设计。</x:v>
      </x:c>
      <x:c r="L702" s="13" t="str">
        <x:v>港口发展度达到D1（≥100点）；不要求武装度。</x:v>
      </x:c>
    </x:row>
    <x:row r="703" ht="42" customHeight="1">
      <x:c r="A703" s="15" t="str">
        <x:v>P078</x:v>
      </x:c>
      <x:c r="B703" s="15" t="str">
        <x:v>马尼拉</x:v>
      </x:c>
      <x:c r="C703" s="15" t="str">
        <x:v>G043</x:v>
      </x:c>
      <x:c r="D703" s="15" t="str">
        <x:v>棉布</x:v>
      </x:c>
      <x:c r="E703" s="30" t="n">
        <x:v>2</x:v>
      </x:c>
      <x:c r="F703" s="30" t="n">
        <x:v>160</x:v>
      </x:c>
      <x:c r="G703" s="30" t="n">
        <x:v>43</x:v>
      </x:c>
      <x:c r="H703" s="30" t="n">
        <x:v>129</x:v>
      </x:c>
      <x:c r="I703" s="54" t="n">
        <x:v>1.08</x:v>
      </x:c>
      <x:c r="J703" s="15" t="str">
        <x:v>进口/区域转口</x:v>
      </x:c>
      <x:c r="K703" s="15" t="str">
        <x:v>每7个游戏日补充43货载单位。由区域商队或NPC货船带入；为港口转售供货，不改变商品的原产地区。</x:v>
      </x:c>
      <x:c r="L703" s="15" t="str">
        <x:v>港口发展度达到D2（≥250点）；不要求武装度。</x:v>
      </x:c>
    </x:row>
    <x:row r="704" ht="42" customHeight="1">
      <x:c r="A704" s="13" t="str">
        <x:v>P078</x:v>
      </x:c>
      <x:c r="B704" s="13" t="str">
        <x:v>马尼拉</x:v>
      </x:c>
      <x:c r="C704" s="13" t="str">
        <x:v>G046</x:v>
      </x:c>
      <x:c r="D704" s="13" t="str">
        <x:v>丝绸</x:v>
      </x:c>
      <x:c r="E704" s="27" t="n">
        <x:v>3</x:v>
      </x:c>
      <x:c r="F704" s="27" t="n">
        <x:v>620</x:v>
      </x:c>
      <x:c r="G704" s="27" t="n">
        <x:v>36</x:v>
      </x:c>
      <x:c r="H704" s="27" t="n">
        <x:v>108</x:v>
      </x:c>
      <x:c r="I704" s="52" t="n">
        <x:v>1.14</x:v>
      </x:c>
      <x:c r="J704" s="13" t="str">
        <x:v>进口/区域转口</x:v>
      </x:c>
      <x:c r="K704" s="13" t="str">
        <x:v>每7个游戏日补充36货载单位。由区域商队或NPC货船带入；为港口转售供货，不改变商品的原产地区。</x:v>
      </x:c>
      <x:c r="L704" s="13" t="str">
        <x:v>港口发展度达到D3（≥450点）；不要求武装度。</x:v>
      </x:c>
    </x:row>
    <x:row r="705" ht="42" customHeight="1">
      <x:c r="A705" s="15" t="str">
        <x:v>P078</x:v>
      </x:c>
      <x:c r="B705" s="15" t="str">
        <x:v>马尼拉</x:v>
      </x:c>
      <x:c r="C705" s="15" t="str">
        <x:v>G070</x:v>
      </x:c>
      <x:c r="D705" s="15" t="str">
        <x:v>瓷器</x:v>
      </x:c>
      <x:c r="E705" s="30" t="n">
        <x:v>4</x:v>
      </x:c>
      <x:c r="F705" s="30" t="n">
        <x:v>370</x:v>
      </x:c>
      <x:c r="G705" s="30" t="n">
        <x:v>13</x:v>
      </x:c>
      <x:c r="H705" s="30" t="n">
        <x:v>39</x:v>
      </x:c>
      <x:c r="I705" s="54" t="n">
        <x:v>1.14</x:v>
      </x:c>
      <x:c r="J705" s="15" t="str">
        <x:v>进口/区域转口</x:v>
      </x:c>
      <x:c r="K705" s="15" t="str">
        <x:v>每7个游戏日补充13货载单位。由区域商队或NPC货船带入；为港口转售供货，不改变商品的原产地区。</x:v>
      </x:c>
      <x:c r="L705" s="15" t="str">
        <x:v>港口发展度达到D4（≥700点）；不要求武装度。</x:v>
      </x:c>
    </x:row>
    <x:row r="706" ht="42" customHeight="1">
      <x:c r="A706" s="13" t="str">
        <x:v>P078</x:v>
      </x:c>
      <x:c r="B706" s="13" t="str">
        <x:v>马尼拉</x:v>
      </x:c>
      <x:c r="C706" s="13" t="str">
        <x:v>G073</x:v>
      </x:c>
      <x:c r="D706" s="13" t="str">
        <x:v>珠宝</x:v>
      </x:c>
      <x:c r="E706" s="27" t="n">
        <x:v>5</x:v>
      </x:c>
      <x:c r="F706" s="27" t="n">
        <x:v>760</x:v>
      </x:c>
      <x:c r="G706" s="27" t="n">
        <x:v>9</x:v>
      </x:c>
      <x:c r="H706" s="27" t="n">
        <x:v>27</x:v>
      </x:c>
      <x:c r="I706" s="52" t="n">
        <x:v>0.87</x:v>
      </x:c>
      <x:c r="J706" s="13" t="str">
        <x:v>本港生产/腹地集散/港内加工</x:v>
      </x:c>
      <x:c r="K706" s="13" t="str">
        <x:v>每7个游戏日补充9货载单位。本地、所属岛链或相连腹地供货；成品由港内工坊加工，贸易规模是本作设计。</x:v>
      </x:c>
      <x:c r="L706" s="13" t="str">
        <x:v>港口发展度达到D5（≥1000点）；不要求武装度。</x:v>
      </x:c>
    </x:row>
    <x:row r="707" ht="42" customHeight="1">
      <x:c r="A707" s="15" t="str">
        <x:v>P078</x:v>
      </x:c>
      <x:c r="B707" s="15" t="str">
        <x:v>马尼拉</x:v>
      </x:c>
      <x:c r="C707" s="15" t="str">
        <x:v>SP078</x:v>
      </x:c>
      <x:c r="D707" s="15" t="str">
        <x:v>月贝金光折扇</x:v>
      </x:c>
      <x:c r="E707" s="30" t="n">
        <x:v>3</x:v>
      </x:c>
      <x:c r="F707" s="30" t="n">
        <x:v>980</x:v>
      </x:c>
      <x:c r="G707" s="30" t="n">
        <x:v>11</x:v>
      </x:c>
      <x:c r="H707" s="30" t="n">
        <x:v>22</x:v>
      </x:c>
      <x:c r="I707" s="54" t="n">
        <x:v>0.78</x:v>
      </x:c>
      <x:c r="J707" s="15" t="str">
        <x:v>港口独占原创工坊特产</x:v>
      </x:c>
      <x:c r="K707" s="15" t="str">
        <x:v>每7个游戏日由「月贝折扇工坊」交货11货载；只在本港形成稳定产源。</x:v>
      </x:c>
      <x:c r="L707" s="15" t="str">
        <x:v>港口发展度达到D3（≥450点）时，投资项目「月贝折扇工坊」自动完工；不要求武装度。</x:v>
      </x:c>
    </x:row>
    <x:row r="708" ht="42" customHeight="1">
      <x:c r="A708" s="13" t="str">
        <x:v>P079</x:v>
      </x:c>
      <x:c r="B708" s="13" t="str">
        <x:v>会安</x:v>
      </x:c>
      <x:c r="C708" s="13" t="str">
        <x:v>G004</x:v>
      </x:c>
      <x:c r="D708" s="13" t="str">
        <x:v>稻米</x:v>
      </x:c>
      <x:c r="E708" s="27" t="n">
        <x:v>0</x:v>
      </x:c>
      <x:c r="F708" s="27" t="n">
        <x:v>55</x:v>
      </x:c>
      <x:c r="G708" s="27" t="n">
        <x:v>211</x:v>
      </x:c>
      <x:c r="H708" s="27" t="n">
        <x:v>633</x:v>
      </x:c>
      <x:c r="I708" s="52" t="n">
        <x:v>0.74</x:v>
      </x:c>
      <x:c r="J708" s="13" t="str">
        <x:v>本港生产/腹地集散/港内加工</x:v>
      </x:c>
      <x:c r="K708" s="13" t="str">
        <x:v>每7个游戏日补充211货载单位。本地、所属岛链或相连腹地供货；成品由港内工坊加工，贸易规模是本作设计。</x:v>
      </x:c>
      <x:c r="L708" s="13" t="str">
        <x:v>港口发展度达到D0（≥0点）；不要求武装度。</x:v>
      </x:c>
    </x:row>
    <x:row r="709" ht="42" customHeight="1">
      <x:c r="A709" s="15" t="str">
        <x:v>P079</x:v>
      </x:c>
      <x:c r="B709" s="15" t="str">
        <x:v>会安</x:v>
      </x:c>
      <x:c r="C709" s="15" t="str">
        <x:v>G015</x:v>
      </x:c>
      <x:c r="D709" s="15" t="str">
        <x:v>咸鱼</x:v>
      </x:c>
      <x:c r="E709" s="30" t="n">
        <x:v>0</x:v>
      </x:c>
      <x:c r="F709" s="30" t="n">
        <x:v>65</x:v>
      </x:c>
      <x:c r="G709" s="30" t="n">
        <x:v>164</x:v>
      </x:c>
      <x:c r="H709" s="30" t="n">
        <x:v>492</x:v>
      </x:c>
      <x:c r="I709" s="54" t="n">
        <x:v>0.74</x:v>
      </x:c>
      <x:c r="J709" s="15" t="str">
        <x:v>本港生产/腹地集散/港内加工</x:v>
      </x:c>
      <x:c r="K709" s="15" t="str">
        <x:v>每7个游戏日补充164货载单位。本地、所属岛链或相连腹地供货；成品由港内工坊加工，贸易规模是本作设计。</x:v>
      </x:c>
      <x:c r="L709" s="15" t="str">
        <x:v>港口发展度达到D0（≥0点）；不要求武装度。</x:v>
      </x:c>
    </x:row>
    <x:row r="710" ht="42" customHeight="1">
      <x:c r="A710" s="13" t="str">
        <x:v>P079</x:v>
      </x:c>
      <x:c r="B710" s="13" t="str">
        <x:v>会安</x:v>
      </x:c>
      <x:c r="C710" s="13" t="str">
        <x:v>G033</x:v>
      </x:c>
      <x:c r="D710" s="13" t="str">
        <x:v>生姜</x:v>
      </x:c>
      <x:c r="E710" s="27" t="n">
        <x:v>1</x:v>
      </x:c>
      <x:c r="F710" s="27" t="n">
        <x:v>140</x:v>
      </x:c>
      <x:c r="G710" s="27" t="n">
        <x:v>36</x:v>
      </x:c>
      <x:c r="H710" s="27" t="n">
        <x:v>108</x:v>
      </x:c>
      <x:c r="I710" s="52" t="n">
        <x:v>0.74</x:v>
      </x:c>
      <x:c r="J710" s="13" t="str">
        <x:v>本港生产/腹地集散/港内加工</x:v>
      </x:c>
      <x:c r="K710" s="13" t="str">
        <x:v>每7个游戏日补充36货载单位。本地、所属岛链或相连腹地供货；成品由港内工坊加工，贸易规模是本作设计。</x:v>
      </x:c>
      <x:c r="L710" s="13" t="str">
        <x:v>港口发展度达到D1（≥100点）；不要求武装度。</x:v>
      </x:c>
    </x:row>
    <x:row r="711" ht="42" customHeight="1">
      <x:c r="A711" s="15" t="str">
        <x:v>P079</x:v>
      </x:c>
      <x:c r="B711" s="15" t="str">
        <x:v>会安</x:v>
      </x:c>
      <x:c r="C711" s="15" t="str">
        <x:v>G042</x:v>
      </x:c>
      <x:c r="D711" s="15" t="str">
        <x:v>生丝</x:v>
      </x:c>
      <x:c r="E711" s="30" t="n">
        <x:v>1</x:v>
      </x:c>
      <x:c r="F711" s="30" t="n">
        <x:v>390</x:v>
      </x:c>
      <x:c r="G711" s="30" t="n">
        <x:v>133</x:v>
      </x:c>
      <x:c r="H711" s="30" t="n">
        <x:v>399</x:v>
      </x:c>
      <x:c r="I711" s="54" t="n">
        <x:v>0.74</x:v>
      </x:c>
      <x:c r="J711" s="15" t="str">
        <x:v>本港生产/腹地集散/港内加工</x:v>
      </x:c>
      <x:c r="K711" s="15" t="str">
        <x:v>每7个游戏日补充133货载单位。本地、所属岛链或相连腹地供货；成品由港内工坊加工，贸易规模是本作设计。</x:v>
      </x:c>
      <x:c r="L711" s="15" t="str">
        <x:v>港口发展度达到D1（≥100点）；不要求武装度。</x:v>
      </x:c>
    </x:row>
    <x:row r="712" ht="42" customHeight="1">
      <x:c r="A712" s="13" t="str">
        <x:v>P079</x:v>
      </x:c>
      <x:c r="B712" s="13" t="str">
        <x:v>会安</x:v>
      </x:c>
      <x:c r="C712" s="13" t="str">
        <x:v>G046</x:v>
      </x:c>
      <x:c r="D712" s="13" t="str">
        <x:v>丝绸</x:v>
      </x:c>
      <x:c r="E712" s="27" t="n">
        <x:v>2</x:v>
      </x:c>
      <x:c r="F712" s="27" t="n">
        <x:v>620</x:v>
      </x:c>
      <x:c r="G712" s="27" t="n">
        <x:v>70</x:v>
      </x:c>
      <x:c r="H712" s="27" t="n">
        <x:v>210</x:v>
      </x:c>
      <x:c r="I712" s="52" t="n">
        <x:v>0.8</x:v>
      </x:c>
      <x:c r="J712" s="13" t="str">
        <x:v>本港生产/腹地集散/港内加工</x:v>
      </x:c>
      <x:c r="K712" s="13" t="str">
        <x:v>每7个游戏日补充70货载单位。本地、所属岛链或相连腹地供货；成品由港内工坊加工，贸易规模是本作设计。</x:v>
      </x:c>
      <x:c r="L712" s="13" t="str">
        <x:v>港口发展度达到D2（≥250点）；不要求武装度。</x:v>
      </x:c>
    </x:row>
    <x:row r="713" ht="42" customHeight="1">
      <x:c r="A713" s="15" t="str">
        <x:v>P079</x:v>
      </x:c>
      <x:c r="B713" s="15" t="str">
        <x:v>会安</x:v>
      </x:c>
      <x:c r="C713" s="15" t="str">
        <x:v>G069</x:v>
      </x:c>
      <x:c r="D713" s="15" t="str">
        <x:v>粗陶器</x:v>
      </x:c>
      <x:c r="E713" s="30" t="n">
        <x:v>3</x:v>
      </x:c>
      <x:c r="F713" s="30" t="n">
        <x:v>90</x:v>
      </x:c>
      <x:c r="G713" s="30" t="n">
        <x:v>25</x:v>
      </x:c>
      <x:c r="H713" s="30" t="n">
        <x:v>75</x:v>
      </x:c>
      <x:c r="I713" s="54" t="n">
        <x:v>0.8</x:v>
      </x:c>
      <x:c r="J713" s="15" t="str">
        <x:v>本港生产/腹地集散/港内加工</x:v>
      </x:c>
      <x:c r="K713" s="15" t="str">
        <x:v>每7个游戏日补充25货载单位。本地、所属岛链或相连腹地供货；成品由港内工坊加工，贸易规模是本作设计。</x:v>
      </x:c>
      <x:c r="L713" s="15" t="str">
        <x:v>港口发展度达到D3（≥450点）；不要求武装度。</x:v>
      </x:c>
    </x:row>
    <x:row r="714" ht="42" customHeight="1">
      <x:c r="A714" s="13" t="str">
        <x:v>P079</x:v>
      </x:c>
      <x:c r="B714" s="13" t="str">
        <x:v>会安</x:v>
      </x:c>
      <x:c r="C714" s="13" t="str">
        <x:v>G070</x:v>
      </x:c>
      <x:c r="D714" s="13" t="str">
        <x:v>瓷器</x:v>
      </x:c>
      <x:c r="E714" s="27" t="n">
        <x:v>4</x:v>
      </x:c>
      <x:c r="F714" s="27" t="n">
        <x:v>370</x:v>
      </x:c>
      <x:c r="G714" s="27" t="n">
        <x:v>11</x:v>
      </x:c>
      <x:c r="H714" s="27" t="n">
        <x:v>33</x:v>
      </x:c>
      <x:c r="I714" s="52" t="n">
        <x:v>1.14</x:v>
      </x:c>
      <x:c r="J714" s="13" t="str">
        <x:v>进口/区域转口</x:v>
      </x:c>
      <x:c r="K714" s="13" t="str">
        <x:v>每7个游戏日补充11货载单位。由区域商队或NPC货船带入；为港口转售供货，不改变商品的原产地区。</x:v>
      </x:c>
      <x:c r="L714" s="13" t="str">
        <x:v>港口发展度达到D4（≥700点）；不要求武装度。</x:v>
      </x:c>
    </x:row>
    <x:row r="715" ht="42" customHeight="1">
      <x:c r="A715" s="15" t="str">
        <x:v>P079</x:v>
      </x:c>
      <x:c r="B715" s="15" t="str">
        <x:v>会安</x:v>
      </x:c>
      <x:c r="C715" s="15" t="str">
        <x:v>G072</x:v>
      </x:c>
      <x:c r="D715" s="15" t="str">
        <x:v>漆器</x:v>
      </x:c>
      <x:c r="E715" s="30" t="n">
        <x:v>5</x:v>
      </x:c>
      <x:c r="F715" s="30" t="n">
        <x:v>480</x:v>
      </x:c>
      <x:c r="G715" s="30" t="n">
        <x:v>18</x:v>
      </x:c>
      <x:c r="H715" s="30" t="n">
        <x:v>54</x:v>
      </x:c>
      <x:c r="I715" s="54" t="n">
        <x:v>0.87</x:v>
      </x:c>
      <x:c r="J715" s="15" t="str">
        <x:v>本港生产/腹地集散/港内加工</x:v>
      </x:c>
      <x:c r="K715" s="15" t="str">
        <x:v>每7个游戏日补充18货载单位。本地、所属岛链或相连腹地供货；成品由港内工坊加工，贸易规模是本作设计。</x:v>
      </x:c>
      <x:c r="L715" s="15" t="str">
        <x:v>港口发展度达到D5（≥1000点）；不要求武装度。</x:v>
      </x:c>
    </x:row>
    <x:row r="716" ht="42" customHeight="1">
      <x:c r="A716" s="13" t="str">
        <x:v>P079</x:v>
      </x:c>
      <x:c r="B716" s="13" t="str">
        <x:v>会安</x:v>
      </x:c>
      <x:c r="C716" s="13" t="str">
        <x:v>SP079</x:v>
      </x:c>
      <x:c r="D716" s="13" t="str">
        <x:v>灯河五色丝灯罩</x:v>
      </x:c>
      <x:c r="E716" s="27" t="n">
        <x:v>3</x:v>
      </x:c>
      <x:c r="F716" s="27" t="n">
        <x:v>780</x:v>
      </x:c>
      <x:c r="G716" s="27" t="n">
        <x:v>9</x:v>
      </x:c>
      <x:c r="H716" s="27" t="n">
        <x:v>18</x:v>
      </x:c>
      <x:c r="I716" s="52" t="n">
        <x:v>0.78</x:v>
      </x:c>
      <x:c r="J716" s="13" t="str">
        <x:v>港口独占原创工坊特产</x:v>
      </x:c>
      <x:c r="K716" s="13" t="str">
        <x:v>每7个游戏日由「灯河丝灯工坊」交货9货载；只在本港形成稳定产源。</x:v>
      </x:c>
      <x:c r="L716" s="13" t="str">
        <x:v>港口发展度达到D3（≥450点）时，投资项目「灯河丝灯工坊」自动完工；不要求武装度。</x:v>
      </x:c>
    </x:row>
    <x:row r="717" ht="42" customHeight="1">
      <x:c r="A717" s="15" t="str">
        <x:v>P080</x:v>
      </x:c>
      <x:c r="B717" s="15" t="str">
        <x:v>阿瑜陀耶</x:v>
      </x:c>
      <x:c r="C717" s="15" t="str">
        <x:v>G004</x:v>
      </x:c>
      <x:c r="D717" s="15" t="str">
        <x:v>稻米</x:v>
      </x:c>
      <x:c r="E717" s="30" t="n">
        <x:v>0</x:v>
      </x:c>
      <x:c r="F717" s="30" t="n">
        <x:v>55</x:v>
      </x:c>
      <x:c r="G717" s="30" t="n">
        <x:v>239</x:v>
      </x:c>
      <x:c r="H717" s="30" t="n">
        <x:v>717</x:v>
      </x:c>
      <x:c r="I717" s="54" t="n">
        <x:v>0.74</x:v>
      </x:c>
      <x:c r="J717" s="15" t="str">
        <x:v>本港生产/腹地集散/港内加工</x:v>
      </x:c>
      <x:c r="K717" s="15" t="str">
        <x:v>每7个游戏日补充239货载单位。本地、所属岛链或相连腹地供货；成品由港内工坊加工，贸易规模是本作设计。</x:v>
      </x:c>
      <x:c r="L717" s="15" t="str">
        <x:v>港口发展度达到D0（≥0点）；不要求武装度。</x:v>
      </x:c>
    </x:row>
    <x:row r="718" ht="42" customHeight="1">
      <x:c r="A718" s="13" t="str">
        <x:v>P080</x:v>
      </x:c>
      <x:c r="B718" s="13" t="str">
        <x:v>阿瑜陀耶</x:v>
      </x:c>
      <x:c r="C718" s="13" t="str">
        <x:v>G095</x:v>
      </x:c>
      <x:c r="D718" s="13" t="str">
        <x:v>干椰肉</x:v>
      </x:c>
      <x:c r="E718" s="27" t="n">
        <x:v>0</x:v>
      </x:c>
      <x:c r="F718" s="27" t="n">
        <x:v>60</x:v>
      </x:c>
      <x:c r="G718" s="27" t="n">
        <x:v>186</x:v>
      </x:c>
      <x:c r="H718" s="27" t="n">
        <x:v>558</x:v>
      </x:c>
      <x:c r="I718" s="52" t="n">
        <x:v>0.74</x:v>
      </x:c>
      <x:c r="J718" s="13" t="str">
        <x:v>本港生产/腹地集散/港内加工</x:v>
      </x:c>
      <x:c r="K718" s="13" t="str">
        <x:v>每7个游戏日补充186货载单位。本地、所属岛链或相连腹地供货；成品由港内工坊加工，贸易规模是本作设计。</x:v>
      </x:c>
      <x:c r="L718" s="13" t="str">
        <x:v>港口发展度达到D0（≥0点）；不要求武装度。</x:v>
      </x:c>
    </x:row>
    <x:row r="719" ht="42" customHeight="1">
      <x:c r="A719" s="15" t="str">
        <x:v>P080</x:v>
      </x:c>
      <x:c r="B719" s="15" t="str">
        <x:v>阿瑜陀耶</x:v>
      </x:c>
      <x:c r="C719" s="15" t="str">
        <x:v>G055</x:v>
      </x:c>
      <x:c r="D719" s="15" t="str">
        <x:v>柚木</x:v>
      </x:c>
      <x:c r="E719" s="30" t="n">
        <x:v>1</x:v>
      </x:c>
      <x:c r="F719" s="30" t="n">
        <x:v>180</x:v>
      </x:c>
      <x:c r="G719" s="30" t="n">
        <x:v>139</x:v>
      </x:c>
      <x:c r="H719" s="30" t="n">
        <x:v>417</x:v>
      </x:c>
      <x:c r="I719" s="54" t="n">
        <x:v>0.74</x:v>
      </x:c>
      <x:c r="J719" s="15" t="str">
        <x:v>本港生产/腹地集散/港内加工</x:v>
      </x:c>
      <x:c r="K719" s="15" t="str">
        <x:v>每7个游戏日补充139货载单位。本地、所属岛链或相连腹地供货；成品由港内工坊加工，贸易规模是本作设计。</x:v>
      </x:c>
      <x:c r="L719" s="15" t="str">
        <x:v>港口发展度达到D1（≥100点）；不要求武装度。</x:v>
      </x:c>
    </x:row>
    <x:row r="720" ht="42" customHeight="1">
      <x:c r="A720" s="13" t="str">
        <x:v>P080</x:v>
      </x:c>
      <x:c r="B720" s="13" t="str">
        <x:v>阿瑜陀耶</x:v>
      </x:c>
      <x:c r="C720" s="13" t="str">
        <x:v>G053</x:v>
      </x:c>
      <x:c r="D720" s="13" t="str">
        <x:v>黑檀木</x:v>
      </x:c>
      <x:c r="E720" s="27" t="n">
        <x:v>1</x:v>
      </x:c>
      <x:c r="F720" s="27" t="n">
        <x:v>360</x:v>
      </x:c>
      <x:c r="G720" s="27" t="n">
        <x:v>139</x:v>
      </x:c>
      <x:c r="H720" s="27" t="n">
        <x:v>417</x:v>
      </x:c>
      <x:c r="I720" s="52" t="n">
        <x:v>0.74</x:v>
      </x:c>
      <x:c r="J720" s="13" t="str">
        <x:v>本港生产/腹地集散/港内加工</x:v>
      </x:c>
      <x:c r="K720" s="13" t="str">
        <x:v>每7个游戏日补充139货载单位。本地、所属岛链或相连腹地供货；成品由港内工坊加工，贸易规模是本作设计。</x:v>
      </x:c>
      <x:c r="L720" s="13" t="str">
        <x:v>港口发展度达到D1（≥100点）；不要求武装度。</x:v>
      </x:c>
    </x:row>
    <x:row r="721" ht="42" customHeight="1">
      <x:c r="A721" s="15" t="str">
        <x:v>P080</x:v>
      </x:c>
      <x:c r="B721" s="15" t="str">
        <x:v>阿瑜陀耶</x:v>
      </x:c>
      <x:c r="C721" s="15" t="str">
        <x:v>G049</x:v>
      </x:c>
      <x:c r="D721" s="15" t="str">
        <x:v>靛蓝</x:v>
      </x:c>
      <x:c r="E721" s="30" t="n">
        <x:v>2</x:v>
      </x:c>
      <x:c r="F721" s="30" t="n">
        <x:v>280</x:v>
      </x:c>
      <x:c r="G721" s="30" t="n">
        <x:v>36</x:v>
      </x:c>
      <x:c r="H721" s="30" t="n">
        <x:v>108</x:v>
      </x:c>
      <x:c r="I721" s="54" t="n">
        <x:v>0.8</x:v>
      </x:c>
      <x:c r="J721" s="15" t="str">
        <x:v>本港生产/腹地集散/港内加工</x:v>
      </x:c>
      <x:c r="K721" s="15" t="str">
        <x:v>每7个游戏日补充36货载单位。本地、所属岛链或相连腹地供货；成品由港内工坊加工，贸易规模是本作设计。</x:v>
      </x:c>
      <x:c r="L721" s="15" t="str">
        <x:v>港口发展度达到D2（≥250点）；不要求武装度。</x:v>
      </x:c>
    </x:row>
    <x:row r="722" ht="42" customHeight="1">
      <x:c r="A722" s="13" t="str">
        <x:v>P080</x:v>
      </x:c>
      <x:c r="B722" s="13" t="str">
        <x:v>阿瑜陀耶</x:v>
      </x:c>
      <x:c r="C722" s="13" t="str">
        <x:v>G043</x:v>
      </x:c>
      <x:c r="D722" s="13" t="str">
        <x:v>棉布</x:v>
      </x:c>
      <x:c r="E722" s="27" t="n">
        <x:v>3</x:v>
      </x:c>
      <x:c r="F722" s="27" t="n">
        <x:v>160</x:v>
      </x:c>
      <x:c r="G722" s="27" t="n">
        <x:v>67</x:v>
      </x:c>
      <x:c r="H722" s="27" t="n">
        <x:v>201</x:v>
      </x:c>
      <x:c r="I722" s="52" t="n">
        <x:v>0.8</x:v>
      </x:c>
      <x:c r="J722" s="13" t="str">
        <x:v>本港生产/腹地集散/港内加工</x:v>
      </x:c>
      <x:c r="K722" s="13" t="str">
        <x:v>每7个游戏日补充67货载单位。本地、所属岛链或相连腹地供货；成品由港内工坊加工，贸易规模是本作设计。</x:v>
      </x:c>
      <x:c r="L722" s="13" t="str">
        <x:v>港口发展度达到D3（≥450点）；不要求武装度。</x:v>
      </x:c>
    </x:row>
    <x:row r="723" ht="42" customHeight="1">
      <x:c r="A723" s="15" t="str">
        <x:v>P080</x:v>
      </x:c>
      <x:c r="B723" s="15" t="str">
        <x:v>阿瑜陀耶</x:v>
      </x:c>
      <x:c r="C723" s="15" t="str">
        <x:v>G078</x:v>
      </x:c>
      <x:c r="D723" s="15" t="str">
        <x:v>宝石原石</x:v>
      </x:c>
      <x:c r="E723" s="30" t="n">
        <x:v>4</x:v>
      </x:c>
      <x:c r="F723" s="30" t="n">
        <x:v>820</x:v>
      </x:c>
      <x:c r="G723" s="30" t="n">
        <x:v>3</x:v>
      </x:c>
      <x:c r="H723" s="30" t="n">
        <x:v>9</x:v>
      </x:c>
      <x:c r="I723" s="54" t="n">
        <x:v>1.14</x:v>
      </x:c>
      <x:c r="J723" s="15" t="str">
        <x:v>进口/区域转口</x:v>
      </x:c>
      <x:c r="K723" s="15" t="str">
        <x:v>每7个游戏日补充3货载单位。由区域商队或NPC货船带入；为港口转售供货，不改变商品的原产地区。</x:v>
      </x:c>
      <x:c r="L723" s="15" t="str">
        <x:v>港口发展度达到D4（≥700点）；不要求武装度。</x:v>
      </x:c>
    </x:row>
    <x:row r="724" ht="42" customHeight="1">
      <x:c r="A724" s="13" t="str">
        <x:v>P080</x:v>
      </x:c>
      <x:c r="B724" s="13" t="str">
        <x:v>阿瑜陀耶</x:v>
      </x:c>
      <x:c r="C724" s="13" t="str">
        <x:v>G072</x:v>
      </x:c>
      <x:c r="D724" s="13" t="str">
        <x:v>漆器</x:v>
      </x:c>
      <x:c r="E724" s="27" t="n">
        <x:v>5</x:v>
      </x:c>
      <x:c r="F724" s="27" t="n">
        <x:v>480</x:v>
      </x:c>
      <x:c r="G724" s="27" t="n">
        <x:v>21</x:v>
      </x:c>
      <x:c r="H724" s="27" t="n">
        <x:v>63</x:v>
      </x:c>
      <x:c r="I724" s="52" t="n">
        <x:v>0.87</x:v>
      </x:c>
      <x:c r="J724" s="13" t="str">
        <x:v>本港生产/腹地集散/港内加工</x:v>
      </x:c>
      <x:c r="K724" s="13" t="str">
        <x:v>每7个游戏日补充21货载单位。本地、所属岛链或相连腹地供货；成品由港内工坊加工，贸易规模是本作设计。</x:v>
      </x:c>
      <x:c r="L724" s="13" t="str">
        <x:v>港口发展度达到D5（≥1000点）；不要求武装度。</x:v>
      </x:c>
    </x:row>
    <x:row r="725" ht="42" customHeight="1">
      <x:c r="A725" s="15" t="str">
        <x:v>P080</x:v>
      </x:c>
      <x:c r="B725" s="15" t="str">
        <x:v>阿瑜陀耶</x:v>
      </x:c>
      <x:c r="C725" s="15" t="str">
        <x:v>SP080</x:v>
      </x:c>
      <x:c r="D725" s="15" t="str">
        <x:v>三河金叶黑漆盘</x:v>
      </x:c>
      <x:c r="E725" s="30" t="n">
        <x:v>4</x:v>
      </x:c>
      <x:c r="F725" s="30" t="n">
        <x:v>1150</x:v>
      </x:c>
      <x:c r="G725" s="30" t="n">
        <x:v>8</x:v>
      </x:c>
      <x:c r="H725" s="30" t="n">
        <x:v>16</x:v>
      </x:c>
      <x:c r="I725" s="54" t="n">
        <x:v>0.78</x:v>
      </x:c>
      <x:c r="J725" s="15" t="str">
        <x:v>港口独占原创工坊特产</x:v>
      </x:c>
      <x:c r="K725" s="15" t="str">
        <x:v>每7个游戏日由「王城金叶漆作坊」交货8货载；只在本港形成稳定产源。</x:v>
      </x:c>
      <x:c r="L725" s="15" t="str">
        <x:v>港口发展度达到D4（≥700点）时，投资项目「王城金叶漆作坊」自动完工；不要求武装度。</x:v>
      </x:c>
    </x:row>
    <x:row r="726" ht="42" customHeight="1">
      <x:c r="A726" s="13" t="str">
        <x:v>P081</x:v>
      </x:c>
      <x:c r="B726" s="13" t="str">
        <x:v>广州</x:v>
      </x:c>
      <x:c r="C726" s="13" t="str">
        <x:v>G004</x:v>
      </x:c>
      <x:c r="D726" s="13" t="str">
        <x:v>稻米</x:v>
      </x:c>
      <x:c r="E726" s="27" t="n">
        <x:v>0</x:v>
      </x:c>
      <x:c r="F726" s="27" t="n">
        <x:v>55</x:v>
      </x:c>
      <x:c r="G726" s="27" t="n">
        <x:v>261</x:v>
      </x:c>
      <x:c r="H726" s="27" t="n">
        <x:v>783</x:v>
      </x:c>
      <x:c r="I726" s="52" t="n">
        <x:v>0.74</x:v>
      </x:c>
      <x:c r="J726" s="13" t="str">
        <x:v>本港生产/腹地集散/港内加工</x:v>
      </x:c>
      <x:c r="K726" s="13" t="str">
        <x:v>每7个游戏日补充261货载单位。本地、所属岛链或相连腹地供货；成品由港内工坊加工，贸易规模是本作设计。</x:v>
      </x:c>
      <x:c r="L726" s="13" t="str">
        <x:v>港口发展度达到D0（≥0点）；不要求武装度。</x:v>
      </x:c>
    </x:row>
    <x:row r="727" ht="42" customHeight="1">
      <x:c r="A727" s="15" t="str">
        <x:v>P081</x:v>
      </x:c>
      <x:c r="B727" s="15" t="str">
        <x:v>广州</x:v>
      </x:c>
      <x:c r="C727" s="15" t="str">
        <x:v>G011</x:v>
      </x:c>
      <x:c r="D727" s="15" t="str">
        <x:v>砂糖</x:v>
      </x:c>
      <x:c r="E727" s="30" t="n">
        <x:v>0</x:v>
      </x:c>
      <x:c r="F727" s="30" t="n">
        <x:v>140</x:v>
      </x:c>
      <x:c r="G727" s="30" t="n">
        <x:v>203</x:v>
      </x:c>
      <x:c r="H727" s="30" t="n">
        <x:v>609</x:v>
      </x:c>
      <x:c r="I727" s="54" t="n">
        <x:v>0.74</x:v>
      </x:c>
      <x:c r="J727" s="15" t="str">
        <x:v>本港生产/腹地集散/港内加工</x:v>
      </x:c>
      <x:c r="K727" s="15" t="str">
        <x:v>每7个游戏日补充203货载单位。本地、所属岛链或相连腹地供货；成品由港内工坊加工，贸易规模是本作设计。</x:v>
      </x:c>
      <x:c r="L727" s="15" t="str">
        <x:v>港口发展度达到D0（≥0点）；不要求武装度。</x:v>
      </x:c>
    </x:row>
    <x:row r="728" ht="42" customHeight="1">
      <x:c r="A728" s="13" t="str">
        <x:v>P081</x:v>
      </x:c>
      <x:c r="B728" s="13" t="str">
        <x:v>广州</x:v>
      </x:c>
      <x:c r="C728" s="13" t="str">
        <x:v>G020</x:v>
      </x:c>
      <x:c r="D728" s="13" t="str">
        <x:v>茶叶</x:v>
      </x:c>
      <x:c r="E728" s="27" t="n">
        <x:v>1</x:v>
      </x:c>
      <x:c r="F728" s="27" t="n">
        <x:v>210</x:v>
      </x:c>
      <x:c r="G728" s="27" t="n">
        <x:v>66</x:v>
      </x:c>
      <x:c r="H728" s="27" t="n">
        <x:v>198</x:v>
      </x:c>
      <x:c r="I728" s="52" t="n">
        <x:v>0.74</x:v>
      </x:c>
      <x:c r="J728" s="13" t="str">
        <x:v>本港生产/腹地集散/港内加工</x:v>
      </x:c>
      <x:c r="K728" s="13" t="str">
        <x:v>每7个游戏日补充66货载单位。本地、所属岛链或相连腹地供货；成品由港内工坊加工，贸易规模是本作设计。</x:v>
      </x:c>
      <x:c r="L728" s="13" t="str">
        <x:v>港口发展度达到D1（≥100点）；不要求武装度。</x:v>
      </x:c>
    </x:row>
    <x:row r="729" ht="42" customHeight="1">
      <x:c r="A729" s="15" t="str">
        <x:v>P081</x:v>
      </x:c>
      <x:c r="B729" s="15" t="str">
        <x:v>广州</x:v>
      </x:c>
      <x:c r="C729" s="15" t="str">
        <x:v>G042</x:v>
      </x:c>
      <x:c r="D729" s="15" t="str">
        <x:v>生丝</x:v>
      </x:c>
      <x:c r="E729" s="30" t="n">
        <x:v>1</x:v>
      </x:c>
      <x:c r="F729" s="30" t="n">
        <x:v>390</x:v>
      </x:c>
      <x:c r="G729" s="30" t="n">
        <x:v>165</x:v>
      </x:c>
      <x:c r="H729" s="30" t="n">
        <x:v>495</x:v>
      </x:c>
      <x:c r="I729" s="54" t="n">
        <x:v>0.74</x:v>
      </x:c>
      <x:c r="J729" s="15" t="str">
        <x:v>本港生产/腹地集散/港内加工</x:v>
      </x:c>
      <x:c r="K729" s="15" t="str">
        <x:v>每7个游戏日补充165货载单位。本地、所属岛链或相连腹地供货；成品由港内工坊加工，贸易规模是本作设计。</x:v>
      </x:c>
      <x:c r="L729" s="15" t="str">
        <x:v>港口发展度达到D1（≥100点）；不要求武装度。</x:v>
      </x:c>
    </x:row>
    <x:row r="730" ht="42" customHeight="1">
      <x:c r="A730" s="13" t="str">
        <x:v>P081</x:v>
      </x:c>
      <x:c r="B730" s="13" t="str">
        <x:v>广州</x:v>
      </x:c>
      <x:c r="C730" s="13" t="str">
        <x:v>G046</x:v>
      </x:c>
      <x:c r="D730" s="13" t="str">
        <x:v>丝绸</x:v>
      </x:c>
      <x:c r="E730" s="27" t="n">
        <x:v>2</x:v>
      </x:c>
      <x:c r="F730" s="27" t="n">
        <x:v>620</x:v>
      </x:c>
      <x:c r="G730" s="27" t="n">
        <x:v>86</x:v>
      </x:c>
      <x:c r="H730" s="27" t="n">
        <x:v>258</x:v>
      </x:c>
      <x:c r="I730" s="52" t="n">
        <x:v>0.8</x:v>
      </x:c>
      <x:c r="J730" s="13" t="str">
        <x:v>本港生产/腹地集散/港内加工</x:v>
      </x:c>
      <x:c r="K730" s="13" t="str">
        <x:v>每7个游戏日补充86货载单位。本地、所属岛链或相连腹地供货；成品由港内工坊加工，贸易规模是本作设计。</x:v>
      </x:c>
      <x:c r="L730" s="13" t="str">
        <x:v>港口发展度达到D2（≥250点）；不要求武装度。</x:v>
      </x:c>
    </x:row>
    <x:row r="731" ht="42" customHeight="1">
      <x:c r="A731" s="15" t="str">
        <x:v>P081</x:v>
      </x:c>
      <x:c r="B731" s="15" t="str">
        <x:v>广州</x:v>
      </x:c>
      <x:c r="C731" s="15" t="str">
        <x:v>G070</x:v>
      </x:c>
      <x:c r="D731" s="15" t="str">
        <x:v>瓷器</x:v>
      </x:c>
      <x:c r="E731" s="30" t="n">
        <x:v>3</x:v>
      </x:c>
      <x:c r="F731" s="30" t="n">
        <x:v>370</x:v>
      </x:c>
      <x:c r="G731" s="30" t="n">
        <x:v>31</x:v>
      </x:c>
      <x:c r="H731" s="30" t="n">
        <x:v>93</x:v>
      </x:c>
      <x:c r="I731" s="54" t="n">
        <x:v>0.8</x:v>
      </x:c>
      <x:c r="J731" s="15" t="str">
        <x:v>本港生产/腹地集散/港内加工</x:v>
      </x:c>
      <x:c r="K731" s="15" t="str">
        <x:v>每7个游戏日补充31货载单位。本地、所属岛链或相连腹地供货；成品由港内工坊加工，贸易规模是本作设计。</x:v>
      </x:c>
      <x:c r="L731" s="15" t="str">
        <x:v>港口发展度达到D3（≥450点）；不要求武装度。</x:v>
      </x:c>
    </x:row>
    <x:row r="732" ht="42" customHeight="1">
      <x:c r="A732" s="13" t="str">
        <x:v>P081</x:v>
      </x:c>
      <x:c r="B732" s="13" t="str">
        <x:v>广州</x:v>
      </x:c>
      <x:c r="C732" s="13" t="str">
        <x:v>G072</x:v>
      </x:c>
      <x:c r="D732" s="13" t="str">
        <x:v>漆器</x:v>
      </x:c>
      <x:c r="E732" s="27" t="n">
        <x:v>4</x:v>
      </x:c>
      <x:c r="F732" s="27" t="n">
        <x:v>480</x:v>
      </x:c>
      <x:c r="G732" s="27" t="n">
        <x:v>27</x:v>
      </x:c>
      <x:c r="H732" s="27" t="n">
        <x:v>81</x:v>
      </x:c>
      <x:c r="I732" s="52" t="n">
        <x:v>0.87</x:v>
      </x:c>
      <x:c r="J732" s="13" t="str">
        <x:v>本港生产/腹地集散/港内加工</x:v>
      </x:c>
      <x:c r="K732" s="13" t="str">
        <x:v>每7个游戏日补充27货载单位。本地、所属岛链或相连腹地供货；成品由港内工坊加工，贸易规模是本作设计。</x:v>
      </x:c>
      <x:c r="L732" s="13" t="str">
        <x:v>港口发展度达到D4（≥700点）；不要求武装度。</x:v>
      </x:c>
    </x:row>
    <x:row r="733" ht="42" customHeight="1">
      <x:c r="A733" s="15" t="str">
        <x:v>P081</x:v>
      </x:c>
      <x:c r="B733" s="15" t="str">
        <x:v>广州</x:v>
      </x:c>
      <x:c r="C733" s="15" t="str">
        <x:v>G073</x:v>
      </x:c>
      <x:c r="D733" s="15" t="str">
        <x:v>珠宝</x:v>
      </x:c>
      <x:c r="E733" s="30" t="n">
        <x:v>5</x:v>
      </x:c>
      <x:c r="F733" s="30" t="n">
        <x:v>760</x:v>
      </x:c>
      <x:c r="G733" s="30" t="n">
        <x:v>9</x:v>
      </x:c>
      <x:c r="H733" s="30" t="n">
        <x:v>27</x:v>
      </x:c>
      <x:c r="I733" s="54" t="n">
        <x:v>0.87</x:v>
      </x:c>
      <x:c r="J733" s="15" t="str">
        <x:v>本港生产/腹地集散/港内加工</x:v>
      </x:c>
      <x:c r="K733" s="15" t="str">
        <x:v>每7个游戏日补充9货载单位。本地、所属岛链或相连腹地供货；成品由港内工坊加工，贸易规模是本作设计。</x:v>
      </x:c>
      <x:c r="L733" s="15" t="str">
        <x:v>港口发展度达到D5（≥1000点）；不要求武装度。</x:v>
      </x:c>
    </x:row>
    <x:row r="734" ht="42" customHeight="1">
      <x:c r="A734" s="13" t="str">
        <x:v>P081</x:v>
      </x:c>
      <x:c r="B734" s="13" t="str">
        <x:v>广州</x:v>
      </x:c>
      <x:c r="C734" s="13" t="str">
        <x:v>SP081</x:v>
      </x:c>
      <x:c r="D734" s="13" t="str">
        <x:v>珠江百帆广彩匣</x:v>
      </x:c>
      <x:c r="E734" s="27" t="n">
        <x:v>4</x:v>
      </x:c>
      <x:c r="F734" s="27" t="n">
        <x:v>1380</x:v>
      </x:c>
      <x:c r="G734" s="27" t="n">
        <x:v>9</x:v>
      </x:c>
      <x:c r="H734" s="27" t="n">
        <x:v>18</x:v>
      </x:c>
      <x:c r="I734" s="52" t="n">
        <x:v>0.78</x:v>
      </x:c>
      <x:c r="J734" s="13" t="str">
        <x:v>港口独占原创工坊特产</x:v>
      </x:c>
      <x:c r="K734" s="13" t="str">
        <x:v>每7个游戏日由「百帆彩瓷工坊」交货9货载；只在本港形成稳定产源。</x:v>
      </x:c>
      <x:c r="L734" s="13" t="str">
        <x:v>港口发展度达到D4（≥700点）时，投资项目「百帆彩瓷工坊」自动完工；不要求武装度。</x:v>
      </x:c>
    </x:row>
    <x:row r="735" ht="42" customHeight="1">
      <x:c r="A735" s="15" t="str">
        <x:v>P082</x:v>
      </x:c>
      <x:c r="B735" s="15" t="str">
        <x:v>泉州</x:v>
      </x:c>
      <x:c r="C735" s="15" t="str">
        <x:v>G004</x:v>
      </x:c>
      <x:c r="D735" s="15" t="str">
        <x:v>稻米</x:v>
      </x:c>
      <x:c r="E735" s="30" t="n">
        <x:v>0</x:v>
      </x:c>
      <x:c r="F735" s="30" t="n">
        <x:v>55</x:v>
      </x:c>
      <x:c r="G735" s="30" t="n">
        <x:v>225</x:v>
      </x:c>
      <x:c r="H735" s="30" t="n">
        <x:v>675</x:v>
      </x:c>
      <x:c r="I735" s="54" t="n">
        <x:v>0.74</x:v>
      </x:c>
      <x:c r="J735" s="15" t="str">
        <x:v>本港生产/腹地集散/港内加工</x:v>
      </x:c>
      <x:c r="K735" s="15" t="str">
        <x:v>每7个游戏日补充225货载单位。本地、所属岛链或相连腹地供货；成品由港内工坊加工，贸易规模是本作设计。</x:v>
      </x:c>
      <x:c r="L735" s="15" t="str">
        <x:v>港口发展度达到D0（≥0点）；不要求武装度。</x:v>
      </x:c>
    </x:row>
    <x:row r="736" ht="42" customHeight="1">
      <x:c r="A736" s="13" t="str">
        <x:v>P082</x:v>
      </x:c>
      <x:c r="B736" s="13" t="str">
        <x:v>泉州</x:v>
      </x:c>
      <x:c r="C736" s="13" t="str">
        <x:v>G011</x:v>
      </x:c>
      <x:c r="D736" s="13" t="str">
        <x:v>砂糖</x:v>
      </x:c>
      <x:c r="E736" s="27" t="n">
        <x:v>0</x:v>
      </x:c>
      <x:c r="F736" s="27" t="n">
        <x:v>140</x:v>
      </x:c>
      <x:c r="G736" s="27" t="n">
        <x:v>175</x:v>
      </x:c>
      <x:c r="H736" s="27" t="n">
        <x:v>525</x:v>
      </x:c>
      <x:c r="I736" s="52" t="n">
        <x:v>0.74</x:v>
      </x:c>
      <x:c r="J736" s="13" t="str">
        <x:v>本港生产/腹地集散/港内加工</x:v>
      </x:c>
      <x:c r="K736" s="13" t="str">
        <x:v>每7个游戏日补充175货载单位。本地、所属岛链或相连腹地供货；成品由港内工坊加工，贸易规模是本作设计。</x:v>
      </x:c>
      <x:c r="L736" s="13" t="str">
        <x:v>港口发展度达到D0（≥0点）；不要求武装度。</x:v>
      </x:c>
    </x:row>
    <x:row r="737" ht="42" customHeight="1">
      <x:c r="A737" s="15" t="str">
        <x:v>P082</x:v>
      </x:c>
      <x:c r="B737" s="15" t="str">
        <x:v>泉州</x:v>
      </x:c>
      <x:c r="C737" s="15" t="str">
        <x:v>G020</x:v>
      </x:c>
      <x:c r="D737" s="15" t="str">
        <x:v>茶叶</x:v>
      </x:c>
      <x:c r="E737" s="30" t="n">
        <x:v>1</x:v>
      </x:c>
      <x:c r="F737" s="30" t="n">
        <x:v>210</x:v>
      </x:c>
      <x:c r="G737" s="30" t="n">
        <x:v>57</x:v>
      </x:c>
      <x:c r="H737" s="30" t="n">
        <x:v>171</x:v>
      </x:c>
      <x:c r="I737" s="54" t="n">
        <x:v>0.74</x:v>
      </x:c>
      <x:c r="J737" s="15" t="str">
        <x:v>本港生产/腹地集散/港内加工</x:v>
      </x:c>
      <x:c r="K737" s="15" t="str">
        <x:v>每7个游戏日补充57货载单位。本地、所属岛链或相连腹地供货；成品由港内工坊加工，贸易规模是本作设计。</x:v>
      </x:c>
      <x:c r="L737" s="15" t="str">
        <x:v>港口发展度达到D1（≥100点）；不要求武装度。</x:v>
      </x:c>
    </x:row>
    <x:row r="738" ht="42" customHeight="1">
      <x:c r="A738" s="13" t="str">
        <x:v>P082</x:v>
      </x:c>
      <x:c r="B738" s="13" t="str">
        <x:v>泉州</x:v>
      </x:c>
      <x:c r="C738" s="13" t="str">
        <x:v>G069</x:v>
      </x:c>
      <x:c r="D738" s="13" t="str">
        <x:v>粗陶器</x:v>
      </x:c>
      <x:c r="E738" s="27" t="n">
        <x:v>1</x:v>
      </x:c>
      <x:c r="F738" s="27" t="n">
        <x:v>90</x:v>
      </x:c>
      <x:c r="G738" s="27" t="n">
        <x:v>36</x:v>
      </x:c>
      <x:c r="H738" s="27" t="n">
        <x:v>108</x:v>
      </x:c>
      <x:c r="I738" s="52" t="n">
        <x:v>0.74</x:v>
      </x:c>
      <x:c r="J738" s="13" t="str">
        <x:v>本港生产/腹地集散/港内加工</x:v>
      </x:c>
      <x:c r="K738" s="13" t="str">
        <x:v>每7个游戏日补充36货载单位。本地、所属岛链或相连腹地供货；成品由港内工坊加工，贸易规模是本作设计。</x:v>
      </x:c>
      <x:c r="L738" s="13" t="str">
        <x:v>港口发展度达到D1（≥100点）；不要求武装度。</x:v>
      </x:c>
    </x:row>
    <x:row r="739" ht="42" customHeight="1">
      <x:c r="A739" s="15" t="str">
        <x:v>P082</x:v>
      </x:c>
      <x:c r="B739" s="15" t="str">
        <x:v>泉州</x:v>
      </x:c>
      <x:c r="C739" s="15" t="str">
        <x:v>G058</x:v>
      </x:c>
      <x:c r="D739" s="15" t="str">
        <x:v>铁锭</x:v>
      </x:c>
      <x:c r="E739" s="30" t="n">
        <x:v>2</x:v>
      </x:c>
      <x:c r="F739" s="30" t="n">
        <x:v>120</x:v>
      </x:c>
      <x:c r="G739" s="30" t="n">
        <x:v>42</x:v>
      </x:c>
      <x:c r="H739" s="30" t="n">
        <x:v>126</x:v>
      </x:c>
      <x:c r="I739" s="54" t="n">
        <x:v>0.8</x:v>
      </x:c>
      <x:c r="J739" s="15" t="str">
        <x:v>本港生产/腹地集散/港内加工</x:v>
      </x:c>
      <x:c r="K739" s="15" t="str">
        <x:v>每7个游戏日补充42货载单位。本地、所属岛链或相连腹地供货；成品由港内工坊加工，贸易规模是本作设计。</x:v>
      </x:c>
      <x:c r="L739" s="15" t="str">
        <x:v>港口发展度达到D2（≥250点）；不要求武装度。</x:v>
      </x:c>
    </x:row>
    <x:row r="740" ht="42" customHeight="1">
      <x:c r="A740" s="13" t="str">
        <x:v>P082</x:v>
      </x:c>
      <x:c r="B740" s="13" t="str">
        <x:v>泉州</x:v>
      </x:c>
      <x:c r="C740" s="13" t="str">
        <x:v>G042</x:v>
      </x:c>
      <x:c r="D740" s="13" t="str">
        <x:v>生丝</x:v>
      </x:c>
      <x:c r="E740" s="27" t="n">
        <x:v>3</x:v>
      </x:c>
      <x:c r="F740" s="27" t="n">
        <x:v>390</x:v>
      </x:c>
      <x:c r="G740" s="27" t="n">
        <x:v>108</x:v>
      </x:c>
      <x:c r="H740" s="27" t="n">
        <x:v>324</x:v>
      </x:c>
      <x:c r="I740" s="52" t="n">
        <x:v>0.8</x:v>
      </x:c>
      <x:c r="J740" s="13" t="str">
        <x:v>本港生产/腹地集散/港内加工</x:v>
      </x:c>
      <x:c r="K740" s="13" t="str">
        <x:v>每7个游戏日补充108货载单位。本地、所属岛链或相连腹地供货；成品由港内工坊加工，贸易规模是本作设计。</x:v>
      </x:c>
      <x:c r="L740" s="13" t="str">
        <x:v>港口发展度达到D3（≥450点）；不要求武装度。</x:v>
      </x:c>
    </x:row>
    <x:row r="741" ht="42" customHeight="1">
      <x:c r="A741" s="15" t="str">
        <x:v>P082</x:v>
      </x:c>
      <x:c r="B741" s="15" t="str">
        <x:v>泉州</x:v>
      </x:c>
      <x:c r="C741" s="15" t="str">
        <x:v>G070</x:v>
      </x:c>
      <x:c r="D741" s="15" t="str">
        <x:v>瓷器</x:v>
      </x:c>
      <x:c r="E741" s="30" t="n">
        <x:v>4</x:v>
      </x:c>
      <x:c r="F741" s="30" t="n">
        <x:v>370</x:v>
      </x:c>
      <x:c r="G741" s="30" t="n">
        <x:v>23</x:v>
      </x:c>
      <x:c r="H741" s="30" t="n">
        <x:v>69</x:v>
      </x:c>
      <x:c r="I741" s="54" t="n">
        <x:v>0.87</x:v>
      </x:c>
      <x:c r="J741" s="15" t="str">
        <x:v>本港生产/腹地集散/港内加工</x:v>
      </x:c>
      <x:c r="K741" s="15" t="str">
        <x:v>每7个游戏日补充23货载单位。本地、所属岛链或相连腹地供货；成品由港内工坊加工，贸易规模是本作设计。</x:v>
      </x:c>
      <x:c r="L741" s="15" t="str">
        <x:v>港口发展度达到D4（≥700点）；不要求武装度。</x:v>
      </x:c>
    </x:row>
    <x:row r="742" ht="42" customHeight="1">
      <x:c r="A742" s="13" t="str">
        <x:v>P082</x:v>
      </x:c>
      <x:c r="B742" s="13" t="str">
        <x:v>泉州</x:v>
      </x:c>
      <x:c r="C742" s="13" t="str">
        <x:v>G072</x:v>
      </x:c>
      <x:c r="D742" s="13" t="str">
        <x:v>漆器</x:v>
      </x:c>
      <x:c r="E742" s="27" t="n">
        <x:v>5</x:v>
      </x:c>
      <x:c r="F742" s="27" t="n">
        <x:v>480</x:v>
      </x:c>
      <x:c r="G742" s="27" t="n">
        <x:v>20</x:v>
      </x:c>
      <x:c r="H742" s="27" t="n">
        <x:v>60</x:v>
      </x:c>
      <x:c r="I742" s="52" t="n">
        <x:v>0.87</x:v>
      </x:c>
      <x:c r="J742" s="13" t="str">
        <x:v>本港生产/腹地集散/港内加工</x:v>
      </x:c>
      <x:c r="K742" s="13" t="str">
        <x:v>每7个游戏日补充20货载单位。本地、所属岛链或相连腹地供货；成品由港内工坊加工，贸易规模是本作设计。</x:v>
      </x:c>
      <x:c r="L742" s="13" t="str">
        <x:v>港口发展度达到D5（≥1000点）；不要求武装度。</x:v>
      </x:c>
    </x:row>
    <x:row r="743" ht="42" customHeight="1">
      <x:c r="A743" s="15" t="str">
        <x:v>P082</x:v>
      </x:c>
      <x:c r="B743" s="15" t="str">
        <x:v>泉州</x:v>
      </x:c>
      <x:c r="C743" s="15" t="str">
        <x:v>SP082</x:v>
      </x:c>
      <x:c r="D743" s="15" t="str">
        <x:v>刺桐白瓷潮生盏</x:v>
      </x:c>
      <x:c r="E743" s="30" t="n">
        <x:v>3</x:v>
      </x:c>
      <x:c r="F743" s="30" t="n">
        <x:v>880</x:v>
      </x:c>
      <x:c r="G743" s="30" t="n">
        <x:v>10</x:v>
      </x:c>
      <x:c r="H743" s="30" t="n">
        <x:v>20</x:v>
      </x:c>
      <x:c r="I743" s="54" t="n">
        <x:v>0.78</x:v>
      </x:c>
      <x:c r="J743" s="15" t="str">
        <x:v>港口独占原创工坊特产</x:v>
      </x:c>
      <x:c r="K743" s="15" t="str">
        <x:v>每7个游戏日由「潮生白瓷窑」交货10货载；只在本港形成稳定产源。</x:v>
      </x:c>
      <x:c r="L743" s="15" t="str">
        <x:v>港口发展度达到D3（≥450点）时，投资项目「潮生白瓷窑」自动完工；不要求武装度。</x:v>
      </x:c>
    </x:row>
    <x:row r="744" ht="42" customHeight="1">
      <x:c r="A744" s="13" t="str">
        <x:v>P083</x:v>
      </x:c>
      <x:c r="B744" s="13" t="str">
        <x:v>福州</x:v>
      </x:c>
      <x:c r="C744" s="13" t="str">
        <x:v>G004</x:v>
      </x:c>
      <x:c r="D744" s="13" t="str">
        <x:v>稻米</x:v>
      </x:c>
      <x:c r="E744" s="27" t="n">
        <x:v>0</x:v>
      </x:c>
      <x:c r="F744" s="27" t="n">
        <x:v>55</x:v>
      </x:c>
      <x:c r="G744" s="27" t="n">
        <x:v>214</x:v>
      </x:c>
      <x:c r="H744" s="27" t="n">
        <x:v>642</x:v>
      </x:c>
      <x:c r="I744" s="52" t="n">
        <x:v>0.74</x:v>
      </x:c>
      <x:c r="J744" s="13" t="str">
        <x:v>本港生产/腹地集散/港内加工</x:v>
      </x:c>
      <x:c r="K744" s="13" t="str">
        <x:v>每7个游戏日补充214货载单位。本地、所属岛链或相连腹地供货；成品由港内工坊加工，贸易规模是本作设计。</x:v>
      </x:c>
      <x:c r="L744" s="13" t="str">
        <x:v>港口发展度达到D0（≥0点）；不要求武装度。</x:v>
      </x:c>
    </x:row>
    <x:row r="745" ht="42" customHeight="1">
      <x:c r="A745" s="15" t="str">
        <x:v>P083</x:v>
      </x:c>
      <x:c r="B745" s="15" t="str">
        <x:v>福州</x:v>
      </x:c>
      <x:c r="C745" s="15" t="str">
        <x:v>G057</x:v>
      </x:c>
      <x:c r="D745" s="15" t="str">
        <x:v>松木</x:v>
      </x:c>
      <x:c r="E745" s="30" t="n">
        <x:v>0</x:v>
      </x:c>
      <x:c r="F745" s="30" t="n">
        <x:v>70</x:v>
      </x:c>
      <x:c r="G745" s="30" t="n">
        <x:v>131</x:v>
      </x:c>
      <x:c r="H745" s="30" t="n">
        <x:v>393</x:v>
      </x:c>
      <x:c r="I745" s="54" t="n">
        <x:v>0.74</x:v>
      </x:c>
      <x:c r="J745" s="15" t="str">
        <x:v>本港生产/腹地集散/港内加工</x:v>
      </x:c>
      <x:c r="K745" s="15" t="str">
        <x:v>每7个游戏日补充131货载单位。本地、所属岛链或相连腹地供货；成品由港内工坊加工，贸易规模是本作设计。</x:v>
      </x:c>
      <x:c r="L745" s="15" t="str">
        <x:v>港口发展度达到D0（≥0点）；不要求武装度。</x:v>
      </x:c>
    </x:row>
    <x:row r="746" ht="42" customHeight="1">
      <x:c r="A746" s="13" t="str">
        <x:v>P083</x:v>
      </x:c>
      <x:c r="B746" s="13" t="str">
        <x:v>福州</x:v>
      </x:c>
      <x:c r="C746" s="13" t="str">
        <x:v>G020</x:v>
      </x:c>
      <x:c r="D746" s="13" t="str">
        <x:v>茶叶</x:v>
      </x:c>
      <x:c r="E746" s="27" t="n">
        <x:v>1</x:v>
      </x:c>
      <x:c r="F746" s="27" t="n">
        <x:v>210</x:v>
      </x:c>
      <x:c r="G746" s="27" t="n">
        <x:v>54</x:v>
      </x:c>
      <x:c r="H746" s="27" t="n">
        <x:v>162</x:v>
      </x:c>
      <x:c r="I746" s="52" t="n">
        <x:v>0.74</x:v>
      </x:c>
      <x:c r="J746" s="13" t="str">
        <x:v>本港生产/腹地集散/港内加工</x:v>
      </x:c>
      <x:c r="K746" s="13" t="str">
        <x:v>每7个游戏日补充54货载单位。本地、所属岛链或相连腹地供货；成品由港内工坊加工，贸易规模是本作设计。</x:v>
      </x:c>
      <x:c r="L746" s="13" t="str">
        <x:v>港口发展度达到D1（≥100点）；不要求武装度。</x:v>
      </x:c>
    </x:row>
    <x:row r="747" ht="42" customHeight="1">
      <x:c r="A747" s="15" t="str">
        <x:v>P083</x:v>
      </x:c>
      <x:c r="B747" s="15" t="str">
        <x:v>福州</x:v>
      </x:c>
      <x:c r="C747" s="15" t="str">
        <x:v>G042</x:v>
      </x:c>
      <x:c r="D747" s="15" t="str">
        <x:v>生丝</x:v>
      </x:c>
      <x:c r="E747" s="30" t="n">
        <x:v>1</x:v>
      </x:c>
      <x:c r="F747" s="30" t="n">
        <x:v>390</x:v>
      </x:c>
      <x:c r="G747" s="30" t="n">
        <x:v>136</x:v>
      </x:c>
      <x:c r="H747" s="30" t="n">
        <x:v>408</x:v>
      </x:c>
      <x:c r="I747" s="54" t="n">
        <x:v>0.74</x:v>
      </x:c>
      <x:c r="J747" s="15" t="str">
        <x:v>本港生产/腹地集散/港内加工</x:v>
      </x:c>
      <x:c r="K747" s="15" t="str">
        <x:v>每7个游戏日补充136货载单位。本地、所属岛链或相连腹地供货；成品由港内工坊加工，贸易规模是本作设计。</x:v>
      </x:c>
      <x:c r="L747" s="15" t="str">
        <x:v>港口发展度达到D1（≥100点）；不要求武装度。</x:v>
      </x:c>
    </x:row>
    <x:row r="748" ht="42" customHeight="1">
      <x:c r="A748" s="13" t="str">
        <x:v>P083</x:v>
      </x:c>
      <x:c r="B748" s="13" t="str">
        <x:v>福州</x:v>
      </x:c>
      <x:c r="C748" s="13" t="str">
        <x:v>G011</x:v>
      </x:c>
      <x:c r="D748" s="13" t="str">
        <x:v>砂糖</x:v>
      </x:c>
      <x:c r="E748" s="27" t="n">
        <x:v>2</x:v>
      </x:c>
      <x:c r="F748" s="27" t="n">
        <x:v>140</x:v>
      </x:c>
      <x:c r="G748" s="27" t="n">
        <x:v>142</x:v>
      </x:c>
      <x:c r="H748" s="27" t="n">
        <x:v>426</x:v>
      </x:c>
      <x:c r="I748" s="52" t="n">
        <x:v>0.8</x:v>
      </x:c>
      <x:c r="J748" s="13" t="str">
        <x:v>本港生产/腹地集散/港内加工</x:v>
      </x:c>
      <x:c r="K748" s="13" t="str">
        <x:v>每7个游戏日补充142货载单位。本地、所属岛链或相连腹地供货；成品由港内工坊加工，贸易规模是本作设计。</x:v>
      </x:c>
      <x:c r="L748" s="13" t="str">
        <x:v>港口发展度达到D2（≥250点）；不要求武装度。</x:v>
      </x:c>
    </x:row>
    <x:row r="749" ht="42" customHeight="1">
      <x:c r="A749" s="15" t="str">
        <x:v>P083</x:v>
      </x:c>
      <x:c r="B749" s="15" t="str">
        <x:v>福州</x:v>
      </x:c>
      <x:c r="C749" s="15" t="str">
        <x:v>G070</x:v>
      </x:c>
      <x:c r="D749" s="15" t="str">
        <x:v>瓷器</x:v>
      </x:c>
      <x:c r="E749" s="30" t="n">
        <x:v>3</x:v>
      </x:c>
      <x:c r="F749" s="30" t="n">
        <x:v>370</x:v>
      </x:c>
      <x:c r="G749" s="30" t="n">
        <x:v>26</x:v>
      </x:c>
      <x:c r="H749" s="30" t="n">
        <x:v>78</x:v>
      </x:c>
      <x:c r="I749" s="54" t="n">
        <x:v>0.8</x:v>
      </x:c>
      <x:c r="J749" s="15" t="str">
        <x:v>本港生产/腹地集散/港内加工</x:v>
      </x:c>
      <x:c r="K749" s="15" t="str">
        <x:v>每7个游戏日补充26货载单位。本地、所属岛链或相连腹地供货；成品由港内工坊加工，贸易规模是本作设计。</x:v>
      </x:c>
      <x:c r="L749" s="15" t="str">
        <x:v>港口发展度达到D3（≥450点）；不要求武装度。</x:v>
      </x:c>
    </x:row>
    <x:row r="750" ht="42" customHeight="1">
      <x:c r="A750" s="13" t="str">
        <x:v>P083</x:v>
      </x:c>
      <x:c r="B750" s="13" t="str">
        <x:v>福州</x:v>
      </x:c>
      <x:c r="C750" s="13" t="str">
        <x:v>G098</x:v>
      </x:c>
      <x:c r="D750" s="13" t="str">
        <x:v>书籍</x:v>
      </x:c>
      <x:c r="E750" s="27" t="n">
        <x:v>4</x:v>
      </x:c>
      <x:c r="F750" s="27" t="n">
        <x:v>280</x:v>
      </x:c>
      <x:c r="G750" s="27" t="n">
        <x:v>9</x:v>
      </x:c>
      <x:c r="H750" s="27" t="n">
        <x:v>27</x:v>
      </x:c>
      <x:c r="I750" s="52" t="n">
        <x:v>0.87</x:v>
      </x:c>
      <x:c r="J750" s="13" t="str">
        <x:v>本港生产/腹地集散/港内加工</x:v>
      </x:c>
      <x:c r="K750" s="13" t="str">
        <x:v>每7个游戏日补充9货载单位。本地、所属岛链或相连腹地供货；成品由港内工坊加工，贸易规模是本作设计。</x:v>
      </x:c>
      <x:c r="L750" s="13" t="str">
        <x:v>港口发展度达到D4（≥700点）；不要求武装度。</x:v>
      </x:c>
    </x:row>
    <x:row r="751" ht="42" customHeight="1">
      <x:c r="A751" s="15" t="str">
        <x:v>P083</x:v>
      </x:c>
      <x:c r="B751" s="15" t="str">
        <x:v>福州</x:v>
      </x:c>
      <x:c r="C751" s="15" t="str">
        <x:v>G072</x:v>
      </x:c>
      <x:c r="D751" s="15" t="str">
        <x:v>漆器</x:v>
      </x:c>
      <x:c r="E751" s="30" t="n">
        <x:v>5</x:v>
      </x:c>
      <x:c r="F751" s="30" t="n">
        <x:v>480</x:v>
      </x:c>
      <x:c r="G751" s="30" t="n">
        <x:v>19</x:v>
      </x:c>
      <x:c r="H751" s="30" t="n">
        <x:v>57</x:v>
      </x:c>
      <x:c r="I751" s="54" t="n">
        <x:v>0.87</x:v>
      </x:c>
      <x:c r="J751" s="15" t="str">
        <x:v>本港生产/腹地集散/港内加工</x:v>
      </x:c>
      <x:c r="K751" s="15" t="str">
        <x:v>每7个游戏日补充19货载单位。本地、所属岛链或相连腹地供货；成品由港内工坊加工，贸易规模是本作设计。</x:v>
      </x:c>
      <x:c r="L751" s="15" t="str">
        <x:v>港口发展度达到D5（≥1000点）；不要求武装度。</x:v>
      </x:c>
    </x:row>
    <x:row r="752" ht="42" customHeight="1">
      <x:c r="A752" s="13" t="str">
        <x:v>P083</x:v>
      </x:c>
      <x:c r="B752" s="13" t="str">
        <x:v>福州</x:v>
      </x:c>
      <x:c r="C752" s="13" t="str">
        <x:v>SP083</x:v>
      </x:c>
      <x:c r="D752" s="13" t="str">
        <x:v>榕影脱胎漆杯</x:v>
      </x:c>
      <x:c r="E752" s="27" t="n">
        <x:v>4</x:v>
      </x:c>
      <x:c r="F752" s="27" t="n">
        <x:v>1020</x:v>
      </x:c>
      <x:c r="G752" s="27" t="n">
        <x:v>7</x:v>
      </x:c>
      <x:c r="H752" s="27" t="n">
        <x:v>14</x:v>
      </x:c>
      <x:c r="I752" s="52" t="n">
        <x:v>0.78</x:v>
      </x:c>
      <x:c r="J752" s="13" t="str">
        <x:v>港口独占原创工坊特产</x:v>
      </x:c>
      <x:c r="K752" s="13" t="str">
        <x:v>每7个游戏日由「榕影轻胎漆坊」交货7货载；只在本港形成稳定产源。</x:v>
      </x:c>
      <x:c r="L752" s="13" t="str">
        <x:v>港口发展度达到D4（≥700点）时，投资项目「榕影轻胎漆坊」自动完工；不要求武装度。</x:v>
      </x:c>
    </x:row>
    <x:row r="753" ht="42" customHeight="1">
      <x:c r="A753" s="15" t="str">
        <x:v>P084</x:v>
      </x:c>
      <x:c r="B753" s="15" t="str">
        <x:v>宁波</x:v>
      </x:c>
      <x:c r="C753" s="15" t="str">
        <x:v>G004</x:v>
      </x:c>
      <x:c r="D753" s="15" t="str">
        <x:v>稻米</x:v>
      </x:c>
      <x:c r="E753" s="30" t="n">
        <x:v>0</x:v>
      </x:c>
      <x:c r="F753" s="30" t="n">
        <x:v>55</x:v>
      </x:c>
      <x:c r="G753" s="30" t="n">
        <x:v>225</x:v>
      </x:c>
      <x:c r="H753" s="30" t="n">
        <x:v>675</x:v>
      </x:c>
      <x:c r="I753" s="54" t="n">
        <x:v>0.74</x:v>
      </x:c>
      <x:c r="J753" s="15" t="str">
        <x:v>本港生产/腹地集散/港内加工</x:v>
      </x:c>
      <x:c r="K753" s="15" t="str">
        <x:v>每7个游戏日补充225货载单位。本地、所属岛链或相连腹地供货；成品由港内工坊加工，贸易规模是本作设计。</x:v>
      </x:c>
      <x:c r="L753" s="15" t="str">
        <x:v>港口发展度达到D0（≥0点）；不要求武装度。</x:v>
      </x:c>
    </x:row>
    <x:row r="754" ht="42" customHeight="1">
      <x:c r="A754" s="13" t="str">
        <x:v>P084</x:v>
      </x:c>
      <x:c r="B754" s="13" t="str">
        <x:v>宁波</x:v>
      </x:c>
      <x:c r="C754" s="13" t="str">
        <x:v>G020</x:v>
      </x:c>
      <x:c r="D754" s="13" t="str">
        <x:v>茶叶</x:v>
      </x:c>
      <x:c r="E754" s="27" t="n">
        <x:v>0</x:v>
      </x:c>
      <x:c r="F754" s="27" t="n">
        <x:v>210</x:v>
      </x:c>
      <x:c r="G754" s="27" t="n">
        <x:v>60</x:v>
      </x:c>
      <x:c r="H754" s="27" t="n">
        <x:v>180</x:v>
      </x:c>
      <x:c r="I754" s="52" t="n">
        <x:v>0.74</x:v>
      </x:c>
      <x:c r="J754" s="13" t="str">
        <x:v>本港生产/腹地集散/港内加工</x:v>
      </x:c>
      <x:c r="K754" s="13" t="str">
        <x:v>每7个游戏日补充60货载单位。本地、所属岛链或相连腹地供货；成品由港内工坊加工，贸易规模是本作设计。</x:v>
      </x:c>
      <x:c r="L754" s="13" t="str">
        <x:v>港口发展度达到D0（≥0点）；不要求武装度。</x:v>
      </x:c>
    </x:row>
    <x:row r="755" ht="42" customHeight="1">
      <x:c r="A755" s="15" t="str">
        <x:v>P084</x:v>
      </x:c>
      <x:c r="B755" s="15" t="str">
        <x:v>宁波</x:v>
      </x:c>
      <x:c r="C755" s="15" t="str">
        <x:v>G009</x:v>
      </x:c>
      <x:c r="D755" s="15" t="str">
        <x:v>盐</x:v>
      </x:c>
      <x:c r="E755" s="30" t="n">
        <x:v>1</x:v>
      </x:c>
      <x:c r="F755" s="30" t="n">
        <x:v>28</x:v>
      </x:c>
      <x:c r="G755" s="30" t="n">
        <x:v>166</x:v>
      </x:c>
      <x:c r="H755" s="30" t="n">
        <x:v>498</x:v>
      </x:c>
      <x:c r="I755" s="54" t="n">
        <x:v>0.74</x:v>
      </x:c>
      <x:c r="J755" s="15" t="str">
        <x:v>本港生产/腹地集散/港内加工</x:v>
      </x:c>
      <x:c r="K755" s="15" t="str">
        <x:v>每7个游戏日补充166货载单位。本地、所属岛链或相连腹地供货；成品由港内工坊加工，贸易规模是本作设计。</x:v>
      </x:c>
      <x:c r="L755" s="15" t="str">
        <x:v>港口发展度达到D1（≥100点）；不要求武装度。</x:v>
      </x:c>
    </x:row>
    <x:row r="756" ht="42" customHeight="1">
      <x:c r="A756" s="13" t="str">
        <x:v>P084</x:v>
      </x:c>
      <x:c r="B756" s="13" t="str">
        <x:v>宁波</x:v>
      </x:c>
      <x:c r="C756" s="13" t="str">
        <x:v>G042</x:v>
      </x:c>
      <x:c r="D756" s="13" t="str">
        <x:v>生丝</x:v>
      </x:c>
      <x:c r="E756" s="27" t="n">
        <x:v>1</x:v>
      </x:c>
      <x:c r="F756" s="27" t="n">
        <x:v>390</x:v>
      </x:c>
      <x:c r="G756" s="27" t="n">
        <x:v>142</x:v>
      </x:c>
      <x:c r="H756" s="27" t="n">
        <x:v>426</x:v>
      </x:c>
      <x:c r="I756" s="52" t="n">
        <x:v>0.74</x:v>
      </x:c>
      <x:c r="J756" s="13" t="str">
        <x:v>本港生产/腹地集散/港内加工</x:v>
      </x:c>
      <x:c r="K756" s="13" t="str">
        <x:v>每7个游戏日补充142货载单位。本地、所属岛链或相连腹地供货；成品由港内工坊加工，贸易规模是本作设计。</x:v>
      </x:c>
      <x:c r="L756" s="13" t="str">
        <x:v>港口发展度达到D1（≥100点）；不要求武装度。</x:v>
      </x:c>
    </x:row>
    <x:row r="757" ht="42" customHeight="1">
      <x:c r="A757" s="15" t="str">
        <x:v>P084</x:v>
      </x:c>
      <x:c r="B757" s="15" t="str">
        <x:v>宁波</x:v>
      </x:c>
      <x:c r="C757" s="15" t="str">
        <x:v>G046</x:v>
      </x:c>
      <x:c r="D757" s="15" t="str">
        <x:v>丝绸</x:v>
      </x:c>
      <x:c r="E757" s="30" t="n">
        <x:v>2</x:v>
      </x:c>
      <x:c r="F757" s="30" t="n">
        <x:v>620</x:v>
      </x:c>
      <x:c r="G757" s="30" t="n">
        <x:v>74</x:v>
      </x:c>
      <x:c r="H757" s="30" t="n">
        <x:v>222</x:v>
      </x:c>
      <x:c r="I757" s="54" t="n">
        <x:v>0.8</x:v>
      </x:c>
      <x:c r="J757" s="15" t="str">
        <x:v>本港生产/腹地集散/港内加工</x:v>
      </x:c>
      <x:c r="K757" s="15" t="str">
        <x:v>每7个游戏日补充74货载单位。本地、所属岛链或相连腹地供货；成品由港内工坊加工，贸易规模是本作设计。</x:v>
      </x:c>
      <x:c r="L757" s="15" t="str">
        <x:v>港口发展度达到D2（≥250点）；不要求武装度。</x:v>
      </x:c>
    </x:row>
    <x:row r="758" ht="42" customHeight="1">
      <x:c r="A758" s="13" t="str">
        <x:v>P084</x:v>
      </x:c>
      <x:c r="B758" s="13" t="str">
        <x:v>宁波</x:v>
      </x:c>
      <x:c r="C758" s="13" t="str">
        <x:v>G070</x:v>
      </x:c>
      <x:c r="D758" s="13" t="str">
        <x:v>瓷器</x:v>
      </x:c>
      <x:c r="E758" s="27" t="n">
        <x:v>3</x:v>
      </x:c>
      <x:c r="F758" s="27" t="n">
        <x:v>370</x:v>
      </x:c>
      <x:c r="G758" s="27" t="n">
        <x:v>27</x:v>
      </x:c>
      <x:c r="H758" s="27" t="n">
        <x:v>81</x:v>
      </x:c>
      <x:c r="I758" s="52" t="n">
        <x:v>0.8</x:v>
      </x:c>
      <x:c r="J758" s="13" t="str">
        <x:v>本港生产/腹地集散/港内加工</x:v>
      </x:c>
      <x:c r="K758" s="13" t="str">
        <x:v>每7个游戏日补充27货载单位。本地、所属岛链或相连腹地供货；成品由港内工坊加工，贸易规模是本作设计。</x:v>
      </x:c>
      <x:c r="L758" s="13" t="str">
        <x:v>港口发展度达到D3（≥450点）；不要求武装度。</x:v>
      </x:c>
    </x:row>
    <x:row r="759" ht="42" customHeight="1">
      <x:c r="A759" s="15" t="str">
        <x:v>P084</x:v>
      </x:c>
      <x:c r="B759" s="15" t="str">
        <x:v>宁波</x:v>
      </x:c>
      <x:c r="C759" s="15" t="str">
        <x:v>G072</x:v>
      </x:c>
      <x:c r="D759" s="15" t="str">
        <x:v>漆器</x:v>
      </x:c>
      <x:c r="E759" s="30" t="n">
        <x:v>4</x:v>
      </x:c>
      <x:c r="F759" s="30" t="n">
        <x:v>480</x:v>
      </x:c>
      <x:c r="G759" s="30" t="n">
        <x:v>23</x:v>
      </x:c>
      <x:c r="H759" s="30" t="n">
        <x:v>69</x:v>
      </x:c>
      <x:c r="I759" s="54" t="n">
        <x:v>0.87</x:v>
      </x:c>
      <x:c r="J759" s="15" t="str">
        <x:v>本港生产/腹地集散/港内加工</x:v>
      </x:c>
      <x:c r="K759" s="15" t="str">
        <x:v>每7个游戏日补充23货载单位。本地、所属岛链或相连腹地供货；成品由港内工坊加工，贸易规模是本作设计。</x:v>
      </x:c>
      <x:c r="L759" s="15" t="str">
        <x:v>港口发展度达到D4（≥700点）；不要求武装度。</x:v>
      </x:c>
    </x:row>
    <x:row r="760" ht="42" customHeight="1">
      <x:c r="A760" s="13" t="str">
        <x:v>P084</x:v>
      </x:c>
      <x:c r="B760" s="13" t="str">
        <x:v>宁波</x:v>
      </x:c>
      <x:c r="C760" s="13" t="str">
        <x:v>G099</x:v>
      </x:c>
      <x:c r="D760" s="13" t="str">
        <x:v>航海仪器</x:v>
      </x:c>
      <x:c r="E760" s="27" t="n">
        <x:v>5</x:v>
      </x:c>
      <x:c r="F760" s="27" t="n">
        <x:v>650</x:v>
      </x:c>
      <x:c r="G760" s="27" t="n">
        <x:v>8</x:v>
      </x:c>
      <x:c r="H760" s="27" t="n">
        <x:v>24</x:v>
      </x:c>
      <x:c r="I760" s="52" t="n">
        <x:v>0.87</x:v>
      </x:c>
      <x:c r="J760" s="13" t="str">
        <x:v>本港生产/腹地集散/港内加工</x:v>
      </x:c>
      <x:c r="K760" s="13" t="str">
        <x:v>每7个游戏日补充8货载单位。本地、所属岛链或相连腹地供货；成品由港内工坊加工，贸易规模是本作设计。</x:v>
      </x:c>
      <x:c r="L760" s="13" t="str">
        <x:v>港口发展度达到D5（≥1000点）；不要求武装度。</x:v>
      </x:c>
    </x:row>
    <x:row r="761" ht="42" customHeight="1">
      <x:c r="A761" s="15" t="str">
        <x:v>P084</x:v>
      </x:c>
      <x:c r="B761" s="15" t="str">
        <x:v>宁波</x:v>
      </x:c>
      <x:c r="C761" s="15" t="str">
        <x:v>SP084</x:v>
      </x:c>
      <x:c r="D761" s="15" t="str">
        <x:v>甬江青瓷雨线壶</x:v>
      </x:c>
      <x:c r="E761" s="30" t="n">
        <x:v>3</x:v>
      </x:c>
      <x:c r="F761" s="30" t="n">
        <x:v>930</x:v>
      </x:c>
      <x:c r="G761" s="30" t="n">
        <x:v>10</x:v>
      </x:c>
      <x:c r="H761" s="30" t="n">
        <x:v>20</x:v>
      </x:c>
      <x:c r="I761" s="54" t="n">
        <x:v>0.78</x:v>
      </x:c>
      <x:c r="J761" s="15" t="str">
        <x:v>港口独占原创工坊特产</x:v>
      </x:c>
      <x:c r="K761" s="15" t="str">
        <x:v>每7个游戏日由「雨线青瓷工坊」交货10货载；只在本港形成稳定产源。</x:v>
      </x:c>
      <x:c r="L761" s="15" t="str">
        <x:v>港口发展度达到D3（≥450点）时，投资项目「雨线青瓷工坊」自动完工；不要求武装度。</x:v>
      </x:c>
    </x:row>
    <x:row r="762" ht="42" customHeight="1">
      <x:c r="A762" s="13" t="str">
        <x:v>P085</x:v>
      </x:c>
      <x:c r="B762" s="13" t="str">
        <x:v>南京</x:v>
      </x:c>
      <x:c r="C762" s="13" t="str">
        <x:v>G004</x:v>
      </x:c>
      <x:c r="D762" s="13" t="str">
        <x:v>稻米</x:v>
      </x:c>
      <x:c r="E762" s="27" t="n">
        <x:v>0</x:v>
      </x:c>
      <x:c r="F762" s="27" t="n">
        <x:v>55</x:v>
      </x:c>
      <x:c r="G762" s="27" t="n">
        <x:v>250</x:v>
      </x:c>
      <x:c r="H762" s="27" t="n">
        <x:v>750</x:v>
      </x:c>
      <x:c r="I762" s="52" t="n">
        <x:v>0.74</x:v>
      </x:c>
      <x:c r="J762" s="13" t="str">
        <x:v>本港生产/腹地集散/港内加工</x:v>
      </x:c>
      <x:c r="K762" s="13" t="str">
        <x:v>每7个游戏日补充250货载单位。本地、所属岛链或相连腹地供货；成品由港内工坊加工，贸易规模是本作设计。</x:v>
      </x:c>
      <x:c r="L762" s="13" t="str">
        <x:v>港口发展度达到D0（≥0点）；不要求武装度。</x:v>
      </x:c>
    </x:row>
    <x:row r="763" ht="42" customHeight="1">
      <x:c r="A763" s="15" t="str">
        <x:v>P085</x:v>
      </x:c>
      <x:c r="B763" s="15" t="str">
        <x:v>南京</x:v>
      </x:c>
      <x:c r="C763" s="15" t="str">
        <x:v>G042</x:v>
      </x:c>
      <x:c r="D763" s="15" t="str">
        <x:v>生丝</x:v>
      </x:c>
      <x:c r="E763" s="30" t="n">
        <x:v>0</x:v>
      </x:c>
      <x:c r="F763" s="30" t="n">
        <x:v>390</x:v>
      </x:c>
      <x:c r="G763" s="30" t="n">
        <x:v>167</x:v>
      </x:c>
      <x:c r="H763" s="30" t="n">
        <x:v>501</x:v>
      </x:c>
      <x:c r="I763" s="54" t="n">
        <x:v>0.74</x:v>
      </x:c>
      <x:c r="J763" s="15" t="str">
        <x:v>本港生产/腹地集散/港内加工</x:v>
      </x:c>
      <x:c r="K763" s="15" t="str">
        <x:v>每7个游戏日补充167货载单位。本地、所属岛链或相连腹地供货；成品由港内工坊加工，贸易规模是本作设计。</x:v>
      </x:c>
      <x:c r="L763" s="15" t="str">
        <x:v>港口发展度达到D0（≥0点）；不要求武装度。</x:v>
      </x:c>
    </x:row>
    <x:row r="764" ht="42" customHeight="1">
      <x:c r="A764" s="13" t="str">
        <x:v>P085</x:v>
      </x:c>
      <x:c r="B764" s="13" t="str">
        <x:v>南京</x:v>
      </x:c>
      <x:c r="C764" s="13" t="str">
        <x:v>G041</x:v>
      </x:c>
      <x:c r="D764" s="13" t="str">
        <x:v>大麻纤维</x:v>
      </x:c>
      <x:c r="E764" s="27" t="n">
        <x:v>1</x:v>
      </x:c>
      <x:c r="F764" s="27" t="n">
        <x:v>70</x:v>
      </x:c>
      <x:c r="G764" s="27" t="n">
        <x:v>158</x:v>
      </x:c>
      <x:c r="H764" s="27" t="n">
        <x:v>474</x:v>
      </x:c>
      <x:c r="I764" s="52" t="n">
        <x:v>0.74</x:v>
      </x:c>
      <x:c r="J764" s="13" t="str">
        <x:v>本港生产/腹地集散/港内加工</x:v>
      </x:c>
      <x:c r="K764" s="13" t="str">
        <x:v>每7个游戏日补充158货载单位。本地、所属岛链或相连腹地供货；成品由港内工坊加工，贸易规模是本作设计。</x:v>
      </x:c>
      <x:c r="L764" s="13" t="str">
        <x:v>港口发展度达到D1（≥100点）；不要求武装度。</x:v>
      </x:c>
    </x:row>
    <x:row r="765" ht="42" customHeight="1">
      <x:c r="A765" s="15" t="str">
        <x:v>P085</x:v>
      </x:c>
      <x:c r="B765" s="15" t="str">
        <x:v>南京</x:v>
      </x:c>
      <x:c r="C765" s="15" t="str">
        <x:v>G046</x:v>
      </x:c>
      <x:c r="D765" s="15" t="str">
        <x:v>丝绸</x:v>
      </x:c>
      <x:c r="E765" s="30" t="n">
        <x:v>1</x:v>
      </x:c>
      <x:c r="F765" s="30" t="n">
        <x:v>620</x:v>
      </x:c>
      <x:c r="G765" s="30" t="n">
        <x:v>92</x:v>
      </x:c>
      <x:c r="H765" s="30" t="n">
        <x:v>276</x:v>
      </x:c>
      <x:c r="I765" s="54" t="n">
        <x:v>0.74</x:v>
      </x:c>
      <x:c r="J765" s="15" t="str">
        <x:v>本港生产/腹地集散/港内加工</x:v>
      </x:c>
      <x:c r="K765" s="15" t="str">
        <x:v>每7个游戏日补充92货载单位。本地、所属岛链或相连腹地供货；成品由港内工坊加工，贸易规模是本作设计。</x:v>
      </x:c>
      <x:c r="L765" s="15" t="str">
        <x:v>港口发展度达到D1（≥100点）；不要求武装度。</x:v>
      </x:c>
    </x:row>
    <x:row r="766" ht="42" customHeight="1">
      <x:c r="A766" s="13" t="str">
        <x:v>P085</x:v>
      </x:c>
      <x:c r="B766" s="13" t="str">
        <x:v>南京</x:v>
      </x:c>
      <x:c r="C766" s="13" t="str">
        <x:v>G058</x:v>
      </x:c>
      <x:c r="D766" s="13" t="str">
        <x:v>铁锭</x:v>
      </x:c>
      <x:c r="E766" s="27" t="n">
        <x:v>2</x:v>
      </x:c>
      <x:c r="F766" s="27" t="n">
        <x:v>120</x:v>
      </x:c>
      <x:c r="G766" s="27" t="n">
        <x:v>47</x:v>
      </x:c>
      <x:c r="H766" s="27" t="n">
        <x:v>141</x:v>
      </x:c>
      <x:c r="I766" s="52" t="n">
        <x:v>0.8</x:v>
      </x:c>
      <x:c r="J766" s="13" t="str">
        <x:v>本港生产/腹地集散/港内加工</x:v>
      </x:c>
      <x:c r="K766" s="13" t="str">
        <x:v>每7个游戏日补充47货载单位。本地、所属岛链或相连腹地供货；成品由港内工坊加工，贸易规模是本作设计。</x:v>
      </x:c>
      <x:c r="L766" s="13" t="str">
        <x:v>港口发展度达到D2（≥250点）；不要求武装度。</x:v>
      </x:c>
    </x:row>
    <x:row r="767" ht="42" customHeight="1">
      <x:c r="A767" s="15" t="str">
        <x:v>P085</x:v>
      </x:c>
      <x:c r="B767" s="15" t="str">
        <x:v>南京</x:v>
      </x:c>
      <x:c r="C767" s="15" t="str">
        <x:v>G098</x:v>
      </x:c>
      <x:c r="D767" s="15" t="str">
        <x:v>书籍</x:v>
      </x:c>
      <x:c r="E767" s="30" t="n">
        <x:v>3</x:v>
      </x:c>
      <x:c r="F767" s="30" t="n">
        <x:v>280</x:v>
      </x:c>
      <x:c r="G767" s="30" t="n">
        <x:v>12</x:v>
      </x:c>
      <x:c r="H767" s="30" t="n">
        <x:v>36</x:v>
      </x:c>
      <x:c r="I767" s="54" t="n">
        <x:v>0.8</x:v>
      </x:c>
      <x:c r="J767" s="15" t="str">
        <x:v>本港生产/腹地集散/港内加工</x:v>
      </x:c>
      <x:c r="K767" s="15" t="str">
        <x:v>每7个游戏日补充12货载单位。本地、所属岛链或相连腹地供货；成品由港内工坊加工，贸易规模是本作设计。</x:v>
      </x:c>
      <x:c r="L767" s="15" t="str">
        <x:v>港口发展度达到D3（≥450点）；不要求武装度。</x:v>
      </x:c>
    </x:row>
    <x:row r="768" ht="42" customHeight="1">
      <x:c r="A768" s="13" t="str">
        <x:v>P085</x:v>
      </x:c>
      <x:c r="B768" s="13" t="str">
        <x:v>南京</x:v>
      </x:c>
      <x:c r="C768" s="13" t="str">
        <x:v>G047</x:v>
      </x:c>
      <x:c r="D768" s="13" t="str">
        <x:v>锦缎</x:v>
      </x:c>
      <x:c r="E768" s="27" t="n">
        <x:v>4</x:v>
      </x:c>
      <x:c r="F768" s="27" t="n">
        <x:v>850</x:v>
      </x:c>
      <x:c r="G768" s="27" t="n">
        <x:v>60</x:v>
      </x:c>
      <x:c r="H768" s="27" t="n">
        <x:v>180</x:v>
      </x:c>
      <x:c r="I768" s="52" t="n">
        <x:v>0.87</x:v>
      </x:c>
      <x:c r="J768" s="13" t="str">
        <x:v>本港生产/腹地集散/港内加工</x:v>
      </x:c>
      <x:c r="K768" s="13" t="str">
        <x:v>每7个游戏日补充60货载单位。本地、所属岛链或相连腹地供货；成品由港内工坊加工，贸易规模是本作设计。</x:v>
      </x:c>
      <x:c r="L768" s="13" t="str">
        <x:v>港口发展度达到D4（≥700点）；不要求武装度。</x:v>
      </x:c>
    </x:row>
    <x:row r="769" ht="42" customHeight="1">
      <x:c r="A769" s="15" t="str">
        <x:v>P085</x:v>
      </x:c>
      <x:c r="B769" s="15" t="str">
        <x:v>南京</x:v>
      </x:c>
      <x:c r="C769" s="15" t="str">
        <x:v>G100</x:v>
      </x:c>
      <x:c r="D769" s="15" t="str">
        <x:v>钟表</x:v>
      </x:c>
      <x:c r="E769" s="30" t="n">
        <x:v>5</x:v>
      </x:c>
      <x:c r="F769" s="30" t="n">
        <x:v>900</x:v>
      </x:c>
      <x:c r="G769" s="30" t="n">
        <x:v>9</x:v>
      </x:c>
      <x:c r="H769" s="30" t="n">
        <x:v>27</x:v>
      </x:c>
      <x:c r="I769" s="54" t="n">
        <x:v>0.87</x:v>
      </x:c>
      <x:c r="J769" s="15" t="str">
        <x:v>本港生产/腹地集散/港内加工</x:v>
      </x:c>
      <x:c r="K769" s="15" t="str">
        <x:v>每7个游戏日补充9货载单位。本地、所属岛链或相连腹地供货；成品由港内工坊加工，贸易规模是本作设计。</x:v>
      </x:c>
      <x:c r="L769" s="15" t="str">
        <x:v>港口发展度达到D5（≥1000点）；不要求武装度。</x:v>
      </x:c>
    </x:row>
    <x:row r="770" ht="42" customHeight="1">
      <x:c r="A770" s="13" t="str">
        <x:v>P085</x:v>
      </x:c>
      <x:c r="B770" s="13" t="str">
        <x:v>南京</x:v>
      </x:c>
      <x:c r="C770" s="13" t="str">
        <x:v>SP085</x:v>
      </x:c>
      <x:c r="D770" s="13" t="str">
        <x:v>金陵星河云锦</x:v>
      </x:c>
      <x:c r="E770" s="27" t="n">
        <x:v>4</x:v>
      </x:c>
      <x:c r="F770" s="27" t="n">
        <x:v>1640</x:v>
      </x:c>
      <x:c r="G770" s="27" t="n">
        <x:v>8</x:v>
      </x:c>
      <x:c r="H770" s="27" t="n">
        <x:v>16</x:v>
      </x:c>
      <x:c r="I770" s="52" t="n">
        <x:v>0.78</x:v>
      </x:c>
      <x:c r="J770" s="13" t="str">
        <x:v>港口独占原创工坊特产</x:v>
      </x:c>
      <x:c r="K770" s="13" t="str">
        <x:v>每7个游戏日由「星河云锦总坊」交货8货载；只在本港形成稳定产源。</x:v>
      </x:c>
      <x:c r="L770" s="13" t="str">
        <x:v>港口发展度达到D4（≥700点）时，投资项目「星河云锦总坊」自动完工；不要求武装度。</x:v>
      </x:c>
    </x:row>
    <x:row r="771" ht="42" customHeight="1">
      <x:c r="A771" s="15" t="str">
        <x:v>P086</x:v>
      </x:c>
      <x:c r="B771" s="15" t="str">
        <x:v>安平</x:v>
      </x:c>
      <x:c r="C771" s="15" t="str">
        <x:v>G004</x:v>
      </x:c>
      <x:c r="D771" s="15" t="str">
        <x:v>稻米</x:v>
      </x:c>
      <x:c r="E771" s="30" t="n">
        <x:v>0</x:v>
      </x:c>
      <x:c r="F771" s="30" t="n">
        <x:v>55</x:v>
      </x:c>
      <x:c r="G771" s="30" t="n">
        <x:v>182</x:v>
      </x:c>
      <x:c r="H771" s="30" t="n">
        <x:v>546</x:v>
      </x:c>
      <x:c r="I771" s="54" t="n">
        <x:v>0.74</x:v>
      </x:c>
      <x:c r="J771" s="15" t="str">
        <x:v>本港生产/腹地集散/港内加工</x:v>
      </x:c>
      <x:c r="K771" s="15" t="str">
        <x:v>每7个游戏日补充182货载单位。本地、所属岛链或相连腹地供货；成品由港内工坊加工，贸易规模是本作设计。</x:v>
      </x:c>
      <x:c r="L771" s="15" t="str">
        <x:v>港口发展度达到D0（≥0点）；不要求武装度。</x:v>
      </x:c>
    </x:row>
    <x:row r="772" ht="42" customHeight="1">
      <x:c r="A772" s="13" t="str">
        <x:v>P086</x:v>
      </x:c>
      <x:c r="B772" s="13" t="str">
        <x:v>安平</x:v>
      </x:c>
      <x:c r="C772" s="13" t="str">
        <x:v>G011</x:v>
      </x:c>
      <x:c r="D772" s="13" t="str">
        <x:v>砂糖</x:v>
      </x:c>
      <x:c r="E772" s="27" t="n">
        <x:v>0</x:v>
      </x:c>
      <x:c r="F772" s="27" t="n">
        <x:v>140</x:v>
      </x:c>
      <x:c r="G772" s="27" t="n">
        <x:v>141</x:v>
      </x:c>
      <x:c r="H772" s="27" t="n">
        <x:v>423</x:v>
      </x:c>
      <x:c r="I772" s="52" t="n">
        <x:v>0.74</x:v>
      </x:c>
      <x:c r="J772" s="13" t="str">
        <x:v>本港生产/腹地集散/港内加工</x:v>
      </x:c>
      <x:c r="K772" s="13" t="str">
        <x:v>每7个游戏日补充141货载单位。本地、所属岛链或相连腹地供货；成品由港内工坊加工，贸易规模是本作设计。</x:v>
      </x:c>
      <x:c r="L772" s="13" t="str">
        <x:v>港口发展度达到D0（≥0点）；不要求武装度。</x:v>
      </x:c>
    </x:row>
    <x:row r="773" ht="42" customHeight="1">
      <x:c r="A773" s="15" t="str">
        <x:v>P086</x:v>
      </x:c>
      <x:c r="B773" s="15" t="str">
        <x:v>安平</x:v>
      </x:c>
      <x:c r="C773" s="15" t="str">
        <x:v>G009</x:v>
      </x:c>
      <x:c r="D773" s="15" t="str">
        <x:v>盐</x:v>
      </x:c>
      <x:c r="E773" s="30" t="n">
        <x:v>1</x:v>
      </x:c>
      <x:c r="F773" s="30" t="n">
        <x:v>28</x:v>
      </x:c>
      <x:c r="G773" s="30" t="n">
        <x:v>134</x:v>
      </x:c>
      <x:c r="H773" s="30" t="n">
        <x:v>402</x:v>
      </x:c>
      <x:c r="I773" s="54" t="n">
        <x:v>0.74</x:v>
      </x:c>
      <x:c r="J773" s="15" t="str">
        <x:v>本港生产/腹地集散/港内加工</x:v>
      </x:c>
      <x:c r="K773" s="15" t="str">
        <x:v>每7个游戏日补充134货载单位。本地、所属岛链或相连腹地供货；成品由港内工坊加工，贸易规模是本作设计。</x:v>
      </x:c>
      <x:c r="L773" s="15" t="str">
        <x:v>港口发展度达到D1（≥100点）；不要求武装度。</x:v>
      </x:c>
    </x:row>
    <x:row r="774" ht="42" customHeight="1">
      <x:c r="A774" s="13" t="str">
        <x:v>P086</x:v>
      </x:c>
      <x:c r="B774" s="13" t="str">
        <x:v>安平</x:v>
      </x:c>
      <x:c r="C774" s="13" t="str">
        <x:v>G015</x:v>
      </x:c>
      <x:c r="D774" s="13" t="str">
        <x:v>咸鱼</x:v>
      </x:c>
      <x:c r="E774" s="27" t="n">
        <x:v>1</x:v>
      </x:c>
      <x:c r="F774" s="27" t="n">
        <x:v>65</x:v>
      </x:c>
      <x:c r="G774" s="27" t="n">
        <x:v>134</x:v>
      </x:c>
      <x:c r="H774" s="27" t="n">
        <x:v>402</x:v>
      </x:c>
      <x:c r="I774" s="52" t="n">
        <x:v>0.74</x:v>
      </x:c>
      <x:c r="J774" s="13" t="str">
        <x:v>本港生产/腹地集散/港内加工</x:v>
      </x:c>
      <x:c r="K774" s="13" t="str">
        <x:v>每7个游戏日补充134货载单位。本地、所属岛链或相连腹地供货；成品由港内工坊加工，贸易规模是本作设计。</x:v>
      </x:c>
      <x:c r="L774" s="13" t="str">
        <x:v>港口发展度达到D1（≥100点）；不要求武装度。</x:v>
      </x:c>
    </x:row>
    <x:row r="775" ht="42" customHeight="1">
      <x:c r="A775" s="15" t="str">
        <x:v>P086</x:v>
      </x:c>
      <x:c r="B775" s="15" t="str">
        <x:v>安平</x:v>
      </x:c>
      <x:c r="C775" s="15" t="str">
        <x:v>G012</x:v>
      </x:c>
      <x:c r="D775" s="15" t="str">
        <x:v>糖蜜</x:v>
      </x:c>
      <x:c r="E775" s="30" t="n">
        <x:v>2</x:v>
      </x:c>
      <x:c r="F775" s="30" t="n">
        <x:v>70</x:v>
      </x:c>
      <x:c r="G775" s="30" t="n">
        <x:v>120</x:v>
      </x:c>
      <x:c r="H775" s="30" t="n">
        <x:v>360</x:v>
      </x:c>
      <x:c r="I775" s="54" t="n">
        <x:v>0.8</x:v>
      </x:c>
      <x:c r="J775" s="15" t="str">
        <x:v>本港生产/腹地集散/港内加工</x:v>
      </x:c>
      <x:c r="K775" s="15" t="str">
        <x:v>每7个游戏日补充120货载单位。本地、所属岛链或相连腹地供货；成品由港内工坊加工，贸易规模是本作设计。</x:v>
      </x:c>
      <x:c r="L775" s="15" t="str">
        <x:v>港口发展度达到D2（≥250点）；不要求武装度。</x:v>
      </x:c>
    </x:row>
    <x:row r="776" ht="42" customHeight="1">
      <x:c r="A776" s="13" t="str">
        <x:v>P086</x:v>
      </x:c>
      <x:c r="B776" s="13" t="str">
        <x:v>安平</x:v>
      </x:c>
      <x:c r="C776" s="13" t="str">
        <x:v>G079</x:v>
      </x:c>
      <x:c r="D776" s="13" t="str">
        <x:v>皮革</x:v>
      </x:c>
      <x:c r="E776" s="27" t="n">
        <x:v>3</x:v>
      </x:c>
      <x:c r="F776" s="27" t="n">
        <x:v>110</x:v>
      </x:c>
      <x:c r="G776" s="27" t="n">
        <x:v>51</x:v>
      </x:c>
      <x:c r="H776" s="27" t="n">
        <x:v>153</x:v>
      </x:c>
      <x:c r="I776" s="52" t="n">
        <x:v>0.8</x:v>
      </x:c>
      <x:c r="J776" s="13" t="str">
        <x:v>本港生产/腹地集散/港内加工</x:v>
      </x:c>
      <x:c r="K776" s="13" t="str">
        <x:v>每7个游戏日补充51货载单位。本地、所属岛链或相连腹地供货；成品由港内工坊加工，贸易规模是本作设计。</x:v>
      </x:c>
      <x:c r="L776" s="13" t="str">
        <x:v>港口发展度达到D3（≥450点）；不要求武装度。</x:v>
      </x:c>
    </x:row>
    <x:row r="777" ht="42" customHeight="1">
      <x:c r="A777" s="15" t="str">
        <x:v>P086</x:v>
      </x:c>
      <x:c r="B777" s="15" t="str">
        <x:v>安平</x:v>
      </x:c>
      <x:c r="C777" s="15" t="str">
        <x:v>G043</x:v>
      </x:c>
      <x:c r="D777" s="15" t="str">
        <x:v>棉布</x:v>
      </x:c>
      <x:c r="E777" s="30" t="n">
        <x:v>4</x:v>
      </x:c>
      <x:c r="F777" s="30" t="n">
        <x:v>160</x:v>
      </x:c>
      <x:c r="G777" s="30" t="n">
        <x:v>44</x:v>
      </x:c>
      <x:c r="H777" s="30" t="n">
        <x:v>132</x:v>
      </x:c>
      <x:c r="I777" s="54" t="n">
        <x:v>0.87</x:v>
      </x:c>
      <x:c r="J777" s="15" t="str">
        <x:v>本港生产/腹地集散/港内加工</x:v>
      </x:c>
      <x:c r="K777" s="15" t="str">
        <x:v>每7个游戏日补充44货载单位。本地、所属岛链或相连腹地供货；成品由港内工坊加工，贸易规模是本作设计。</x:v>
      </x:c>
      <x:c r="L777" s="15" t="str">
        <x:v>港口发展度达到D4（≥700点）；不要求武装度。</x:v>
      </x:c>
    </x:row>
    <x:row r="778" ht="42" customHeight="1">
      <x:c r="A778" s="13" t="str">
        <x:v>P086</x:v>
      </x:c>
      <x:c r="B778" s="13" t="str">
        <x:v>安平</x:v>
      </x:c>
      <x:c r="C778" s="13" t="str">
        <x:v>G096</x:v>
      </x:c>
      <x:c r="D778" s="13" t="str">
        <x:v>贝壳工艺品</x:v>
      </x:c>
      <x:c r="E778" s="27" t="n">
        <x:v>5</x:v>
      </x:c>
      <x:c r="F778" s="27" t="n">
        <x:v>210</x:v>
      </x:c>
      <x:c r="G778" s="27" t="n">
        <x:v>16</x:v>
      </x:c>
      <x:c r="H778" s="27" t="n">
        <x:v>48</x:v>
      </x:c>
      <x:c r="I778" s="52" t="n">
        <x:v>0.87</x:v>
      </x:c>
      <x:c r="J778" s="13" t="str">
        <x:v>本港生产/腹地集散/港内加工</x:v>
      </x:c>
      <x:c r="K778" s="13" t="str">
        <x:v>每7个游戏日补充16货载单位。本地、所属岛链或相连腹地供货；成品由港内工坊加工，贸易规模是本作设计。</x:v>
      </x:c>
      <x:c r="L778" s="13" t="str">
        <x:v>港口发展度达到D5（≥1000点）；不要求武装度。</x:v>
      </x:c>
    </x:row>
    <x:row r="779" ht="42" customHeight="1">
      <x:c r="A779" s="15" t="str">
        <x:v>P086</x:v>
      </x:c>
      <x:c r="B779" s="15" t="str">
        <x:v>安平</x:v>
      </x:c>
      <x:c r="C779" s="15" t="str">
        <x:v>SP086</x:v>
      </x:c>
      <x:c r="D779" s="15" t="str">
        <x:v>安平日落蔗晶</x:v>
      </x:c>
      <x:c r="E779" s="30" t="n">
        <x:v>3</x:v>
      </x:c>
      <x:c r="F779" s="30" t="n">
        <x:v>420</x:v>
      </x:c>
      <x:c r="G779" s="30" t="n">
        <x:v>8</x:v>
      </x:c>
      <x:c r="H779" s="30" t="n">
        <x:v>16</x:v>
      </x:c>
      <x:c r="I779" s="54" t="n">
        <x:v>0.78</x:v>
      </x:c>
      <x:c r="J779" s="15" t="str">
        <x:v>港口独占原创工坊特产</x:v>
      </x:c>
      <x:c r="K779" s="15" t="str">
        <x:v>每7个游戏日由「日落糖晶工坊」交货8货载；只在本港形成稳定产源。</x:v>
      </x:c>
      <x:c r="L779" s="15" t="str">
        <x:v>港口发展度达到D3（≥450点）时，投资项目「日落糖晶工坊」自动完工；不要求武装度。</x:v>
      </x:c>
    </x:row>
    <x:row r="780" ht="42" customHeight="1">
      <x:c r="A780" s="13" t="str">
        <x:v>P087</x:v>
      </x:c>
      <x:c r="B780" s="13" t="str">
        <x:v>马公</x:v>
      </x:c>
      <x:c r="C780" s="13" t="str">
        <x:v>G015</x:v>
      </x:c>
      <x:c r="D780" s="13" t="str">
        <x:v>咸鱼</x:v>
      </x:c>
      <x:c r="E780" s="27" t="n">
        <x:v>0</x:v>
      </x:c>
      <x:c r="F780" s="27" t="n">
        <x:v>65</x:v>
      </x:c>
      <x:c r="G780" s="27" t="n">
        <x:v>113</x:v>
      </x:c>
      <x:c r="H780" s="27" t="n">
        <x:v>339</x:v>
      </x:c>
      <x:c r="I780" s="52" t="n">
        <x:v>0.74</x:v>
      </x:c>
      <x:c r="J780" s="13" t="str">
        <x:v>本港生产/腹地集散/港内加工</x:v>
      </x:c>
      <x:c r="K780" s="13" t="str">
        <x:v>每7个游戏日补充113货载单位。本地、所属岛链或相连腹地供货；成品由港内工坊加工，贸易规模是本作设计。</x:v>
      </x:c>
      <x:c r="L780" s="13" t="str">
        <x:v>港口发展度达到D0（≥0点）；不要求武装度。</x:v>
      </x:c>
    </x:row>
    <x:row r="781" ht="42" customHeight="1">
      <x:c r="A781" s="15" t="str">
        <x:v>P087</x:v>
      </x:c>
      <x:c r="B781" s="15" t="str">
        <x:v>马公</x:v>
      </x:c>
      <x:c r="C781" s="15" t="str">
        <x:v>G009</x:v>
      </x:c>
      <x:c r="D781" s="15" t="str">
        <x:v>盐</x:v>
      </x:c>
      <x:c r="E781" s="30" t="n">
        <x:v>0</x:v>
      </x:c>
      <x:c r="F781" s="30" t="n">
        <x:v>28</x:v>
      </x:c>
      <x:c r="G781" s="30" t="n">
        <x:v>113</x:v>
      </x:c>
      <x:c r="H781" s="30" t="n">
        <x:v>339</x:v>
      </x:c>
      <x:c r="I781" s="54" t="n">
        <x:v>0.74</x:v>
      </x:c>
      <x:c r="J781" s="15" t="str">
        <x:v>本港生产/腹地集散/港内加工</x:v>
      </x:c>
      <x:c r="K781" s="15" t="str">
        <x:v>每7个游戏日补充113货载单位。本地、所属岛链或相连腹地供货；成品由港内工坊加工，贸易规模是本作设计。</x:v>
      </x:c>
      <x:c r="L781" s="15" t="str">
        <x:v>港口发展度达到D0（≥0点）；不要求武装度。</x:v>
      </x:c>
    </x:row>
    <x:row r="782" ht="42" customHeight="1">
      <x:c r="A782" s="13" t="str">
        <x:v>P087</x:v>
      </x:c>
      <x:c r="B782" s="13" t="str">
        <x:v>马公</x:v>
      </x:c>
      <x:c r="C782" s="13" t="str">
        <x:v>G092</x:v>
      </x:c>
      <x:c r="D782" s="13" t="str">
        <x:v>海藻</x:v>
      </x:c>
      <x:c r="E782" s="27" t="n">
        <x:v>1</x:v>
      </x:c>
      <x:c r="F782" s="27" t="n">
        <x:v>45</x:v>
      </x:c>
      <x:c r="G782" s="27" t="n">
        <x:v>108</x:v>
      </x:c>
      <x:c r="H782" s="27" t="n">
        <x:v>324</x:v>
      </x:c>
      <x:c r="I782" s="52" t="n">
        <x:v>0.74</x:v>
      </x:c>
      <x:c r="J782" s="13" t="str">
        <x:v>本港生产/腹地集散/港内加工</x:v>
      </x:c>
      <x:c r="K782" s="13" t="str">
        <x:v>每7个游戏日补充108货载单位。本地、所属岛链或相连腹地供货；成品由港内工坊加工，贸易规模是本作设计。</x:v>
      </x:c>
      <x:c r="L782" s="13" t="str">
        <x:v>港口发展度达到D1（≥100点）；不要求武装度。</x:v>
      </x:c>
    </x:row>
    <x:row r="783" ht="42" customHeight="1">
      <x:c r="A783" s="15" t="str">
        <x:v>P087</x:v>
      </x:c>
      <x:c r="B783" s="15" t="str">
        <x:v>马公</x:v>
      </x:c>
      <x:c r="C783" s="15" t="str">
        <x:v>G091</x:v>
      </x:c>
      <x:c r="D783" s="15" t="str">
        <x:v>鱼油</x:v>
      </x:c>
      <x:c r="E783" s="30" t="n">
        <x:v>1</x:v>
      </x:c>
      <x:c r="F783" s="30" t="n">
        <x:v>80</x:v>
      </x:c>
      <x:c r="G783" s="30" t="n">
        <x:v>54</x:v>
      </x:c>
      <x:c r="H783" s="30" t="n">
        <x:v>162</x:v>
      </x:c>
      <x:c r="I783" s="54" t="n">
        <x:v>0.74</x:v>
      </x:c>
      <x:c r="J783" s="15" t="str">
        <x:v>本港生产/腹地集散/港内加工</x:v>
      </x:c>
      <x:c r="K783" s="15" t="str">
        <x:v>每7个游戏日补充54货载单位。本地、所属岛链或相连腹地供货；成品由港内工坊加工，贸易规模是本作设计。</x:v>
      </x:c>
      <x:c r="L783" s="15" t="str">
        <x:v>港口发展度达到D1（≥100点）；不要求武装度。</x:v>
      </x:c>
    </x:row>
    <x:row r="784" ht="42" customHeight="1">
      <x:c r="A784" s="13" t="str">
        <x:v>P087</x:v>
      </x:c>
      <x:c r="B784" s="13" t="str">
        <x:v>马公</x:v>
      </x:c>
      <x:c r="C784" s="13" t="str">
        <x:v>G075</x:v>
      </x:c>
      <x:c r="D784" s="13" t="str">
        <x:v>珊瑚</x:v>
      </x:c>
      <x:c r="E784" s="27" t="n">
        <x:v>2</x:v>
      </x:c>
      <x:c r="F784" s="27" t="n">
        <x:v>330</x:v>
      </x:c>
      <x:c r="G784" s="27" t="n">
        <x:v>6</x:v>
      </x:c>
      <x:c r="H784" s="27" t="n">
        <x:v>18</x:v>
      </x:c>
      <x:c r="I784" s="52" t="n">
        <x:v>0.8</x:v>
      </x:c>
      <x:c r="J784" s="13" t="str">
        <x:v>本港生产/腹地集散/港内加工</x:v>
      </x:c>
      <x:c r="K784" s="13" t="str">
        <x:v>每7个游戏日补充6货载单位。本地、所属岛链或相连腹地供货；成品由港内工坊加工，贸易规模是本作设计。</x:v>
      </x:c>
      <x:c r="L784" s="13" t="str">
        <x:v>港口发展度达到D2（≥250点）；不要求武装度。</x:v>
      </x:c>
    </x:row>
    <x:row r="785" ht="42" customHeight="1">
      <x:c r="A785" s="15" t="str">
        <x:v>P087</x:v>
      </x:c>
      <x:c r="B785" s="15" t="str">
        <x:v>马公</x:v>
      </x:c>
      <x:c r="C785" s="15" t="str">
        <x:v>G074</x:v>
      </x:c>
      <x:c r="D785" s="15" t="str">
        <x:v>珍珠</x:v>
      </x:c>
      <x:c r="E785" s="30" t="n">
        <x:v>3</x:v>
      </x:c>
      <x:c r="F785" s="30" t="n">
        <x:v>680</x:v>
      </x:c>
      <x:c r="G785" s="30" t="n">
        <x:v>5</x:v>
      </x:c>
      <x:c r="H785" s="30" t="n">
        <x:v>15</x:v>
      </x:c>
      <x:c r="I785" s="54" t="n">
        <x:v>0.8</x:v>
      </x:c>
      <x:c r="J785" s="15" t="str">
        <x:v>本港生产/腹地集散/港内加工</x:v>
      </x:c>
      <x:c r="K785" s="15" t="str">
        <x:v>每7个游戏日补充5货载单位。本地、所属岛链或相连腹地供货；成品由港内工坊加工，贸易规模是本作设计。</x:v>
      </x:c>
      <x:c r="L785" s="15" t="str">
        <x:v>港口发展度达到D3（≥450点）；不要求武装度。</x:v>
      </x:c>
    </x:row>
    <x:row r="786" ht="42" customHeight="1">
      <x:c r="A786" s="13" t="str">
        <x:v>P087</x:v>
      </x:c>
      <x:c r="B786" s="13" t="str">
        <x:v>马公</x:v>
      </x:c>
      <x:c r="C786" s="13" t="str">
        <x:v>G043</x:v>
      </x:c>
      <x:c r="D786" s="13" t="str">
        <x:v>棉布</x:v>
      </x:c>
      <x:c r="E786" s="27" t="n">
        <x:v>4</x:v>
      </x:c>
      <x:c r="F786" s="27" t="n">
        <x:v>160</x:v>
      </x:c>
      <x:c r="G786" s="27" t="n">
        <x:v>18</x:v>
      </x:c>
      <x:c r="H786" s="27" t="n">
        <x:v>54</x:v>
      </x:c>
      <x:c r="I786" s="52" t="n">
        <x:v>1.14</x:v>
      </x:c>
      <x:c r="J786" s="13" t="str">
        <x:v>进口/区域转口</x:v>
      </x:c>
      <x:c r="K786" s="13" t="str">
        <x:v>每7个游戏日补充18货载单位。由区域商队或NPC货船带入；为港口转售供货，不改变商品的原产地区。</x:v>
      </x:c>
      <x:c r="L786" s="13" t="str">
        <x:v>港口发展度达到D4（≥700点）；不要求武装度。</x:v>
      </x:c>
    </x:row>
    <x:row r="787" ht="42" customHeight="1">
      <x:c r="A787" s="15" t="str">
        <x:v>P087</x:v>
      </x:c>
      <x:c r="B787" s="15" t="str">
        <x:v>马公</x:v>
      </x:c>
      <x:c r="C787" s="15" t="str">
        <x:v>G096</x:v>
      </x:c>
      <x:c r="D787" s="15" t="str">
        <x:v>贝壳工艺品</x:v>
      </x:c>
      <x:c r="E787" s="30" t="n">
        <x:v>5</x:v>
      </x:c>
      <x:c r="F787" s="30" t="n">
        <x:v>210</x:v>
      </x:c>
      <x:c r="G787" s="30" t="n">
        <x:v>13</x:v>
      </x:c>
      <x:c r="H787" s="30" t="n">
        <x:v>39</x:v>
      </x:c>
      <x:c r="I787" s="54" t="n">
        <x:v>0.87</x:v>
      </x:c>
      <x:c r="J787" s="15" t="str">
        <x:v>本港生产/腹地集散/港内加工</x:v>
      </x:c>
      <x:c r="K787" s="15" t="str">
        <x:v>每7个游戏日补充13货载单位。本地、所属岛链或相连腹地供货；成品由港内工坊加工，贸易规模是本作设计。</x:v>
      </x:c>
      <x:c r="L787" s="15" t="str">
        <x:v>港口发展度达到D5（≥1000点）；不要求武装度。</x:v>
      </x:c>
    </x:row>
    <x:row r="788" ht="42" customHeight="1">
      <x:c r="A788" s="13" t="str">
        <x:v>P087</x:v>
      </x:c>
      <x:c r="B788" s="13" t="str">
        <x:v>马公</x:v>
      </x:c>
      <x:c r="C788" s="13" t="str">
        <x:v>SP087</x:v>
      </x:c>
      <x:c r="D788" s="13" t="str">
        <x:v>玄武海纹贝雕盘</x:v>
      </x:c>
      <x:c r="E788" s="27" t="n">
        <x:v>3</x:v>
      </x:c>
      <x:c r="F788" s="27" t="n">
        <x:v>510</x:v>
      </x:c>
      <x:c r="G788" s="27" t="n">
        <x:v>7</x:v>
      </x:c>
      <x:c r="H788" s="27" t="n">
        <x:v>14</x:v>
      </x:c>
      <x:c r="I788" s="52" t="n">
        <x:v>0.78</x:v>
      </x:c>
      <x:c r="J788" s="13" t="str">
        <x:v>港口独占原创工坊特产</x:v>
      </x:c>
      <x:c r="K788" s="13" t="str">
        <x:v>每7个游戏日由「玄武贝雕工坊」交货7货载；只在本港形成稳定产源。</x:v>
      </x:c>
      <x:c r="L788" s="13" t="str">
        <x:v>港口发展度达到D3（≥450点）时，投资项目「玄武贝雕工坊」自动完工；不要求武装度。</x:v>
      </x:c>
    </x:row>
    <x:row r="789" ht="42" customHeight="1">
      <x:c r="A789" s="15" t="str">
        <x:v>P088</x:v>
      </x:c>
      <x:c r="B789" s="15" t="str">
        <x:v>那霸</x:v>
      </x:c>
      <x:c r="C789" s="15" t="str">
        <x:v>G011</x:v>
      </x:c>
      <x:c r="D789" s="15" t="str">
        <x:v>砂糖</x:v>
      </x:c>
      <x:c r="E789" s="30" t="n">
        <x:v>0</x:v>
      </x:c>
      <x:c r="F789" s="30" t="n">
        <x:v>140</x:v>
      </x:c>
      <x:c r="G789" s="30" t="n">
        <x:v>158</x:v>
      </x:c>
      <x:c r="H789" s="30" t="n">
        <x:v>474</x:v>
      </x:c>
      <x:c r="I789" s="54" t="n">
        <x:v>0.74</x:v>
      </x:c>
      <x:c r="J789" s="15" t="str">
        <x:v>本港生产/腹地集散/港内加工</x:v>
      </x:c>
      <x:c r="K789" s="15" t="str">
        <x:v>每7个游戏日补充158货载单位。本地、所属岛链或相连腹地供货；成品由港内工坊加工，贸易规模是本作设计。</x:v>
      </x:c>
      <x:c r="L789" s="15" t="str">
        <x:v>港口发展度达到D0（≥0点）；不要求武装度。</x:v>
      </x:c>
    </x:row>
    <x:row r="790" ht="42" customHeight="1">
      <x:c r="A790" s="13" t="str">
        <x:v>P088</x:v>
      </x:c>
      <x:c r="B790" s="13" t="str">
        <x:v>那霸</x:v>
      </x:c>
      <x:c r="C790" s="13" t="str">
        <x:v>G015</x:v>
      </x:c>
      <x:c r="D790" s="13" t="str">
        <x:v>咸鱼</x:v>
      </x:c>
      <x:c r="E790" s="27" t="n">
        <x:v>0</x:v>
      </x:c>
      <x:c r="F790" s="27" t="n">
        <x:v>65</x:v>
      </x:c>
      <x:c r="G790" s="27" t="n">
        <x:v>158</x:v>
      </x:c>
      <x:c r="H790" s="27" t="n">
        <x:v>474</x:v>
      </x:c>
      <x:c r="I790" s="52" t="n">
        <x:v>0.74</x:v>
      </x:c>
      <x:c r="J790" s="13" t="str">
        <x:v>本港生产/腹地集散/港内加工</x:v>
      </x:c>
      <x:c r="K790" s="13" t="str">
        <x:v>每7个游戏日补充158货载单位。本地、所属岛链或相连腹地供货；成品由港内工坊加工，贸易规模是本作设计。</x:v>
      </x:c>
      <x:c r="L790" s="13" t="str">
        <x:v>港口发展度达到D0（≥0点）；不要求武装度。</x:v>
      </x:c>
    </x:row>
    <x:row r="791" ht="42" customHeight="1">
      <x:c r="A791" s="15" t="str">
        <x:v>P088</x:v>
      </x:c>
      <x:c r="B791" s="15" t="str">
        <x:v>那霸</x:v>
      </x:c>
      <x:c r="C791" s="15" t="str">
        <x:v>G009</x:v>
      </x:c>
      <x:c r="D791" s="15" t="str">
        <x:v>盐</x:v>
      </x:c>
      <x:c r="E791" s="30" t="n">
        <x:v>1</x:v>
      </x:c>
      <x:c r="F791" s="30" t="n">
        <x:v>28</x:v>
      </x:c>
      <x:c r="G791" s="30" t="n">
        <x:v>150</x:v>
      </x:c>
      <x:c r="H791" s="30" t="n">
        <x:v>450</x:v>
      </x:c>
      <x:c r="I791" s="54" t="n">
        <x:v>0.74</x:v>
      </x:c>
      <x:c r="J791" s="15" t="str">
        <x:v>本港生产/腹地集散/港内加工</x:v>
      </x:c>
      <x:c r="K791" s="15" t="str">
        <x:v>每7个游戏日补充150货载单位。本地、所属岛链或相连腹地供货；成品由港内工坊加工，贸易规模是本作设计。</x:v>
      </x:c>
      <x:c r="L791" s="15" t="str">
        <x:v>港口发展度达到D1（≥100点）；不要求武装度。</x:v>
      </x:c>
    </x:row>
    <x:row r="792" ht="42" customHeight="1">
      <x:c r="A792" s="13" t="str">
        <x:v>P088</x:v>
      </x:c>
      <x:c r="B792" s="13" t="str">
        <x:v>那霸</x:v>
      </x:c>
      <x:c r="C792" s="13" t="str">
        <x:v>G094</x:v>
      </x:c>
      <x:c r="D792" s="13" t="str">
        <x:v>柑橘</x:v>
      </x:c>
      <x:c r="E792" s="27" t="n">
        <x:v>1</x:v>
      </x:c>
      <x:c r="F792" s="27" t="n">
        <x:v>62</x:v>
      </x:c>
      <x:c r="G792" s="27" t="n">
        <x:v>150</x:v>
      </x:c>
      <x:c r="H792" s="27" t="n">
        <x:v>450</x:v>
      </x:c>
      <x:c r="I792" s="52" t="n">
        <x:v>0.74</x:v>
      </x:c>
      <x:c r="J792" s="13" t="str">
        <x:v>本港生产/腹地集散/港内加工</x:v>
      </x:c>
      <x:c r="K792" s="13" t="str">
        <x:v>每7个游戏日补充150货载单位。本地、所属岛链或相连腹地供货；成品由港内工坊加工，贸易规模是本作设计。</x:v>
      </x:c>
      <x:c r="L792" s="13" t="str">
        <x:v>港口发展度达到D1（≥100点）；不要求武装度。</x:v>
      </x:c>
    </x:row>
    <x:row r="793" ht="42" customHeight="1">
      <x:c r="A793" s="15" t="str">
        <x:v>P088</x:v>
      </x:c>
      <x:c r="B793" s="15" t="str">
        <x:v>那霸</x:v>
      </x:c>
      <x:c r="C793" s="15" t="str">
        <x:v>G024</x:v>
      </x:c>
      <x:c r="D793" s="15" t="str">
        <x:v>烈酒</x:v>
      </x:c>
      <x:c r="E793" s="30" t="n">
        <x:v>2</x:v>
      </x:c>
      <x:c r="F793" s="30" t="n">
        <x:v>135</x:v>
      </x:c>
      <x:c r="G793" s="30" t="n">
        <x:v>69</x:v>
      </x:c>
      <x:c r="H793" s="30" t="n">
        <x:v>207</x:v>
      </x:c>
      <x:c r="I793" s="54" t="n">
        <x:v>0.8</x:v>
      </x:c>
      <x:c r="J793" s="15" t="str">
        <x:v>本港生产/腹地集散/港内加工</x:v>
      </x:c>
      <x:c r="K793" s="15" t="str">
        <x:v>每7个游戏日补充69货载单位。本地、所属岛链或相连腹地供货；成品由港内工坊加工，贸易规模是本作设计。</x:v>
      </x:c>
      <x:c r="L793" s="15" t="str">
        <x:v>港口发展度达到D2（≥250点）；不要求武装度。</x:v>
      </x:c>
    </x:row>
    <x:row r="794" ht="42" customHeight="1">
      <x:c r="A794" s="13" t="str">
        <x:v>P088</x:v>
      </x:c>
      <x:c r="B794" s="13" t="str">
        <x:v>那霸</x:v>
      </x:c>
      <x:c r="C794" s="13" t="str">
        <x:v>G043</x:v>
      </x:c>
      <x:c r="D794" s="13" t="str">
        <x:v>棉布</x:v>
      </x:c>
      <x:c r="E794" s="27" t="n">
        <x:v>3</x:v>
      </x:c>
      <x:c r="F794" s="27" t="n">
        <x:v>160</x:v>
      </x:c>
      <x:c r="G794" s="27" t="n">
        <x:v>57</x:v>
      </x:c>
      <x:c r="H794" s="27" t="n">
        <x:v>171</x:v>
      </x:c>
      <x:c r="I794" s="52" t="n">
        <x:v>0.8</x:v>
      </x:c>
      <x:c r="J794" s="13" t="str">
        <x:v>本港生产/腹地集散/港内加工</x:v>
      </x:c>
      <x:c r="K794" s="13" t="str">
        <x:v>每7个游戏日补充57货载单位。本地、所属岛链或相连腹地供货；成品由港内工坊加工，贸易规模是本作设计。</x:v>
      </x:c>
      <x:c r="L794" s="13" t="str">
        <x:v>港口发展度达到D3（≥450点）；不要求武装度。</x:v>
      </x:c>
    </x:row>
    <x:row r="795" ht="42" customHeight="1">
      <x:c r="A795" s="15" t="str">
        <x:v>P088</x:v>
      </x:c>
      <x:c r="B795" s="15" t="str">
        <x:v>那霸</x:v>
      </x:c>
      <x:c r="C795" s="15" t="str">
        <x:v>G070</x:v>
      </x:c>
      <x:c r="D795" s="15" t="str">
        <x:v>瓷器</x:v>
      </x:c>
      <x:c r="E795" s="30" t="n">
        <x:v>4</x:v>
      </x:c>
      <x:c r="F795" s="30" t="n">
        <x:v>370</x:v>
      </x:c>
      <x:c r="G795" s="30" t="n">
        <x:v>11</x:v>
      </x:c>
      <x:c r="H795" s="30" t="n">
        <x:v>33</x:v>
      </x:c>
      <x:c r="I795" s="54" t="n">
        <x:v>1.14</x:v>
      </x:c>
      <x:c r="J795" s="15" t="str">
        <x:v>进口/区域转口</x:v>
      </x:c>
      <x:c r="K795" s="15" t="str">
        <x:v>每7个游戏日补充11货载单位。由区域商队或NPC货船带入；为港口转售供货，不改变商品的原产地区。</x:v>
      </x:c>
      <x:c r="L795" s="15" t="str">
        <x:v>港口发展度达到D4（≥700点）；不要求武装度。</x:v>
      </x:c>
    </x:row>
    <x:row r="796" ht="42" customHeight="1">
      <x:c r="A796" s="13" t="str">
        <x:v>P088</x:v>
      </x:c>
      <x:c r="B796" s="13" t="str">
        <x:v>那霸</x:v>
      </x:c>
      <x:c r="C796" s="13" t="str">
        <x:v>G072</x:v>
      </x:c>
      <x:c r="D796" s="13" t="str">
        <x:v>漆器</x:v>
      </x:c>
      <x:c r="E796" s="27" t="n">
        <x:v>5</x:v>
      </x:c>
      <x:c r="F796" s="27" t="n">
        <x:v>480</x:v>
      </x:c>
      <x:c r="G796" s="27" t="n">
        <x:v>18</x:v>
      </x:c>
      <x:c r="H796" s="27" t="n">
        <x:v>54</x:v>
      </x:c>
      <x:c r="I796" s="52" t="n">
        <x:v>0.87</x:v>
      </x:c>
      <x:c r="J796" s="13" t="str">
        <x:v>本港生产/腹地集散/港内加工</x:v>
      </x:c>
      <x:c r="K796" s="13" t="str">
        <x:v>每7个游戏日补充18货载单位。本地、所属岛链或相连腹地供货；成品由港内工坊加工，贸易规模是本作设计。</x:v>
      </x:c>
      <x:c r="L796" s="13" t="str">
        <x:v>港口发展度达到D5（≥1000点）；不要求武装度。</x:v>
      </x:c>
    </x:row>
    <x:row r="797" ht="42" customHeight="1">
      <x:c r="A797" s="15" t="str">
        <x:v>P088</x:v>
      </x:c>
      <x:c r="B797" s="15" t="str">
        <x:v>那霸</x:v>
      </x:c>
      <x:c r="C797" s="15" t="str">
        <x:v>SP088</x:v>
      </x:c>
      <x:c r="D797" s="15" t="str">
        <x:v>琉璃潮花红型布</x:v>
      </x:c>
      <x:c r="E797" s="30" t="n">
        <x:v>4</x:v>
      </x:c>
      <x:c r="F797" s="30" t="n">
        <x:v>1090</x:v>
      </x:c>
      <x:c r="G797" s="30" t="n">
        <x:v>7</x:v>
      </x:c>
      <x:c r="H797" s="30" t="n">
        <x:v>14</x:v>
      </x:c>
      <x:c r="I797" s="54" t="n">
        <x:v>0.78</x:v>
      </x:c>
      <x:c r="J797" s="15" t="str">
        <x:v>港口独占原创工坊特产</x:v>
      </x:c>
      <x:c r="K797" s="15" t="str">
        <x:v>每7个游戏日由「潮花染绘工坊」交货7货载；只在本港形成稳定产源。</x:v>
      </x:c>
      <x:c r="L797" s="15" t="str">
        <x:v>港口发展度达到D4（≥700点）时，投资项目「潮花染绘工坊」自动完工；不要求武装度。</x:v>
      </x:c>
    </x:row>
    <x:row r="798" ht="42" customHeight="1">
      <x:c r="A798" s="13" t="str">
        <x:v>P089</x:v>
      </x:c>
      <x:c r="B798" s="13" t="str">
        <x:v>长崎</x:v>
      </x:c>
      <x:c r="C798" s="13" t="str">
        <x:v>G015</x:v>
      </x:c>
      <x:c r="D798" s="13" t="str">
        <x:v>咸鱼</x:v>
      </x:c>
      <x:c r="E798" s="27" t="n">
        <x:v>0</x:v>
      </x:c>
      <x:c r="F798" s="27" t="n">
        <x:v>65</x:v>
      </x:c>
      <x:c r="G798" s="27" t="n">
        <x:v>181</x:v>
      </x:c>
      <x:c r="H798" s="27" t="n">
        <x:v>543</x:v>
      </x:c>
      <x:c r="I798" s="52" t="n">
        <x:v>0.74</x:v>
      </x:c>
      <x:c r="J798" s="13" t="str">
        <x:v>本港生产/腹地集散/港内加工</x:v>
      </x:c>
      <x:c r="K798" s="13" t="str">
        <x:v>每7个游戏日补充181货载单位。本地、所属岛链或相连腹地供货；成品由港内工坊加工，贸易规模是本作设计。</x:v>
      </x:c>
      <x:c r="L798" s="13" t="str">
        <x:v>港口发展度达到D0（≥0点）；不要求武装度。</x:v>
      </x:c>
    </x:row>
    <x:row r="799" ht="42" customHeight="1">
      <x:c r="A799" s="15" t="str">
        <x:v>P089</x:v>
      </x:c>
      <x:c r="B799" s="15" t="str">
        <x:v>长崎</x:v>
      </x:c>
      <x:c r="C799" s="15" t="str">
        <x:v>G059</x:v>
      </x:c>
      <x:c r="D799" s="15" t="str">
        <x:v>铜锭</x:v>
      </x:c>
      <x:c r="E799" s="30" t="n">
        <x:v>0</x:v>
      </x:c>
      <x:c r="F799" s="30" t="n">
        <x:v>185</x:v>
      </x:c>
      <x:c r="G799" s="30" t="n">
        <x:v>52</x:v>
      </x:c>
      <x:c r="H799" s="30" t="n">
        <x:v>156</x:v>
      </x:c>
      <x:c r="I799" s="54" t="n">
        <x:v>0.74</x:v>
      </x:c>
      <x:c r="J799" s="15" t="str">
        <x:v>本港生产/腹地集散/港内加工</x:v>
      </x:c>
      <x:c r="K799" s="15" t="str">
        <x:v>每7个游戏日补充52货载单位。本地、所属岛链或相连腹地供货；成品由港内工坊加工，贸易规模是本作设计。</x:v>
      </x:c>
      <x:c r="L799" s="15" t="str">
        <x:v>港口发展度达到D0（≥0点）；不要求武装度。</x:v>
      </x:c>
    </x:row>
    <x:row r="800" ht="42" customHeight="1">
      <x:c r="A800" s="13" t="str">
        <x:v>P089</x:v>
      </x:c>
      <x:c r="B800" s="13" t="str">
        <x:v>长崎</x:v>
      </x:c>
      <x:c r="C800" s="13" t="str">
        <x:v>G027</x:v>
      </x:c>
      <x:c r="D800" s="13" t="str">
        <x:v>清酒</x:v>
      </x:c>
      <x:c r="E800" s="27" t="n">
        <x:v>1</x:v>
      </x:c>
      <x:c r="F800" s="27" t="n">
        <x:v>150</x:v>
      </x:c>
      <x:c r="G800" s="27" t="n">
        <x:v>88</x:v>
      </x:c>
      <x:c r="H800" s="27" t="n">
        <x:v>264</x:v>
      </x:c>
      <x:c r="I800" s="52" t="n">
        <x:v>0.74</x:v>
      </x:c>
      <x:c r="J800" s="13" t="str">
        <x:v>本港生产/腹地集散/港内加工</x:v>
      </x:c>
      <x:c r="K800" s="13" t="str">
        <x:v>每7个游戏日补充88货载单位。本地、所属岛链或相连腹地供货；成品由港内工坊加工，贸易规模是本作设计。</x:v>
      </x:c>
      <x:c r="L800" s="13" t="str">
        <x:v>港口发展度达到D1（≥100点）；不要求武装度。</x:v>
      </x:c>
    </x:row>
    <x:row r="801" ht="42" customHeight="1">
      <x:c r="A801" s="15" t="str">
        <x:v>P089</x:v>
      </x:c>
      <x:c r="B801" s="15" t="str">
        <x:v>长崎</x:v>
      </x:c>
      <x:c r="C801" s="15" t="str">
        <x:v>G020</x:v>
      </x:c>
      <x:c r="D801" s="15" t="str">
        <x:v>茶叶</x:v>
      </x:c>
      <x:c r="E801" s="30" t="n">
        <x:v>1</x:v>
      </x:c>
      <x:c r="F801" s="30" t="n">
        <x:v>210</x:v>
      </x:c>
      <x:c r="G801" s="30" t="n">
        <x:v>59</x:v>
      </x:c>
      <x:c r="H801" s="30" t="n">
        <x:v>177</x:v>
      </x:c>
      <x:c r="I801" s="54" t="n">
        <x:v>0.74</x:v>
      </x:c>
      <x:c r="J801" s="15" t="str">
        <x:v>本港生产/腹地集散/港内加工</x:v>
      </x:c>
      <x:c r="K801" s="15" t="str">
        <x:v>每7个游戏日补充59货载单位。本地、所属岛链或相连腹地供货；成品由港内工坊加工，贸易规模是本作设计。</x:v>
      </x:c>
      <x:c r="L801" s="15" t="str">
        <x:v>港口发展度达到D1（≥100点）；不要求武装度。</x:v>
      </x:c>
    </x:row>
    <x:row r="802" ht="42" customHeight="1">
      <x:c r="A802" s="13" t="str">
        <x:v>P089</x:v>
      </x:c>
      <x:c r="B802" s="13" t="str">
        <x:v>长崎</x:v>
      </x:c>
      <x:c r="C802" s="13" t="str">
        <x:v>G070</x:v>
      </x:c>
      <x:c r="D802" s="13" t="str">
        <x:v>瓷器</x:v>
      </x:c>
      <x:c r="E802" s="27" t="n">
        <x:v>2</x:v>
      </x:c>
      <x:c r="F802" s="27" t="n">
        <x:v>370</x:v>
      </x:c>
      <x:c r="G802" s="27" t="n">
        <x:v>33</x:v>
      </x:c>
      <x:c r="H802" s="27" t="n">
        <x:v>99</x:v>
      </x:c>
      <x:c r="I802" s="52" t="n">
        <x:v>0.8</x:v>
      </x:c>
      <x:c r="J802" s="13" t="str">
        <x:v>本港生产/腹地集散/港内加工</x:v>
      </x:c>
      <x:c r="K802" s="13" t="str">
        <x:v>每7个游戏日补充33货载单位。本地、所属岛链或相连腹地供货；成品由港内工坊加工，贸易规模是本作设计。</x:v>
      </x:c>
      <x:c r="L802" s="13" t="str">
        <x:v>港口发展度达到D2（≥250点）；不要求武装度。</x:v>
      </x:c>
    </x:row>
    <x:row r="803" ht="42" customHeight="1">
      <x:c r="A803" s="15" t="str">
        <x:v>P089</x:v>
      </x:c>
      <x:c r="B803" s="15" t="str">
        <x:v>长崎</x:v>
      </x:c>
      <x:c r="C803" s="15" t="str">
        <x:v>G072</x:v>
      </x:c>
      <x:c r="D803" s="15" t="str">
        <x:v>漆器</x:v>
      </x:c>
      <x:c r="E803" s="30" t="n">
        <x:v>3</x:v>
      </x:c>
      <x:c r="F803" s="30" t="n">
        <x:v>480</x:v>
      </x:c>
      <x:c r="G803" s="30" t="n">
        <x:v>28</x:v>
      </x:c>
      <x:c r="H803" s="30" t="n">
        <x:v>84</x:v>
      </x:c>
      <x:c r="I803" s="54" t="n">
        <x:v>0.8</x:v>
      </x:c>
      <x:c r="J803" s="15" t="str">
        <x:v>本港生产/腹地集散/港内加工</x:v>
      </x:c>
      <x:c r="K803" s="15" t="str">
        <x:v>每7个游戏日补充28货载单位。本地、所属岛链或相连腹地供货；成品由港内工坊加工，贸易规模是本作设计。</x:v>
      </x:c>
      <x:c r="L803" s="15" t="str">
        <x:v>港口发展度达到D3（≥450点）；不要求武装度。</x:v>
      </x:c>
    </x:row>
    <x:row r="804" ht="42" customHeight="1">
      <x:c r="A804" s="13" t="str">
        <x:v>P089</x:v>
      </x:c>
      <x:c r="B804" s="13" t="str">
        <x:v>长崎</x:v>
      </x:c>
      <x:c r="C804" s="13" t="str">
        <x:v>G071</x:v>
      </x:c>
      <x:c r="D804" s="13" t="str">
        <x:v>玻璃器皿</x:v>
      </x:c>
      <x:c r="E804" s="27" t="n">
        <x:v>4</x:v>
      </x:c>
      <x:c r="F804" s="27" t="n">
        <x:v>310</x:v>
      </x:c>
      <x:c r="G804" s="27" t="n">
        <x:v>24</x:v>
      </x:c>
      <x:c r="H804" s="27" t="n">
        <x:v>72</x:v>
      </x:c>
      <x:c r="I804" s="52" t="n">
        <x:v>0.87</x:v>
      </x:c>
      <x:c r="J804" s="13" t="str">
        <x:v>本港生产/腹地集散/港内加工</x:v>
      </x:c>
      <x:c r="K804" s="13" t="str">
        <x:v>每7个游戏日补充24货载单位。本地、所属岛链或相连腹地供货；成品由港内工坊加工，贸易规模是本作设计。</x:v>
      </x:c>
      <x:c r="L804" s="13" t="str">
        <x:v>港口发展度达到D4（≥700点）；不要求武装度。</x:v>
      </x:c>
    </x:row>
    <x:row r="805" ht="42" customHeight="1">
      <x:c r="A805" s="15" t="str">
        <x:v>P089</x:v>
      </x:c>
      <x:c r="B805" s="15" t="str">
        <x:v>长崎</x:v>
      </x:c>
      <x:c r="C805" s="15" t="str">
        <x:v>G100</x:v>
      </x:c>
      <x:c r="D805" s="15" t="str">
        <x:v>钟表</x:v>
      </x:c>
      <x:c r="E805" s="30" t="n">
        <x:v>5</x:v>
      </x:c>
      <x:c r="F805" s="30" t="n">
        <x:v>900</x:v>
      </x:c>
      <x:c r="G805" s="30" t="n">
        <x:v>8</x:v>
      </x:c>
      <x:c r="H805" s="30" t="n">
        <x:v>24</x:v>
      </x:c>
      <x:c r="I805" s="54" t="n">
        <x:v>0.87</x:v>
      </x:c>
      <x:c r="J805" s="15" t="str">
        <x:v>本港生产/腹地集散/港内加工</x:v>
      </x:c>
      <x:c r="K805" s="15" t="str">
        <x:v>每7个游戏日补充8货载单位。本地、所属岛链或相连腹地供货；成品由港内工坊加工，贸易规模是本作设计。</x:v>
      </x:c>
      <x:c r="L805" s="15" t="str">
        <x:v>港口发展度达到D5（≥1000点）；不要求武装度。</x:v>
      </x:c>
    </x:row>
    <x:row r="806" ht="42" customHeight="1">
      <x:c r="A806" s="13" t="str">
        <x:v>P089</x:v>
      </x:c>
      <x:c r="B806" s="13" t="str">
        <x:v>长崎</x:v>
      </x:c>
      <x:c r="C806" s="13" t="str">
        <x:v>SP089</x:v>
      </x:c>
      <x:c r="D806" s="13" t="str">
        <x:v>长崎虹砂玻璃盏</x:v>
      </x:c>
      <x:c r="E806" s="27" t="n">
        <x:v>4</x:v>
      </x:c>
      <x:c r="F806" s="27" t="n">
        <x:v>1160</x:v>
      </x:c>
      <x:c r="G806" s="27" t="n">
        <x:v>8</x:v>
      </x:c>
      <x:c r="H806" s="27" t="n">
        <x:v>16</x:v>
      </x:c>
      <x:c r="I806" s="52" t="n">
        <x:v>0.78</x:v>
      </x:c>
      <x:c r="J806" s="13" t="str">
        <x:v>港口独占原创工坊特产</x:v>
      </x:c>
      <x:c r="K806" s="13" t="str">
        <x:v>每7个游戏日由「虹砂玻璃合匠坊」交货8货载；只在本港形成稳定产源。</x:v>
      </x:c>
      <x:c r="L806" s="13" t="str">
        <x:v>港口发展度达到D4（≥700点）时，投资项目「虹砂玻璃合匠坊」自动完工；不要求武装度。</x:v>
      </x:c>
    </x:row>
    <x:row r="807" ht="42" customHeight="1">
      <x:c r="A807" s="15" t="str">
        <x:v>P090</x:v>
      </x:c>
      <x:c r="B807" s="15" t="str">
        <x:v>堺</x:v>
      </x:c>
      <x:c r="C807" s="15" t="str">
        <x:v>G004</x:v>
      </x:c>
      <x:c r="D807" s="15" t="str">
        <x:v>稻米</x:v>
      </x:c>
      <x:c r="E807" s="30" t="n">
        <x:v>0</x:v>
      </x:c>
      <x:c r="F807" s="30" t="n">
        <x:v>55</x:v>
      </x:c>
      <x:c r="G807" s="30" t="n">
        <x:v>239</x:v>
      </x:c>
      <x:c r="H807" s="30" t="n">
        <x:v>717</x:v>
      </x:c>
      <x:c r="I807" s="54" t="n">
        <x:v>0.74</x:v>
      </x:c>
      <x:c r="J807" s="15" t="str">
        <x:v>本港生产/腹地集散/港内加工</x:v>
      </x:c>
      <x:c r="K807" s="15" t="str">
        <x:v>每7个游戏日补充239货载单位。本地、所属岛链或相连腹地供货；成品由港内工坊加工，贸易规模是本作设计。</x:v>
      </x:c>
      <x:c r="L807" s="15" t="str">
        <x:v>港口发展度达到D0（≥0点）；不要求武装度。</x:v>
      </x:c>
    </x:row>
    <x:row r="808" ht="42" customHeight="1">
      <x:c r="A808" s="13" t="str">
        <x:v>P090</x:v>
      </x:c>
      <x:c r="B808" s="13" t="str">
        <x:v>堺</x:v>
      </x:c>
      <x:c r="C808" s="13" t="str">
        <x:v>G027</x:v>
      </x:c>
      <x:c r="D808" s="13" t="str">
        <x:v>清酒</x:v>
      </x:c>
      <x:c r="E808" s="27" t="n">
        <x:v>0</x:v>
      </x:c>
      <x:c r="F808" s="27" t="n">
        <x:v>150</x:v>
      </x:c>
      <x:c r="G808" s="27" t="n">
        <x:v>96</x:v>
      </x:c>
      <x:c r="H808" s="27" t="n">
        <x:v>288</x:v>
      </x:c>
      <x:c r="I808" s="52" t="n">
        <x:v>0.74</x:v>
      </x:c>
      <x:c r="J808" s="13" t="str">
        <x:v>本港生产/腹地集散/港内加工</x:v>
      </x:c>
      <x:c r="K808" s="13" t="str">
        <x:v>每7个游戏日补充96货载单位。本地、所属岛链或相连腹地供货；成品由港内工坊加工，贸易规模是本作设计。</x:v>
      </x:c>
      <x:c r="L808" s="13" t="str">
        <x:v>港口发展度达到D0（≥0点）；不要求武装度。</x:v>
      </x:c>
    </x:row>
    <x:row r="809" ht="42" customHeight="1">
      <x:c r="A809" s="15" t="str">
        <x:v>P090</x:v>
      </x:c>
      <x:c r="B809" s="15" t="str">
        <x:v>堺</x:v>
      </x:c>
      <x:c r="C809" s="15" t="str">
        <x:v>G020</x:v>
      </x:c>
      <x:c r="D809" s="15" t="str">
        <x:v>茶叶</x:v>
      </x:c>
      <x:c r="E809" s="30" t="n">
        <x:v>1</x:v>
      </x:c>
      <x:c r="F809" s="30" t="n">
        <x:v>210</x:v>
      </x:c>
      <x:c r="G809" s="30" t="n">
        <x:v>61</x:v>
      </x:c>
      <x:c r="H809" s="30" t="n">
        <x:v>183</x:v>
      </x:c>
      <x:c r="I809" s="54" t="n">
        <x:v>0.74</x:v>
      </x:c>
      <x:c r="J809" s="15" t="str">
        <x:v>本港生产/腹地集散/港内加工</x:v>
      </x:c>
      <x:c r="K809" s="15" t="str">
        <x:v>每7个游戏日补充61货载单位。本地、所属岛链或相连腹地供货；成品由港内工坊加工，贸易规模是本作设计。</x:v>
      </x:c>
      <x:c r="L809" s="15" t="str">
        <x:v>港口发展度达到D1（≥100点）；不要求武装度。</x:v>
      </x:c>
    </x:row>
    <x:row r="810" ht="42" customHeight="1">
      <x:c r="A810" s="13" t="str">
        <x:v>P090</x:v>
      </x:c>
      <x:c r="B810" s="13" t="str">
        <x:v>堺</x:v>
      </x:c>
      <x:c r="C810" s="13" t="str">
        <x:v>G058</x:v>
      </x:c>
      <x:c r="D810" s="13" t="str">
        <x:v>铁锭</x:v>
      </x:c>
      <x:c r="E810" s="27" t="n">
        <x:v>1</x:v>
      </x:c>
      <x:c r="F810" s="27" t="n">
        <x:v>120</x:v>
      </x:c>
      <x:c r="G810" s="27" t="n">
        <x:v>26</x:v>
      </x:c>
      <x:c r="H810" s="27" t="n">
        <x:v>78</x:v>
      </x:c>
      <x:c r="I810" s="52" t="n">
        <x:v>1.08</x:v>
      </x:c>
      <x:c r="J810" s="13" t="str">
        <x:v>进口/区域转口</x:v>
      </x:c>
      <x:c r="K810" s="13" t="str">
        <x:v>每7个游戏日补充26货载单位。由区域商队或NPC货船带入；为港口转售供货，不改变商品的原产地区。</x:v>
      </x:c>
      <x:c r="L810" s="13" t="str">
        <x:v>港口发展度达到D1（≥100点）；不要求武装度。</x:v>
      </x:c>
    </x:row>
    <x:row r="811" ht="42" customHeight="1">
      <x:c r="A811" s="15" t="str">
        <x:v>P090</x:v>
      </x:c>
      <x:c r="B811" s="15" t="str">
        <x:v>堺</x:v>
      </x:c>
      <x:c r="C811" s="15" t="str">
        <x:v>G059</x:v>
      </x:c>
      <x:c r="D811" s="15" t="str">
        <x:v>铜锭</x:v>
      </x:c>
      <x:c r="E811" s="30" t="n">
        <x:v>2</x:v>
      </x:c>
      <x:c r="F811" s="30" t="n">
        <x:v>185</x:v>
      </x:c>
      <x:c r="G811" s="30" t="n">
        <x:v>24</x:v>
      </x:c>
      <x:c r="H811" s="30" t="n">
        <x:v>72</x:v>
      </x:c>
      <x:c r="I811" s="54" t="n">
        <x:v>1.08</x:v>
      </x:c>
      <x:c r="J811" s="15" t="str">
        <x:v>进口/区域转口</x:v>
      </x:c>
      <x:c r="K811" s="15" t="str">
        <x:v>每7个游戏日补充24货载单位。由区域商队或NPC货船带入；为港口转售供货，不改变商品的原产地区。</x:v>
      </x:c>
      <x:c r="L811" s="15" t="str">
        <x:v>港口发展度达到D2（≥250点）；不要求武装度。</x:v>
      </x:c>
    </x:row>
    <x:row r="812" ht="42" customHeight="1">
      <x:c r="A812" s="13" t="str">
        <x:v>P090</x:v>
      </x:c>
      <x:c r="B812" s="13" t="str">
        <x:v>堺</x:v>
      </x:c>
      <x:c r="C812" s="13" t="str">
        <x:v>G068</x:v>
      </x:c>
      <x:c r="D812" s="13" t="str">
        <x:v>铁工具</x:v>
      </x:c>
      <x:c r="E812" s="27" t="n">
        <x:v>3</x:v>
      </x:c>
      <x:c r="F812" s="27" t="n">
        <x:v>190</x:v>
      </x:c>
      <x:c r="G812" s="27" t="n">
        <x:v>67</x:v>
      </x:c>
      <x:c r="H812" s="27" t="n">
        <x:v>201</x:v>
      </x:c>
      <x:c r="I812" s="52" t="n">
        <x:v>0.8</x:v>
      </x:c>
      <x:c r="J812" s="13" t="str">
        <x:v>本港生产/腹地集散/港内加工</x:v>
      </x:c>
      <x:c r="K812" s="13" t="str">
        <x:v>每7个游戏日补充67货载单位。本地、所属岛链或相连腹地供货；成品由港内工坊加工，贸易规模是本作设计。</x:v>
      </x:c>
      <x:c r="L812" s="13" t="str">
        <x:v>港口发展度达到D3（≥450点）；不要求武装度。</x:v>
      </x:c>
    </x:row>
    <x:row r="813" ht="42" customHeight="1">
      <x:c r="A813" s="15" t="str">
        <x:v>P090</x:v>
      </x:c>
      <x:c r="B813" s="15" t="str">
        <x:v>堺</x:v>
      </x:c>
      <x:c r="C813" s="15" t="str">
        <x:v>G072</x:v>
      </x:c>
      <x:c r="D813" s="15" t="str">
        <x:v>漆器</x:v>
      </x:c>
      <x:c r="E813" s="30" t="n">
        <x:v>4</x:v>
      </x:c>
      <x:c r="F813" s="30" t="n">
        <x:v>480</x:v>
      </x:c>
      <x:c r="G813" s="30" t="n">
        <x:v>25</x:v>
      </x:c>
      <x:c r="H813" s="30" t="n">
        <x:v>75</x:v>
      </x:c>
      <x:c r="I813" s="54" t="n">
        <x:v>0.87</x:v>
      </x:c>
      <x:c r="J813" s="15" t="str">
        <x:v>本港生产/腹地集散/港内加工</x:v>
      </x:c>
      <x:c r="K813" s="15" t="str">
        <x:v>每7个游戏日补充25货载单位。本地、所属岛链或相连腹地供货；成品由港内工坊加工，贸易规模是本作设计。</x:v>
      </x:c>
      <x:c r="L813" s="15" t="str">
        <x:v>港口发展度达到D4（≥700点）；不要求武装度。</x:v>
      </x:c>
    </x:row>
    <x:row r="814" ht="42" customHeight="1">
      <x:c r="A814" s="13" t="str">
        <x:v>P090</x:v>
      </x:c>
      <x:c r="B814" s="13" t="str">
        <x:v>堺</x:v>
      </x:c>
      <x:c r="C814" s="13" t="str">
        <x:v>G099</x:v>
      </x:c>
      <x:c r="D814" s="13" t="str">
        <x:v>航海仪器</x:v>
      </x:c>
      <x:c r="E814" s="27" t="n">
        <x:v>5</x:v>
      </x:c>
      <x:c r="F814" s="27" t="n">
        <x:v>650</x:v>
      </x:c>
      <x:c r="G814" s="27" t="n">
        <x:v>8</x:v>
      </x:c>
      <x:c r="H814" s="27" t="n">
        <x:v>24</x:v>
      </x:c>
      <x:c r="I814" s="52" t="n">
        <x:v>0.87</x:v>
      </x:c>
      <x:c r="J814" s="13" t="str">
        <x:v>本港生产/腹地集散/港内加工</x:v>
      </x:c>
      <x:c r="K814" s="13" t="str">
        <x:v>每7个游戏日补充8货载单位。本地、所属岛链或相连腹地供货；成品由港内工坊加工，贸易规模是本作设计。</x:v>
      </x:c>
      <x:c r="L814" s="13" t="str">
        <x:v>港口发展度达到D5（≥1000点）；不要求武装度。</x:v>
      </x:c>
    </x:row>
    <x:row r="815" ht="42" customHeight="1">
      <x:c r="A815" s="15" t="str">
        <x:v>P090</x:v>
      </x:c>
      <x:c r="B815" s="15" t="str">
        <x:v>堺</x:v>
      </x:c>
      <x:c r="C815" s="15" t="str">
        <x:v>SP090</x:v>
      </x:c>
      <x:c r="D815" s="15" t="str">
        <x:v>堺一叶折锋匠刀</x:v>
      </x:c>
      <x:c r="E815" s="30" t="n">
        <x:v>4</x:v>
      </x:c>
      <x:c r="F815" s="30" t="n">
        <x:v>1220</x:v>
      </x:c>
      <x:c r="G815" s="30" t="n">
        <x:v>8</x:v>
      </x:c>
      <x:c r="H815" s="30" t="n">
        <x:v>16</x:v>
      </x:c>
      <x:c r="I815" s="54" t="n">
        <x:v>0.78</x:v>
      </x:c>
      <x:c r="J815" s="15" t="str">
        <x:v>港口独占原创工坊特产</x:v>
      </x:c>
      <x:c r="K815" s="15" t="str">
        <x:v>每7个游戏日由「一叶金工总作坊」交货8货载；只在本港形成稳定产源。</x:v>
      </x:c>
      <x:c r="L815" s="15" t="str">
        <x:v>港口发展度达到D4（≥700点）时，投资项目「一叶金工总作坊」自动完工；不要求武装度。</x:v>
      </x:c>
    </x:row>
    <x:row r="816" ht="42" customHeight="1">
      <x:c r="A816" s="13" t="str">
        <x:v>P091</x:v>
      </x:c>
      <x:c r="B816" s="13" t="str">
        <x:v>江户</x:v>
      </x:c>
      <x:c r="C816" s="13" t="str">
        <x:v>G004</x:v>
      </x:c>
      <x:c r="D816" s="13" t="str">
        <x:v>稻米</x:v>
      </x:c>
      <x:c r="E816" s="27" t="n">
        <x:v>0</x:v>
      </x:c>
      <x:c r="F816" s="27" t="n">
        <x:v>55</x:v>
      </x:c>
      <x:c r="G816" s="27" t="n">
        <x:v>261</x:v>
      </x:c>
      <x:c r="H816" s="27" t="n">
        <x:v>783</x:v>
      </x:c>
      <x:c r="I816" s="52" t="n">
        <x:v>0.74</x:v>
      </x:c>
      <x:c r="J816" s="13" t="str">
        <x:v>本港生产/腹地集散/港内加工</x:v>
      </x:c>
      <x:c r="K816" s="13" t="str">
        <x:v>每7个游戏日补充261货载单位。本地、所属岛链或相连腹地供货；成品由港内工坊加工，贸易规模是本作设计。</x:v>
      </x:c>
      <x:c r="L816" s="13" t="str">
        <x:v>港口发展度达到D0（≥0点）；不要求武装度。</x:v>
      </x:c>
    </x:row>
    <x:row r="817" ht="42" customHeight="1">
      <x:c r="A817" s="15" t="str">
        <x:v>P091</x:v>
      </x:c>
      <x:c r="B817" s="15" t="str">
        <x:v>江户</x:v>
      </x:c>
      <x:c r="C817" s="15" t="str">
        <x:v>G015</x:v>
      </x:c>
      <x:c r="D817" s="15" t="str">
        <x:v>咸鱼</x:v>
      </x:c>
      <x:c r="E817" s="30" t="n">
        <x:v>0</x:v>
      </x:c>
      <x:c r="F817" s="30" t="n">
        <x:v>65</x:v>
      </x:c>
      <x:c r="G817" s="30" t="n">
        <x:v>203</x:v>
      </x:c>
      <x:c r="H817" s="30" t="n">
        <x:v>609</x:v>
      </x:c>
      <x:c r="I817" s="54" t="n">
        <x:v>0.74</x:v>
      </x:c>
      <x:c r="J817" s="15" t="str">
        <x:v>本港生产/腹地集散/港内加工</x:v>
      </x:c>
      <x:c r="K817" s="15" t="str">
        <x:v>每7个游戏日补充203货载单位。本地、所属岛链或相连腹地供货；成品由港内工坊加工，贸易规模是本作设计。</x:v>
      </x:c>
      <x:c r="L817" s="15" t="str">
        <x:v>港口发展度达到D0（≥0点）；不要求武装度。</x:v>
      </x:c>
    </x:row>
    <x:row r="818" ht="42" customHeight="1">
      <x:c r="A818" s="13" t="str">
        <x:v>P091</x:v>
      </x:c>
      <x:c r="B818" s="13" t="str">
        <x:v>江户</x:v>
      </x:c>
      <x:c r="C818" s="13" t="str">
        <x:v>G027</x:v>
      </x:c>
      <x:c r="D818" s="13" t="str">
        <x:v>清酒</x:v>
      </x:c>
      <x:c r="E818" s="27" t="n">
        <x:v>1</x:v>
      </x:c>
      <x:c r="F818" s="27" t="n">
        <x:v>150</x:v>
      </x:c>
      <x:c r="G818" s="27" t="n">
        <x:v>99</x:v>
      </x:c>
      <x:c r="H818" s="27" t="n">
        <x:v>297</x:v>
      </x:c>
      <x:c r="I818" s="52" t="n">
        <x:v>0.74</x:v>
      </x:c>
      <x:c r="J818" s="13" t="str">
        <x:v>本港生产/腹地集散/港内加工</x:v>
      </x:c>
      <x:c r="K818" s="13" t="str">
        <x:v>每7个游戏日补充99货载单位。本地、所属岛链或相连腹地供货；成品由港内工坊加工，贸易规模是本作设计。</x:v>
      </x:c>
      <x:c r="L818" s="13" t="str">
        <x:v>港口发展度达到D1（≥100点）；不要求武装度。</x:v>
      </x:c>
    </x:row>
    <x:row r="819" ht="42" customHeight="1">
      <x:c r="A819" s="15" t="str">
        <x:v>P091</x:v>
      </x:c>
      <x:c r="B819" s="15" t="str">
        <x:v>江户</x:v>
      </x:c>
      <x:c r="C819" s="15" t="str">
        <x:v>G041</x:v>
      </x:c>
      <x:c r="D819" s="15" t="str">
        <x:v>大麻纤维</x:v>
      </x:c>
      <x:c r="E819" s="30" t="n">
        <x:v>1</x:v>
      </x:c>
      <x:c r="F819" s="30" t="n">
        <x:v>70</x:v>
      </x:c>
      <x:c r="G819" s="30" t="n">
        <x:v>165</x:v>
      </x:c>
      <x:c r="H819" s="30" t="n">
        <x:v>495</x:v>
      </x:c>
      <x:c r="I819" s="54" t="n">
        <x:v>0.74</x:v>
      </x:c>
      <x:c r="J819" s="15" t="str">
        <x:v>本港生产/腹地集散/港内加工</x:v>
      </x:c>
      <x:c r="K819" s="15" t="str">
        <x:v>每7个游戏日补充165货载单位。本地、所属岛链或相连腹地供货；成品由港内工坊加工，贸易规模是本作设计。</x:v>
      </x:c>
      <x:c r="L819" s="15" t="str">
        <x:v>港口发展度达到D1（≥100点）；不要求武装度。</x:v>
      </x:c>
    </x:row>
    <x:row r="820" ht="42" customHeight="1">
      <x:c r="A820" s="13" t="str">
        <x:v>P091</x:v>
      </x:c>
      <x:c r="B820" s="13" t="str">
        <x:v>江户</x:v>
      </x:c>
      <x:c r="C820" s="13" t="str">
        <x:v>G020</x:v>
      </x:c>
      <x:c r="D820" s="13" t="str">
        <x:v>茶叶</x:v>
      </x:c>
      <x:c r="E820" s="27" t="n">
        <x:v>2</x:v>
      </x:c>
      <x:c r="F820" s="27" t="n">
        <x:v>210</x:v>
      </x:c>
      <x:c r="G820" s="27" t="n">
        <x:v>59</x:v>
      </x:c>
      <x:c r="H820" s="27" t="n">
        <x:v>177</x:v>
      </x:c>
      <x:c r="I820" s="52" t="n">
        <x:v>0.8</x:v>
      </x:c>
      <x:c r="J820" s="13" t="str">
        <x:v>本港生产/腹地集散/港内加工</x:v>
      </x:c>
      <x:c r="K820" s="13" t="str">
        <x:v>每7个游戏日补充59货载单位。本地、所属岛链或相连腹地供货；成品由港内工坊加工，贸易规模是本作设计。</x:v>
      </x:c>
      <x:c r="L820" s="13" t="str">
        <x:v>港口发展度达到D2（≥250点）；不要求武装度。</x:v>
      </x:c>
    </x:row>
    <x:row r="821" ht="42" customHeight="1">
      <x:c r="A821" s="15" t="str">
        <x:v>P091</x:v>
      </x:c>
      <x:c r="B821" s="15" t="str">
        <x:v>江户</x:v>
      </x:c>
      <x:c r="C821" s="15" t="str">
        <x:v>G098</x:v>
      </x:c>
      <x:c r="D821" s="15" t="str">
        <x:v>书籍</x:v>
      </x:c>
      <x:c r="E821" s="30" t="n">
        <x:v>3</x:v>
      </x:c>
      <x:c r="F821" s="30" t="n">
        <x:v>280</x:v>
      </x:c>
      <x:c r="G821" s="30" t="n">
        <x:v>13</x:v>
      </x:c>
      <x:c r="H821" s="30" t="n">
        <x:v>39</x:v>
      </x:c>
      <x:c r="I821" s="54" t="n">
        <x:v>0.8</x:v>
      </x:c>
      <x:c r="J821" s="15" t="str">
        <x:v>本港生产/腹地集散/港内加工</x:v>
      </x:c>
      <x:c r="K821" s="15" t="str">
        <x:v>每7个游戏日补充13货载单位。本地、所属岛链或相连腹地供货；成品由港内工坊加工，贸易规模是本作设计。</x:v>
      </x:c>
      <x:c r="L821" s="15" t="str">
        <x:v>港口发展度达到D3（≥450点）；不要求武装度。</x:v>
      </x:c>
    </x:row>
    <x:row r="822" ht="42" customHeight="1">
      <x:c r="A822" s="13" t="str">
        <x:v>P091</x:v>
      </x:c>
      <x:c r="B822" s="13" t="str">
        <x:v>江户</x:v>
      </x:c>
      <x:c r="C822" s="13" t="str">
        <x:v>G072</x:v>
      </x:c>
      <x:c r="D822" s="13" t="str">
        <x:v>漆器</x:v>
      </x:c>
      <x:c r="E822" s="27" t="n">
        <x:v>4</x:v>
      </x:c>
      <x:c r="F822" s="27" t="n">
        <x:v>480</x:v>
      </x:c>
      <x:c r="G822" s="27" t="n">
        <x:v>27</x:v>
      </x:c>
      <x:c r="H822" s="27" t="n">
        <x:v>81</x:v>
      </x:c>
      <x:c r="I822" s="52" t="n">
        <x:v>0.87</x:v>
      </x:c>
      <x:c r="J822" s="13" t="str">
        <x:v>本港生产/腹地集散/港内加工</x:v>
      </x:c>
      <x:c r="K822" s="13" t="str">
        <x:v>每7个游戏日补充27货载单位。本地、所属岛链或相连腹地供货；成品由港内工坊加工，贸易规模是本作设计。</x:v>
      </x:c>
      <x:c r="L822" s="13" t="str">
        <x:v>港口发展度达到D4（≥700点）；不要求武装度。</x:v>
      </x:c>
    </x:row>
    <x:row r="823" ht="42" customHeight="1">
      <x:c r="A823" s="15" t="str">
        <x:v>P091</x:v>
      </x:c>
      <x:c r="B823" s="15" t="str">
        <x:v>江户</x:v>
      </x:c>
      <x:c r="C823" s="15" t="str">
        <x:v>G100</x:v>
      </x:c>
      <x:c r="D823" s="15" t="str">
        <x:v>钟表</x:v>
      </x:c>
      <x:c r="E823" s="30" t="n">
        <x:v>5</x:v>
      </x:c>
      <x:c r="F823" s="30" t="n">
        <x:v>900</x:v>
      </x:c>
      <x:c r="G823" s="30" t="n">
        <x:v>9</x:v>
      </x:c>
      <x:c r="H823" s="30" t="n">
        <x:v>27</x:v>
      </x:c>
      <x:c r="I823" s="54" t="n">
        <x:v>0.87</x:v>
      </x:c>
      <x:c r="J823" s="15" t="str">
        <x:v>本港生产/腹地集散/港内加工</x:v>
      </x:c>
      <x:c r="K823" s="15" t="str">
        <x:v>每7个游戏日补充9货载单位。本地、所属岛链或相连腹地供货；成品由港内工坊加工，贸易规模是本作设计。</x:v>
      </x:c>
      <x:c r="L823" s="15" t="str">
        <x:v>港口发展度达到D5（≥1000点）；不要求武装度。</x:v>
      </x:c>
    </x:row>
    <x:row r="824" ht="42" customHeight="1">
      <x:c r="A824" s="13" t="str">
        <x:v>P091</x:v>
      </x:c>
      <x:c r="B824" s="13" t="str">
        <x:v>江户</x:v>
      </x:c>
      <x:c r="C824" s="13" t="str">
        <x:v>SP091</x:v>
      </x:c>
      <x:c r="D824" s="13" t="str">
        <x:v>江户千帆浮世绘册</x:v>
      </x:c>
      <x:c r="E824" s="27" t="n">
        <x:v>4</x:v>
      </x:c>
      <x:c r="F824" s="27" t="n">
        <x:v>1030</x:v>
      </x:c>
      <x:c r="G824" s="27" t="n">
        <x:v>9</x:v>
      </x:c>
      <x:c r="H824" s="27" t="n">
        <x:v>18</x:v>
      </x:c>
      <x:c r="I824" s="52" t="n">
        <x:v>0.78</x:v>
      </x:c>
      <x:c r="J824" s="13" t="str">
        <x:v>港口独占原创工坊特产</x:v>
      </x:c>
      <x:c r="K824" s="13" t="str">
        <x:v>每7个游戏日由「千帆木版印坊」交货9货载；只在本港形成稳定产源。</x:v>
      </x:c>
      <x:c r="L824" s="13" t="str">
        <x:v>港口发展度达到D4（≥700点）时，投资项目「千帆木版印坊」自动完工；不要求武装度。</x:v>
      </x:c>
    </x:row>
    <x:row r="825" ht="42" customHeight="1">
      <x:c r="A825" s="15" t="str">
        <x:v>P092</x:v>
      </x:c>
      <x:c r="B825" s="15" t="str">
        <x:v>釜山</x:v>
      </x:c>
      <x:c r="C825" s="15" t="str">
        <x:v>G004</x:v>
      </x:c>
      <x:c r="D825" s="15" t="str">
        <x:v>稻米</x:v>
      </x:c>
      <x:c r="E825" s="30" t="n">
        <x:v>0</x:v>
      </x:c>
      <x:c r="F825" s="30" t="n">
        <x:v>55</x:v>
      </x:c>
      <x:c r="G825" s="30" t="n">
        <x:v>200</x:v>
      </x:c>
      <x:c r="H825" s="30" t="n">
        <x:v>600</x:v>
      </x:c>
      <x:c r="I825" s="54" t="n">
        <x:v>0.74</x:v>
      </x:c>
      <x:c r="J825" s="15" t="str">
        <x:v>本港生产/腹地集散/港内加工</x:v>
      </x:c>
      <x:c r="K825" s="15" t="str">
        <x:v>每7个游戏日补充200货载单位。本地、所属岛链或相连腹地供货；成品由港内工坊加工，贸易规模是本作设计。</x:v>
      </x:c>
      <x:c r="L825" s="15" t="str">
        <x:v>港口发展度达到D0（≥0点）；不要求武装度。</x:v>
      </x:c>
    </x:row>
    <x:row r="826" ht="42" customHeight="1">
      <x:c r="A826" s="13" t="str">
        <x:v>P092</x:v>
      </x:c>
      <x:c r="B826" s="13" t="str">
        <x:v>釜山</x:v>
      </x:c>
      <x:c r="C826" s="13" t="str">
        <x:v>G015</x:v>
      </x:c>
      <x:c r="D826" s="13" t="str">
        <x:v>咸鱼</x:v>
      </x:c>
      <x:c r="E826" s="27" t="n">
        <x:v>0</x:v>
      </x:c>
      <x:c r="F826" s="27" t="n">
        <x:v>65</x:v>
      </x:c>
      <x:c r="G826" s="27" t="n">
        <x:v>155</x:v>
      </x:c>
      <x:c r="H826" s="27" t="n">
        <x:v>465</x:v>
      </x:c>
      <x:c r="I826" s="52" t="n">
        <x:v>0.74</x:v>
      </x:c>
      <x:c r="J826" s="13" t="str">
        <x:v>本港生产/腹地集散/港内加工</x:v>
      </x:c>
      <x:c r="K826" s="13" t="str">
        <x:v>每7个游戏日补充155货载单位。本地、所属岛链或相连腹地供货；成品由港内工坊加工，贸易规模是本作设计。</x:v>
      </x:c>
      <x:c r="L826" s="13" t="str">
        <x:v>港口发展度达到D0（≥0点）；不要求武装度。</x:v>
      </x:c>
    </x:row>
    <x:row r="827" ht="42" customHeight="1">
      <x:c r="A827" s="15" t="str">
        <x:v>P092</x:v>
      </x:c>
      <x:c r="B827" s="15" t="str">
        <x:v>釜山</x:v>
      </x:c>
      <x:c r="C827" s="15" t="str">
        <x:v>G092</x:v>
      </x:c>
      <x:c r="D827" s="15" t="str">
        <x:v>海藻</x:v>
      </x:c>
      <x:c r="E827" s="30" t="n">
        <x:v>1</x:v>
      </x:c>
      <x:c r="F827" s="30" t="n">
        <x:v>45</x:v>
      </x:c>
      <x:c r="G827" s="30" t="n">
        <x:v>148</x:v>
      </x:c>
      <x:c r="H827" s="30" t="n">
        <x:v>444</x:v>
      </x:c>
      <x:c r="I827" s="54" t="n">
        <x:v>0.74</x:v>
      </x:c>
      <x:c r="J827" s="15" t="str">
        <x:v>本港生产/腹地集散/港内加工</x:v>
      </x:c>
      <x:c r="K827" s="15" t="str">
        <x:v>每7个游戏日补充148货载单位。本地、所属岛链或相连腹地供货；成品由港内工坊加工，贸易规模是本作设计。</x:v>
      </x:c>
      <x:c r="L827" s="15" t="str">
        <x:v>港口发展度达到D1（≥100点）；不要求武装度。</x:v>
      </x:c>
    </x:row>
    <x:row r="828" ht="42" customHeight="1">
      <x:c r="A828" s="13" t="str">
        <x:v>P092</x:v>
      </x:c>
      <x:c r="B828" s="13" t="str">
        <x:v>釜山</x:v>
      </x:c>
      <x:c r="C828" s="13" t="str">
        <x:v>G101</x:v>
      </x:c>
      <x:c r="D828" s="13" t="str">
        <x:v>药草</x:v>
      </x:c>
      <x:c r="E828" s="27" t="n">
        <x:v>1</x:v>
      </x:c>
      <x:c r="F828" s="27" t="n">
        <x:v>130</x:v>
      </x:c>
      <x:c r="G828" s="27" t="n">
        <x:v>34</x:v>
      </x:c>
      <x:c r="H828" s="27" t="n">
        <x:v>102</x:v>
      </x:c>
      <x:c r="I828" s="52" t="n">
        <x:v>0.74</x:v>
      </x:c>
      <x:c r="J828" s="13" t="str">
        <x:v>本港生产/腹地集散/港内加工</x:v>
      </x:c>
      <x:c r="K828" s="13" t="str">
        <x:v>每7个游戏日补充34货载单位。本地、所属岛链或相连腹地供货；成品由港内工坊加工，贸易规模是本作设计。</x:v>
      </x:c>
      <x:c r="L828" s="13" t="str">
        <x:v>港口发展度达到D1（≥100点）；不要求武装度。</x:v>
      </x:c>
    </x:row>
    <x:row r="829" ht="42" customHeight="1">
      <x:c r="A829" s="15" t="str">
        <x:v>P092</x:v>
      </x:c>
      <x:c r="B829" s="15" t="str">
        <x:v>釜山</x:v>
      </x:c>
      <x:c r="C829" s="15" t="str">
        <x:v>G058</x:v>
      </x:c>
      <x:c r="D829" s="15" t="str">
        <x:v>铁锭</x:v>
      </x:c>
      <x:c r="E829" s="30" t="n">
        <x:v>2</x:v>
      </x:c>
      <x:c r="F829" s="30" t="n">
        <x:v>120</x:v>
      </x:c>
      <x:c r="G829" s="30" t="n">
        <x:v>38</x:v>
      </x:c>
      <x:c r="H829" s="30" t="n">
        <x:v>114</x:v>
      </x:c>
      <x:c r="I829" s="54" t="n">
        <x:v>0.8</x:v>
      </x:c>
      <x:c r="J829" s="15" t="str">
        <x:v>本港生产/腹地集散/港内加工</x:v>
      </x:c>
      <x:c r="K829" s="15" t="str">
        <x:v>每7个游戏日补充38货载单位。本地、所属岛链或相连腹地供货；成品由港内工坊加工，贸易规模是本作设计。</x:v>
      </x:c>
      <x:c r="L829" s="15" t="str">
        <x:v>港口发展度达到D2（≥250点）；不要求武装度。</x:v>
      </x:c>
    </x:row>
    <x:row r="830" ht="42" customHeight="1">
      <x:c r="A830" s="13" t="str">
        <x:v>P092</x:v>
      </x:c>
      <x:c r="B830" s="13" t="str">
        <x:v>釜山</x:v>
      </x:c>
      <x:c r="C830" s="13" t="str">
        <x:v>G043</x:v>
      </x:c>
      <x:c r="D830" s="13" t="str">
        <x:v>棉布</x:v>
      </x:c>
      <x:c r="E830" s="27" t="n">
        <x:v>3</x:v>
      </x:c>
      <x:c r="F830" s="27" t="n">
        <x:v>160</x:v>
      </x:c>
      <x:c r="G830" s="27" t="n">
        <x:v>56</x:v>
      </x:c>
      <x:c r="H830" s="27" t="n">
        <x:v>168</x:v>
      </x:c>
      <x:c r="I830" s="52" t="n">
        <x:v>0.8</x:v>
      </x:c>
      <x:c r="J830" s="13" t="str">
        <x:v>本港生产/腹地集散/港内加工</x:v>
      </x:c>
      <x:c r="K830" s="13" t="str">
        <x:v>每7个游戏日补充56货载单位。本地、所属岛链或相连腹地供货；成品由港内工坊加工，贸易规模是本作设计。</x:v>
      </x:c>
      <x:c r="L830" s="13" t="str">
        <x:v>港口发展度达到D3（≥450点）；不要求武装度。</x:v>
      </x:c>
    </x:row>
    <x:row r="831" ht="42" customHeight="1">
      <x:c r="A831" s="15" t="str">
        <x:v>P092</x:v>
      </x:c>
      <x:c r="B831" s="15" t="str">
        <x:v>釜山</x:v>
      </x:c>
      <x:c r="C831" s="15" t="str">
        <x:v>G070</x:v>
      </x:c>
      <x:c r="D831" s="15" t="str">
        <x:v>瓷器</x:v>
      </x:c>
      <x:c r="E831" s="30" t="n">
        <x:v>4</x:v>
      </x:c>
      <x:c r="F831" s="30" t="n">
        <x:v>370</x:v>
      </x:c>
      <x:c r="G831" s="30" t="n">
        <x:v>21</x:v>
      </x:c>
      <x:c r="H831" s="30" t="n">
        <x:v>63</x:v>
      </x:c>
      <x:c r="I831" s="54" t="n">
        <x:v>0.87</x:v>
      </x:c>
      <x:c r="J831" s="15" t="str">
        <x:v>本港生产/腹地集散/港内加工</x:v>
      </x:c>
      <x:c r="K831" s="15" t="str">
        <x:v>每7个游戏日补充21货载单位。本地、所属岛链或相连腹地供货；成品由港内工坊加工，贸易规模是本作设计。</x:v>
      </x:c>
      <x:c r="L831" s="15" t="str">
        <x:v>港口发展度达到D4（≥700点）；不要求武装度。</x:v>
      </x:c>
    </x:row>
    <x:row r="832" ht="42" customHeight="1">
      <x:c r="A832" s="13" t="str">
        <x:v>P092</x:v>
      </x:c>
      <x:c r="B832" s="13" t="str">
        <x:v>釜山</x:v>
      </x:c>
      <x:c r="C832" s="13" t="str">
        <x:v>G098</x:v>
      </x:c>
      <x:c r="D832" s="13" t="str">
        <x:v>书籍</x:v>
      </x:c>
      <x:c r="E832" s="27" t="n">
        <x:v>5</x:v>
      </x:c>
      <x:c r="F832" s="27" t="n">
        <x:v>280</x:v>
      </x:c>
      <x:c r="G832" s="27" t="n">
        <x:v>7</x:v>
      </x:c>
      <x:c r="H832" s="27" t="n">
        <x:v>21</x:v>
      </x:c>
      <x:c r="I832" s="52" t="n">
        <x:v>0.87</x:v>
      </x:c>
      <x:c r="J832" s="13" t="str">
        <x:v>本港生产/腹地集散/港内加工</x:v>
      </x:c>
      <x:c r="K832" s="13" t="str">
        <x:v>每7个游戏日补充7货载单位。本地、所属岛链或相连腹地供货；成品由港内工坊加工，贸易规模是本作设计。</x:v>
      </x:c>
      <x:c r="L832" s="13" t="str">
        <x:v>港口发展度达到D5（≥1000点）；不要求武装度。</x:v>
      </x:c>
    </x:row>
    <x:row r="833" ht="42" customHeight="1">
      <x:c r="A833" s="15" t="str">
        <x:v>P092</x:v>
      </x:c>
      <x:c r="B833" s="15" t="str">
        <x:v>釜山</x:v>
      </x:c>
      <x:c r="C833" s="15" t="str">
        <x:v>SP092</x:v>
      </x:c>
      <x:c r="D833" s="15" t="str">
        <x:v>青潮螺钿文箱</x:v>
      </x:c>
      <x:c r="E833" s="30" t="n">
        <x:v>4</x:v>
      </x:c>
      <x:c r="F833" s="30" t="n">
        <x:v>1050</x:v>
      </x:c>
      <x:c r="G833" s="30" t="n">
        <x:v>7</x:v>
      </x:c>
      <x:c r="H833" s="30" t="n">
        <x:v>14</x:v>
      </x:c>
      <x:c r="I833" s="54" t="n">
        <x:v>0.78</x:v>
      </x:c>
      <x:c r="J833" s="15" t="str">
        <x:v>港口独占原创工坊特产</x:v>
      </x:c>
      <x:c r="K833" s="15" t="str">
        <x:v>每7个游戏日由「青潮螺钿工坊」交货7货载；只在本港形成稳定产源。</x:v>
      </x:c>
      <x:c r="L833" s="15" t="str">
        <x:v>港口发展度达到D4（≥700点）时，投资项目「青潮螺钿工坊」自动完工；不要求武装度。</x:v>
      </x:c>
    </x:row>
    <x:row r="834" ht="42" customHeight="1">
      <x:c r="A834" s="13" t="str">
        <x:v>P093</x:v>
      </x:c>
      <x:c r="B834" s="13" t="str">
        <x:v>济州</x:v>
      </x:c>
      <x:c r="C834" s="13" t="str">
        <x:v>G015</x:v>
      </x:c>
      <x:c r="D834" s="13" t="str">
        <x:v>咸鱼</x:v>
      </x:c>
      <x:c r="E834" s="27" t="n">
        <x:v>0</x:v>
      </x:c>
      <x:c r="F834" s="27" t="n">
        <x:v>65</x:v>
      </x:c>
      <x:c r="G834" s="27" t="n">
        <x:v>116</x:v>
      </x:c>
      <x:c r="H834" s="27" t="n">
        <x:v>348</x:v>
      </x:c>
      <x:c r="I834" s="52" t="n">
        <x:v>0.74</x:v>
      </x:c>
      <x:c r="J834" s="13" t="str">
        <x:v>本港生产/腹地集散/港内加工</x:v>
      </x:c>
      <x:c r="K834" s="13" t="str">
        <x:v>每7个游戏日补充116货载单位。本地、所属岛链或相连腹地供货；成品由港内工坊加工，贸易规模是本作设计。</x:v>
      </x:c>
      <x:c r="L834" s="13" t="str">
        <x:v>港口发展度达到D0（≥0点）；不要求武装度。</x:v>
      </x:c>
    </x:row>
    <x:row r="835" ht="42" customHeight="1">
      <x:c r="A835" s="15" t="str">
        <x:v>P093</x:v>
      </x:c>
      <x:c r="B835" s="15" t="str">
        <x:v>济州</x:v>
      </x:c>
      <x:c r="C835" s="15" t="str">
        <x:v>G092</x:v>
      </x:c>
      <x:c r="D835" s="15" t="str">
        <x:v>海藻</x:v>
      </x:c>
      <x:c r="E835" s="30" t="n">
        <x:v>0</x:v>
      </x:c>
      <x:c r="F835" s="30" t="n">
        <x:v>45</x:v>
      </x:c>
      <x:c r="G835" s="30" t="n">
        <x:v>116</x:v>
      </x:c>
      <x:c r="H835" s="30" t="n">
        <x:v>348</x:v>
      </x:c>
      <x:c r="I835" s="54" t="n">
        <x:v>0.74</x:v>
      </x:c>
      <x:c r="J835" s="15" t="str">
        <x:v>本港生产/腹地集散/港内加工</x:v>
      </x:c>
      <x:c r="K835" s="15" t="str">
        <x:v>每7个游戏日补充116货载单位。本地、所属岛链或相连腹地供货；成品由港内工坊加工，贸易规模是本作设计。</x:v>
      </x:c>
      <x:c r="L835" s="15" t="str">
        <x:v>港口发展度达到D0（≥0点）；不要求武装度。</x:v>
      </x:c>
    </x:row>
    <x:row r="836" ht="42" customHeight="1">
      <x:c r="A836" s="13" t="str">
        <x:v>P093</x:v>
      </x:c>
      <x:c r="B836" s="13" t="str">
        <x:v>济州</x:v>
      </x:c>
      <x:c r="C836" s="13" t="str">
        <x:v>G094</x:v>
      </x:c>
      <x:c r="D836" s="13" t="str">
        <x:v>柑橘</x:v>
      </x:c>
      <x:c r="E836" s="27" t="n">
        <x:v>1</x:v>
      </x:c>
      <x:c r="F836" s="27" t="n">
        <x:v>62</x:v>
      </x:c>
      <x:c r="G836" s="27" t="n">
        <x:v>110</x:v>
      </x:c>
      <x:c r="H836" s="27" t="n">
        <x:v>330</x:v>
      </x:c>
      <x:c r="I836" s="52" t="n">
        <x:v>0.74</x:v>
      </x:c>
      <x:c r="J836" s="13" t="str">
        <x:v>本港生产/腹地集散/港内加工</x:v>
      </x:c>
      <x:c r="K836" s="13" t="str">
        <x:v>每7个游戏日补充110货载单位。本地、所属岛链或相连腹地供货；成品由港内工坊加工，贸易规模是本作设计。</x:v>
      </x:c>
      <x:c r="L836" s="13" t="str">
        <x:v>港口发展度达到D1（≥100点）；不要求武装度。</x:v>
      </x:c>
    </x:row>
    <x:row r="837" ht="42" customHeight="1">
      <x:c r="A837" s="15" t="str">
        <x:v>P093</x:v>
      </x:c>
      <x:c r="B837" s="15" t="str">
        <x:v>济州</x:v>
      </x:c>
      <x:c r="C837" s="15" t="str">
        <x:v>G009</x:v>
      </x:c>
      <x:c r="D837" s="15" t="str">
        <x:v>盐</x:v>
      </x:c>
      <x:c r="E837" s="30" t="n">
        <x:v>1</x:v>
      </x:c>
      <x:c r="F837" s="30" t="n">
        <x:v>28</x:v>
      </x:c>
      <x:c r="G837" s="30" t="n">
        <x:v>110</x:v>
      </x:c>
      <x:c r="H837" s="30" t="n">
        <x:v>330</x:v>
      </x:c>
      <x:c r="I837" s="54" t="n">
        <x:v>0.74</x:v>
      </x:c>
      <x:c r="J837" s="15" t="str">
        <x:v>本港生产/腹地集散/港内加工</x:v>
      </x:c>
      <x:c r="K837" s="15" t="str">
        <x:v>每7个游戏日补充110货载单位。本地、所属岛链或相连腹地供货；成品由港内工坊加工，贸易规模是本作设计。</x:v>
      </x:c>
      <x:c r="L837" s="15" t="str">
        <x:v>港口发展度达到D1（≥100点）；不要求武装度。</x:v>
      </x:c>
    </x:row>
    <x:row r="838" ht="42" customHeight="1">
      <x:c r="A838" s="13" t="str">
        <x:v>P093</x:v>
      </x:c>
      <x:c r="B838" s="13" t="str">
        <x:v>济州</x:v>
      </x:c>
      <x:c r="C838" s="13" t="str">
        <x:v>G075</x:v>
      </x:c>
      <x:c r="D838" s="13" t="str">
        <x:v>珊瑚</x:v>
      </x:c>
      <x:c r="E838" s="27" t="n">
        <x:v>2</x:v>
      </x:c>
      <x:c r="F838" s="27" t="n">
        <x:v>330</x:v>
      </x:c>
      <x:c r="G838" s="27" t="n">
        <x:v>6</x:v>
      </x:c>
      <x:c r="H838" s="27" t="n">
        <x:v>18</x:v>
      </x:c>
      <x:c r="I838" s="52" t="n">
        <x:v>0.8</x:v>
      </x:c>
      <x:c r="J838" s="13" t="str">
        <x:v>本港生产/腹地集散/港内加工</x:v>
      </x:c>
      <x:c r="K838" s="13" t="str">
        <x:v>每7个游戏日补充6货载单位。本地、所属岛链或相连腹地供货；成品由港内工坊加工，贸易规模是本作设计。</x:v>
      </x:c>
      <x:c r="L838" s="13" t="str">
        <x:v>港口发展度达到D2（≥250点）；不要求武装度。</x:v>
      </x:c>
    </x:row>
    <x:row r="839" ht="42" customHeight="1">
      <x:c r="A839" s="15" t="str">
        <x:v>P093</x:v>
      </x:c>
      <x:c r="B839" s="15" t="str">
        <x:v>济州</x:v>
      </x:c>
      <x:c r="C839" s="15" t="str">
        <x:v>G074</x:v>
      </x:c>
      <x:c r="D839" s="15" t="str">
        <x:v>珍珠</x:v>
      </x:c>
      <x:c r="E839" s="30" t="n">
        <x:v>3</x:v>
      </x:c>
      <x:c r="F839" s="30" t="n">
        <x:v>680</x:v>
      </x:c>
      <x:c r="G839" s="30" t="n">
        <x:v>5</x:v>
      </x:c>
      <x:c r="H839" s="30" t="n">
        <x:v>15</x:v>
      </x:c>
      <x:c r="I839" s="54" t="n">
        <x:v>0.8</x:v>
      </x:c>
      <x:c r="J839" s="15" t="str">
        <x:v>本港生产/腹地集散/港内加工</x:v>
      </x:c>
      <x:c r="K839" s="15" t="str">
        <x:v>每7个游戏日补充5货载单位。本地、所属岛链或相连腹地供货；成品由港内工坊加工，贸易规模是本作设计。</x:v>
      </x:c>
      <x:c r="L839" s="15" t="str">
        <x:v>港口发展度达到D3（≥450点）；不要求武装度。</x:v>
      </x:c>
    </x:row>
    <x:row r="840" ht="42" customHeight="1">
      <x:c r="A840" s="13" t="str">
        <x:v>P093</x:v>
      </x:c>
      <x:c r="B840" s="13" t="str">
        <x:v>济州</x:v>
      </x:c>
      <x:c r="C840" s="13" t="str">
        <x:v>G101</x:v>
      </x:c>
      <x:c r="D840" s="13" t="str">
        <x:v>药草</x:v>
      </x:c>
      <x:c r="E840" s="27" t="n">
        <x:v>4</x:v>
      </x:c>
      <x:c r="F840" s="27" t="n">
        <x:v>130</x:v>
      </x:c>
      <x:c r="G840" s="27" t="n">
        <x:v>16</x:v>
      </x:c>
      <x:c r="H840" s="27" t="n">
        <x:v>48</x:v>
      </x:c>
      <x:c r="I840" s="52" t="n">
        <x:v>0.87</x:v>
      </x:c>
      <x:c r="J840" s="13" t="str">
        <x:v>本港生产/腹地集散/港内加工</x:v>
      </x:c>
      <x:c r="K840" s="13" t="str">
        <x:v>每7个游戏日补充16货载单位。本地、所属岛链或相连腹地供货；成品由港内工坊加工，贸易规模是本作设计。</x:v>
      </x:c>
      <x:c r="L840" s="13" t="str">
        <x:v>港口发展度达到D4（≥700点）；不要求武装度。</x:v>
      </x:c>
    </x:row>
    <x:row r="841" ht="42" customHeight="1">
      <x:c r="A841" s="15" t="str">
        <x:v>P093</x:v>
      </x:c>
      <x:c r="B841" s="15" t="str">
        <x:v>济州</x:v>
      </x:c>
      <x:c r="C841" s="15" t="str">
        <x:v>G096</x:v>
      </x:c>
      <x:c r="D841" s="15" t="str">
        <x:v>贝壳工艺品</x:v>
      </x:c>
      <x:c r="E841" s="30" t="n">
        <x:v>5</x:v>
      </x:c>
      <x:c r="F841" s="30" t="n">
        <x:v>210</x:v>
      </x:c>
      <x:c r="G841" s="30" t="n">
        <x:v>13</x:v>
      </x:c>
      <x:c r="H841" s="30" t="n">
        <x:v>39</x:v>
      </x:c>
      <x:c r="I841" s="54" t="n">
        <x:v>0.87</x:v>
      </x:c>
      <x:c r="J841" s="15" t="str">
        <x:v>本港生产/腹地集散/港内加工</x:v>
      </x:c>
      <x:c r="K841" s="15" t="str">
        <x:v>每7个游戏日补充13货载单位。本地、所属岛链或相连腹地供货；成品由港内工坊加工，贸易规模是本作设计。</x:v>
      </x:c>
      <x:c r="L841" s="15" t="str">
        <x:v>港口发展度达到D5（≥1000点）；不要求武装度。</x:v>
      </x:c>
    </x:row>
    <x:row r="842" ht="42" customHeight="1">
      <x:c r="A842" s="13" t="str">
        <x:v>P093</x:v>
      </x:c>
      <x:c r="B842" s="13" t="str">
        <x:v>济州</x:v>
      </x:c>
      <x:c r="C842" s="13" t="str">
        <x:v>SP093</x:v>
      </x:c>
      <x:c r="D842" s="13" t="str">
        <x:v>黑石海女贝光扣</x:v>
      </x:c>
      <x:c r="E842" s="27" t="n">
        <x:v>3</x:v>
      </x:c>
      <x:c r="F842" s="27" t="n">
        <x:v>650</x:v>
      </x:c>
      <x:c r="G842" s="27" t="n">
        <x:v>7</x:v>
      </x:c>
      <x:c r="H842" s="27" t="n">
        <x:v>14</x:v>
      </x:c>
      <x:c r="I842" s="52" t="n">
        <x:v>0.78</x:v>
      </x:c>
      <x:c r="J842" s="13" t="str">
        <x:v>港口独占原创工坊特产</x:v>
      </x:c>
      <x:c r="K842" s="13" t="str">
        <x:v>每7个游戏日由「贝光镶嵌工坊」交货7货载；只在本港形成稳定产源。</x:v>
      </x:c>
      <x:c r="L842" s="13" t="str">
        <x:v>港口发展度达到D3（≥450点）时，投资项目「贝光镶嵌工坊」自动完工；不要求武装度。</x:v>
      </x:c>
    </x:row>
    <x:row r="843" ht="42" customHeight="1">
      <x:c r="A843" s="15" t="str">
        <x:v>P094</x:v>
      </x:c>
      <x:c r="B843" s="15" t="str">
        <x:v>箱馆</x:v>
      </x:c>
      <x:c r="C843" s="15" t="str">
        <x:v>G015</x:v>
      </x:c>
      <x:c r="D843" s="15" t="str">
        <x:v>咸鱼</x:v>
      </x:c>
      <x:c r="E843" s="30" t="n">
        <x:v>0</x:v>
      </x:c>
      <x:c r="F843" s="30" t="n">
        <x:v>65</x:v>
      </x:c>
      <x:c r="G843" s="30" t="n">
        <x:v>125</x:v>
      </x:c>
      <x:c r="H843" s="30" t="n">
        <x:v>375</x:v>
      </x:c>
      <x:c r="I843" s="54" t="n">
        <x:v>0.74</x:v>
      </x:c>
      <x:c r="J843" s="15" t="str">
        <x:v>本港生产/腹地集散/港内加工</x:v>
      </x:c>
      <x:c r="K843" s="15" t="str">
        <x:v>每7个游戏日补充125货载单位。本地、所属岛链或相连腹地供货；成品由港内工坊加工，贸易规模是本作设计。</x:v>
      </x:c>
      <x:c r="L843" s="15" t="str">
        <x:v>港口发展度达到D0（≥0点）；不要求武装度。</x:v>
      </x:c>
    </x:row>
    <x:row r="844" ht="42" customHeight="1">
      <x:c r="A844" s="13" t="str">
        <x:v>P094</x:v>
      </x:c>
      <x:c r="B844" s="13" t="str">
        <x:v>箱馆</x:v>
      </x:c>
      <x:c r="C844" s="13" t="str">
        <x:v>G092</x:v>
      </x:c>
      <x:c r="D844" s="13" t="str">
        <x:v>海藻</x:v>
      </x:c>
      <x:c r="E844" s="27" t="n">
        <x:v>0</x:v>
      </x:c>
      <x:c r="F844" s="27" t="n">
        <x:v>45</x:v>
      </x:c>
      <x:c r="G844" s="27" t="n">
        <x:v>125</x:v>
      </x:c>
      <x:c r="H844" s="27" t="n">
        <x:v>375</x:v>
      </x:c>
      <x:c r="I844" s="52" t="n">
        <x:v>0.74</x:v>
      </x:c>
      <x:c r="J844" s="13" t="str">
        <x:v>本港生产/腹地集散/港内加工</x:v>
      </x:c>
      <x:c r="K844" s="13" t="str">
        <x:v>每7个游戏日补充125货载单位。本地、所属岛链或相连腹地供货；成品由港内工坊加工，贸易规模是本作设计。</x:v>
      </x:c>
      <x:c r="L844" s="13" t="str">
        <x:v>港口发展度达到D0（≥0点）；不要求武装度。</x:v>
      </x:c>
    </x:row>
    <x:row r="845" ht="42" customHeight="1">
      <x:c r="A845" s="15" t="str">
        <x:v>P094</x:v>
      </x:c>
      <x:c r="B845" s="15" t="str">
        <x:v>箱馆</x:v>
      </x:c>
      <x:c r="C845" s="15" t="str">
        <x:v>G057</x:v>
      </x:c>
      <x:c r="D845" s="15" t="str">
        <x:v>松木</x:v>
      </x:c>
      <x:c r="E845" s="30" t="n">
        <x:v>1</x:v>
      </x:c>
      <x:c r="F845" s="30" t="n">
        <x:v>70</x:v>
      </x:c>
      <x:c r="G845" s="30" t="n">
        <x:v>93</x:v>
      </x:c>
      <x:c r="H845" s="30" t="n">
        <x:v>279</x:v>
      </x:c>
      <x:c r="I845" s="54" t="n">
        <x:v>0.74</x:v>
      </x:c>
      <x:c r="J845" s="15" t="str">
        <x:v>本港生产/腹地集散/港内加工</x:v>
      </x:c>
      <x:c r="K845" s="15" t="str">
        <x:v>每7个游戏日补充93货载单位。本地、所属岛链或相连腹地供货；成品由港内工坊加工，贸易规模是本作设计。</x:v>
      </x:c>
      <x:c r="L845" s="15" t="str">
        <x:v>港口发展度达到D1（≥100点）；不要求武装度。</x:v>
      </x:c>
    </x:row>
    <x:row r="846" ht="42" customHeight="1">
      <x:c r="A846" s="13" t="str">
        <x:v>P094</x:v>
      </x:c>
      <x:c r="B846" s="13" t="str">
        <x:v>箱馆</x:v>
      </x:c>
      <x:c r="C846" s="13" t="str">
        <x:v>G091</x:v>
      </x:c>
      <x:c r="D846" s="13" t="str">
        <x:v>鱼油</x:v>
      </x:c>
      <x:c r="E846" s="27" t="n">
        <x:v>1</x:v>
      </x:c>
      <x:c r="F846" s="27" t="n">
        <x:v>80</x:v>
      </x:c>
      <x:c r="G846" s="27" t="n">
        <x:v>59</x:v>
      </x:c>
      <x:c r="H846" s="27" t="n">
        <x:v>177</x:v>
      </x:c>
      <x:c r="I846" s="52" t="n">
        <x:v>0.74</x:v>
      </x:c>
      <x:c r="J846" s="13" t="str">
        <x:v>本港生产/腹地集散/港内加工</x:v>
      </x:c>
      <x:c r="K846" s="13" t="str">
        <x:v>每7个游戏日补充59货载单位。本地、所属岛链或相连腹地供货；成品由港内工坊加工，贸易规模是本作设计。</x:v>
      </x:c>
      <x:c r="L846" s="13" t="str">
        <x:v>港口发展度达到D1（≥100点）；不要求武装度。</x:v>
      </x:c>
    </x:row>
    <x:row r="847" ht="42" customHeight="1">
      <x:c r="A847" s="15" t="str">
        <x:v>P094</x:v>
      </x:c>
      <x:c r="B847" s="15" t="str">
        <x:v>箱馆</x:v>
      </x:c>
      <x:c r="C847" s="15" t="str">
        <x:v>G080</x:v>
      </x:c>
      <x:c r="D847" s="15" t="str">
        <x:v>毛皮</x:v>
      </x:c>
      <x:c r="E847" s="30" t="n">
        <x:v>2</x:v>
      </x:c>
      <x:c r="F847" s="30" t="n">
        <x:v>240</x:v>
      </x:c>
      <x:c r="G847" s="30" t="n">
        <x:v>9</x:v>
      </x:c>
      <x:c r="H847" s="30" t="n">
        <x:v>27</x:v>
      </x:c>
      <x:c r="I847" s="54" t="n">
        <x:v>0.8</x:v>
      </x:c>
      <x:c r="J847" s="15" t="str">
        <x:v>本港生产/腹地集散/港内加工</x:v>
      </x:c>
      <x:c r="K847" s="15" t="str">
        <x:v>每7个游戏日补充9货载单位。本地、所属岛链或相连腹地供货；成品由港内工坊加工，贸易规模是本作设计。</x:v>
      </x:c>
      <x:c r="L847" s="15" t="str">
        <x:v>港口发展度达到D2（≥250点）；不要求武装度。</x:v>
      </x:c>
    </x:row>
    <x:row r="848" ht="42" customHeight="1">
      <x:c r="A848" s="13" t="str">
        <x:v>P094</x:v>
      </x:c>
      <x:c r="B848" s="13" t="str">
        <x:v>箱馆</x:v>
      </x:c>
      <x:c r="C848" s="13" t="str">
        <x:v>G090</x:v>
      </x:c>
      <x:c r="D848" s="13" t="str">
        <x:v>树脂</x:v>
      </x:c>
      <x:c r="E848" s="27" t="n">
        <x:v>3</x:v>
      </x:c>
      <x:c r="F848" s="27" t="n">
        <x:v>95</x:v>
      </x:c>
      <x:c r="G848" s="27" t="n">
        <x:v>45</x:v>
      </x:c>
      <x:c r="H848" s="27" t="n">
        <x:v>135</x:v>
      </x:c>
      <x:c r="I848" s="52" t="n">
        <x:v>0.8</x:v>
      </x:c>
      <x:c r="J848" s="13" t="str">
        <x:v>本港生产/腹地集散/港内加工</x:v>
      </x:c>
      <x:c r="K848" s="13" t="str">
        <x:v>每7个游戏日补充45货载单位。本地、所属岛链或相连腹地供货；成品由港内工坊加工，贸易规模是本作设计。</x:v>
      </x:c>
      <x:c r="L848" s="13" t="str">
        <x:v>港口发展度达到D3（≥450点）；不要求武装度。</x:v>
      </x:c>
    </x:row>
    <x:row r="849" ht="42" customHeight="1">
      <x:c r="A849" s="15" t="str">
        <x:v>P094</x:v>
      </x:c>
      <x:c r="B849" s="15" t="str">
        <x:v>箱馆</x:v>
      </x:c>
      <x:c r="C849" s="15" t="str">
        <x:v>G044</x:v>
      </x:c>
      <x:c r="D849" s="15" t="str">
        <x:v>麻布</x:v>
      </x:c>
      <x:c r="E849" s="30" t="n">
        <x:v>4</x:v>
      </x:c>
      <x:c r="F849" s="30" t="n">
        <x:v>145</x:v>
      </x:c>
      <x:c r="G849" s="30" t="n">
        <x:v>20</x:v>
      </x:c>
      <x:c r="H849" s="30" t="n">
        <x:v>60</x:v>
      </x:c>
      <x:c r="I849" s="54" t="n">
        <x:v>1.14</x:v>
      </x:c>
      <x:c r="J849" s="15" t="str">
        <x:v>进口/区域转口</x:v>
      </x:c>
      <x:c r="K849" s="15" t="str">
        <x:v>每7个游戏日补充20货载单位。由区域商队或NPC货船带入；为港口转售供货，不改变商品的原产地区。</x:v>
      </x:c>
      <x:c r="L849" s="15" t="str">
        <x:v>港口发展度达到D4（≥700点）；不要求武装度。</x:v>
      </x:c>
    </x:row>
    <x:row r="850" ht="42" customHeight="1">
      <x:c r="A850" s="13" t="str">
        <x:v>P094</x:v>
      </x:c>
      <x:c r="B850" s="13" t="str">
        <x:v>箱馆</x:v>
      </x:c>
      <x:c r="C850" s="13" t="str">
        <x:v>G096</x:v>
      </x:c>
      <x:c r="D850" s="13" t="str">
        <x:v>贝壳工艺品</x:v>
      </x:c>
      <x:c r="E850" s="27" t="n">
        <x:v>5</x:v>
      </x:c>
      <x:c r="F850" s="27" t="n">
        <x:v>210</x:v>
      </x:c>
      <x:c r="G850" s="27" t="n">
        <x:v>14</x:v>
      </x:c>
      <x:c r="H850" s="27" t="n">
        <x:v>42</x:v>
      </x:c>
      <x:c r="I850" s="52" t="n">
        <x:v>0.87</x:v>
      </x:c>
      <x:c r="J850" s="13" t="str">
        <x:v>本港生产/腹地集散/港内加工</x:v>
      </x:c>
      <x:c r="K850" s="13" t="str">
        <x:v>每7个游戏日补充14货载单位。本地、所属岛链或相连腹地供货；成品由港内工坊加工，贸易规模是本作设计。</x:v>
      </x:c>
      <x:c r="L850" s="13" t="str">
        <x:v>港口发展度达到D5（≥1000点）；不要求武装度。</x:v>
      </x:c>
    </x:row>
    <x:row r="851" ht="42" customHeight="1">
      <x:c r="A851" s="15" t="str">
        <x:v>P094</x:v>
      </x:c>
      <x:c r="B851" s="15" t="str">
        <x:v>箱馆</x:v>
      </x:c>
      <x:c r="C851" s="15" t="str">
        <x:v>SP094</x:v>
      </x:c>
      <x:c r="D851" s="15" t="str">
        <x:v>北灯昆布结礼带</x:v>
      </x:c>
      <x:c r="E851" s="30" t="n">
        <x:v>3</x:v>
      </x:c>
      <x:c r="F851" s="30" t="n">
        <x:v>320</x:v>
      </x:c>
      <x:c r="G851" s="30" t="n">
        <x:v>7</x:v>
      </x:c>
      <x:c r="H851" s="30" t="n">
        <x:v>14</x:v>
      </x:c>
      <x:c r="I851" s="54" t="n">
        <x:v>0.78</x:v>
      </x:c>
      <x:c r="J851" s="15" t="str">
        <x:v>港口独占原创工坊特产</x:v>
      </x:c>
      <x:c r="K851" s="15" t="str">
        <x:v>每7个游戏日由「北灯昆布风干仓」交货7货载；只在本港形成稳定产源。</x:v>
      </x:c>
      <x:c r="L851" s="15" t="str">
        <x:v>港口发展度达到D3（≥450点）时，投资项目「北灯昆布风干仓」自动完工；不要求武装度。</x:v>
      </x:c>
    </x:row>
    <x:row r="852" ht="42" customHeight="1">
      <x:c r="A852" s="13" t="str">
        <x:v>P095</x:v>
      </x:c>
      <x:c r="B852" s="13" t="str">
        <x:v>哈瓦那</x:v>
      </x:c>
      <x:c r="C852" s="13" t="str">
        <x:v>G011</x:v>
      </x:c>
      <x:c r="D852" s="13" t="str">
        <x:v>砂糖</x:v>
      </x:c>
      <x:c r="E852" s="27" t="n">
        <x:v>0</x:v>
      </x:c>
      <x:c r="F852" s="27" t="n">
        <x:v>140</x:v>
      </x:c>
      <x:c r="G852" s="27" t="n">
        <x:v>195</x:v>
      </x:c>
      <x:c r="H852" s="27" t="n">
        <x:v>585</x:v>
      </x:c>
      <x:c r="I852" s="52" t="n">
        <x:v>0.74</x:v>
      </x:c>
      <x:c r="J852" s="13" t="str">
        <x:v>本港生产/腹地集散/港内加工</x:v>
      </x:c>
      <x:c r="K852" s="13" t="str">
        <x:v>每7个游戏日补充195货载单位。本地、所属岛链或相连腹地供货；成品由港内工坊加工，贸易规模是本作设计。</x:v>
      </x:c>
      <x:c r="L852" s="13" t="str">
        <x:v>港口发展度达到D0（≥0点）；不要求武装度。</x:v>
      </x:c>
    </x:row>
    <x:row r="853" ht="42" customHeight="1">
      <x:c r="A853" s="15" t="str">
        <x:v>P095</x:v>
      </x:c>
      <x:c r="B853" s="15" t="str">
        <x:v>哈瓦那</x:v>
      </x:c>
      <x:c r="C853" s="15" t="str">
        <x:v>G012</x:v>
      </x:c>
      <x:c r="D853" s="15" t="str">
        <x:v>糖蜜</x:v>
      </x:c>
      <x:c r="E853" s="30" t="n">
        <x:v>0</x:v>
      </x:c>
      <x:c r="F853" s="30" t="n">
        <x:v>70</x:v>
      </x:c>
      <x:c r="G853" s="30" t="n">
        <x:v>195</x:v>
      </x:c>
      <x:c r="H853" s="30" t="n">
        <x:v>585</x:v>
      </x:c>
      <x:c r="I853" s="54" t="n">
        <x:v>0.74</x:v>
      </x:c>
      <x:c r="J853" s="15" t="str">
        <x:v>本港生产/腹地集散/港内加工</x:v>
      </x:c>
      <x:c r="K853" s="15" t="str">
        <x:v>每7个游戏日补充195货载单位。本地、所属岛链或相连腹地供货；成品由港内工坊加工，贸易规模是本作设计。</x:v>
      </x:c>
      <x:c r="L853" s="15" t="str">
        <x:v>港口发展度达到D0（≥0点）；不要求武装度。</x:v>
      </x:c>
    </x:row>
    <x:row r="854" ht="42" customHeight="1">
      <x:c r="A854" s="13" t="str">
        <x:v>P095</x:v>
      </x:c>
      <x:c r="B854" s="13" t="str">
        <x:v>哈瓦那</x:v>
      </x:c>
      <x:c r="C854" s="13" t="str">
        <x:v>G097</x:v>
      </x:c>
      <x:c r="D854" s="13" t="str">
        <x:v>烟草</x:v>
      </x:c>
      <x:c r="E854" s="27" t="n">
        <x:v>1</x:v>
      </x:c>
      <x:c r="F854" s="27" t="n">
        <x:v>180</x:v>
      </x:c>
      <x:c r="G854" s="27" t="n">
        <x:v>63</x:v>
      </x:c>
      <x:c r="H854" s="27" t="n">
        <x:v>189</x:v>
      </x:c>
      <x:c r="I854" s="52" t="n">
        <x:v>0.74</x:v>
      </x:c>
      <x:c r="J854" s="13" t="str">
        <x:v>本港生产/腹地集散/港内加工</x:v>
      </x:c>
      <x:c r="K854" s="13" t="str">
        <x:v>每7个游戏日补充63货载单位。本地、所属岛链或相连腹地供货；成品由港内工坊加工，贸易规模是本作设计。</x:v>
      </x:c>
      <x:c r="L854" s="13" t="str">
        <x:v>港口发展度达到D1（≥100点）；不要求武装度。</x:v>
      </x:c>
    </x:row>
    <x:row r="855" ht="42" customHeight="1">
      <x:c r="A855" s="15" t="str">
        <x:v>P095</x:v>
      </x:c>
      <x:c r="B855" s="15" t="str">
        <x:v>哈瓦那</x:v>
      </x:c>
      <x:c r="C855" s="15" t="str">
        <x:v>G110</x:v>
      </x:c>
      <x:c r="D855" s="15" t="str">
        <x:v>硬木</x:v>
      </x:c>
      <x:c r="E855" s="30" t="n">
        <x:v>1</x:v>
      </x:c>
      <x:c r="F855" s="30" t="n">
        <x:v>135</x:v>
      </x:c>
      <x:c r="G855" s="30" t="n">
        <x:v>145</x:v>
      </x:c>
      <x:c r="H855" s="30" t="n">
        <x:v>435</x:v>
      </x:c>
      <x:c r="I855" s="54" t="n">
        <x:v>0.74</x:v>
      </x:c>
      <x:c r="J855" s="15" t="str">
        <x:v>本港生产/腹地集散/港内加工</x:v>
      </x:c>
      <x:c r="K855" s="15" t="str">
        <x:v>每7个游戏日补充145货载单位。本地、所属岛链或相连腹地供货；成品由港内工坊加工，贸易规模是本作设计。</x:v>
      </x:c>
      <x:c r="L855" s="15" t="str">
        <x:v>港口发展度达到D1（≥100点）；不要求武装度。</x:v>
      </x:c>
    </x:row>
    <x:row r="856" ht="42" customHeight="1">
      <x:c r="A856" s="13" t="str">
        <x:v>P095</x:v>
      </x:c>
      <x:c r="B856" s="13" t="str">
        <x:v>哈瓦那</x:v>
      </x:c>
      <x:c r="C856" s="13" t="str">
        <x:v>G025</x:v>
      </x:c>
      <x:c r="D856" s="13" t="str">
        <x:v>朗姆酒</x:v>
      </x:c>
      <x:c r="E856" s="27" t="n">
        <x:v>2</x:v>
      </x:c>
      <x:c r="F856" s="27" t="n">
        <x:v>155</x:v>
      </x:c>
      <x:c r="G856" s="27" t="n">
        <x:v>85</x:v>
      </x:c>
      <x:c r="H856" s="27" t="n">
        <x:v>255</x:v>
      </x:c>
      <x:c r="I856" s="52" t="n">
        <x:v>0.8</x:v>
      </x:c>
      <x:c r="J856" s="13" t="str">
        <x:v>本港生产/腹地集散/港内加工</x:v>
      </x:c>
      <x:c r="K856" s="13" t="str">
        <x:v>每7个游戏日补充85货载单位。本地、所属岛链或相连腹地供货；成品由港内工坊加工，贸易规模是本作设计。</x:v>
      </x:c>
      <x:c r="L856" s="13" t="str">
        <x:v>港口发展度达到D2（≥250点）；不要求武装度。</x:v>
      </x:c>
    </x:row>
    <x:row r="857" ht="42" customHeight="1">
      <x:c r="A857" s="15" t="str">
        <x:v>P095</x:v>
      </x:c>
      <x:c r="B857" s="15" t="str">
        <x:v>哈瓦那</x:v>
      </x:c>
      <x:c r="C857" s="15" t="str">
        <x:v>G022</x:v>
      </x:c>
      <x:c r="D857" s="15" t="str">
        <x:v>可可</x:v>
      </x:c>
      <x:c r="E857" s="30" t="n">
        <x:v>3</x:v>
      </x:c>
      <x:c r="F857" s="30" t="n">
        <x:v>225</x:v>
      </x:c>
      <x:c r="G857" s="30" t="n">
        <x:v>25</x:v>
      </x:c>
      <x:c r="H857" s="30" t="n">
        <x:v>75</x:v>
      </x:c>
      <x:c r="I857" s="54" t="n">
        <x:v>1.14</x:v>
      </x:c>
      <x:c r="J857" s="15" t="str">
        <x:v>进口/区域转口</x:v>
      </x:c>
      <x:c r="K857" s="15" t="str">
        <x:v>每7个游戏日补充25货载单位。由区域商队或NPC货船带入；为港口转售供货，不改变商品的原产地区。</x:v>
      </x:c>
      <x:c r="L857" s="15" t="str">
        <x:v>港口发展度达到D3（≥450点）；不要求武装度。</x:v>
      </x:c>
    </x:row>
    <x:row r="858" ht="42" customHeight="1">
      <x:c r="A858" s="13" t="str">
        <x:v>P095</x:v>
      </x:c>
      <x:c r="B858" s="13" t="str">
        <x:v>哈瓦那</x:v>
      </x:c>
      <x:c r="C858" s="13" t="str">
        <x:v>G067</x:v>
      </x:c>
      <x:c r="D858" s="13" t="str">
        <x:v>火药</x:v>
      </x:c>
      <x:c r="E858" s="27" t="n">
        <x:v>4</x:v>
      </x:c>
      <x:c r="F858" s="27" t="n">
        <x:v>265</x:v>
      </x:c>
      <x:c r="G858" s="27" t="n">
        <x:v>60</x:v>
      </x:c>
      <x:c r="H858" s="27" t="n">
        <x:v>180</x:v>
      </x:c>
      <x:c r="I858" s="52" t="n">
        <x:v>0.87</x:v>
      </x:c>
      <x:c r="J858" s="13" t="str">
        <x:v>本港生产/腹地集散/港内加工</x:v>
      </x:c>
      <x:c r="K858" s="13" t="str">
        <x:v>每7个游戏日补充60货载单位。本地、所属岛链或相连腹地供货；成品由港内工坊加工，贸易规模是本作设计。</x:v>
      </x:c>
      <x:c r="L858" s="13" t="str">
        <x:v>港口发展度达到D4（≥700点）；不要求武装度。</x:v>
      </x:c>
    </x:row>
    <x:row r="859" ht="42" customHeight="1">
      <x:c r="A859" s="15" t="str">
        <x:v>P095</x:v>
      </x:c>
      <x:c r="B859" s="15" t="str">
        <x:v>哈瓦那</x:v>
      </x:c>
      <x:c r="C859" s="15" t="str">
        <x:v>G073</x:v>
      </x:c>
      <x:c r="D859" s="15" t="str">
        <x:v>珠宝</x:v>
      </x:c>
      <x:c r="E859" s="30" t="n">
        <x:v>5</x:v>
      </x:c>
      <x:c r="F859" s="30" t="n">
        <x:v>760</x:v>
      </x:c>
      <x:c r="G859" s="30" t="n">
        <x:v>9</x:v>
      </x:c>
      <x:c r="H859" s="30" t="n">
        <x:v>27</x:v>
      </x:c>
      <x:c r="I859" s="54" t="n">
        <x:v>0.87</x:v>
      </x:c>
      <x:c r="J859" s="15" t="str">
        <x:v>本港生产/腹地集散/港内加工</x:v>
      </x:c>
      <x:c r="K859" s="15" t="str">
        <x:v>每7个游戏日补充9货载单位。本地、所属岛链或相连腹地供货；成品由港内工坊加工，贸易规模是本作设计。</x:v>
      </x:c>
      <x:c r="L859" s="15" t="str">
        <x:v>港口发展度达到D5（≥1000点）；不要求武装度。</x:v>
      </x:c>
    </x:row>
    <x:row r="860" ht="42" customHeight="1">
      <x:c r="A860" s="13" t="str">
        <x:v>P095</x:v>
      </x:c>
      <x:c r="B860" s="13" t="str">
        <x:v>哈瓦那</x:v>
      </x:c>
      <x:c r="C860" s="13" t="str">
        <x:v>SP095</x:v>
      </x:c>
      <x:c r="D860" s="13" t="str">
        <x:v>哈瓦那绛叶雪茄匣</x:v>
      </x:c>
      <x:c r="E860" s="27" t="n">
        <x:v>3</x:v>
      </x:c>
      <x:c r="F860" s="27" t="n">
        <x:v>980</x:v>
      </x:c>
      <x:c r="G860" s="27" t="n">
        <x:v>11</x:v>
      </x:c>
      <x:c r="H860" s="27" t="n">
        <x:v>22</x:v>
      </x:c>
      <x:c r="I860" s="52" t="n">
        <x:v>0.78</x:v>
      </x:c>
      <x:c r="J860" s="13" t="str">
        <x:v>港口独占原创工坊特产</x:v>
      </x:c>
      <x:c r="K860" s="13" t="str">
        <x:v>每7个游戏日由「绛叶熟成烟坊」交货11货载；只在本港形成稳定产源。</x:v>
      </x:c>
      <x:c r="L860" s="13" t="str">
        <x:v>港口发展度达到D3（≥450点）时，投资项目「绛叶熟成烟坊」自动完工；不要求武装度。</x:v>
      </x:c>
    </x:row>
    <x:row r="861" ht="42" customHeight="1">
      <x:c r="A861" s="15" t="str">
        <x:v>P096</x:v>
      </x:c>
      <x:c r="B861" s="15" t="str">
        <x:v>圣地亚哥德古巴</x:v>
      </x:c>
      <x:c r="C861" s="15" t="str">
        <x:v>G011</x:v>
      </x:c>
      <x:c r="D861" s="15" t="str">
        <x:v>砂糖</x:v>
      </x:c>
      <x:c r="E861" s="30" t="n">
        <x:v>0</x:v>
      </x:c>
      <x:c r="F861" s="30" t="n">
        <x:v>140</x:v>
      </x:c>
      <x:c r="G861" s="30" t="n">
        <x:v>150</x:v>
      </x:c>
      <x:c r="H861" s="30" t="n">
        <x:v>450</x:v>
      </x:c>
      <x:c r="I861" s="54" t="n">
        <x:v>0.74</x:v>
      </x:c>
      <x:c r="J861" s="15" t="str">
        <x:v>本港生产/腹地集散/港内加工</x:v>
      </x:c>
      <x:c r="K861" s="15" t="str">
        <x:v>每7个游戏日补充150货载单位。本地、所属岛链或相连腹地供货；成品由港内工坊加工，贸易规模是本作设计。</x:v>
      </x:c>
      <x:c r="L861" s="15" t="str">
        <x:v>港口发展度达到D0（≥0点）；不要求武装度。</x:v>
      </x:c>
    </x:row>
    <x:row r="862" ht="42" customHeight="1">
      <x:c r="A862" s="13" t="str">
        <x:v>P096</x:v>
      </x:c>
      <x:c r="B862" s="13" t="str">
        <x:v>圣地亚哥德古巴</x:v>
      </x:c>
      <x:c r="C862" s="13" t="str">
        <x:v>G012</x:v>
      </x:c>
      <x:c r="D862" s="13" t="str">
        <x:v>糖蜜</x:v>
      </x:c>
      <x:c r="E862" s="27" t="n">
        <x:v>0</x:v>
      </x:c>
      <x:c r="F862" s="27" t="n">
        <x:v>70</x:v>
      </x:c>
      <x:c r="G862" s="27" t="n">
        <x:v>150</x:v>
      </x:c>
      <x:c r="H862" s="27" t="n">
        <x:v>450</x:v>
      </x:c>
      <x:c r="I862" s="52" t="n">
        <x:v>0.74</x:v>
      </x:c>
      <x:c r="J862" s="13" t="str">
        <x:v>本港生产/腹地集散/港内加工</x:v>
      </x:c>
      <x:c r="K862" s="13" t="str">
        <x:v>每7个游戏日补充150货载单位。本地、所属岛链或相连腹地供货；成品由港内工坊加工，贸易规模是本作设计。</x:v>
      </x:c>
      <x:c r="L862" s="13" t="str">
        <x:v>港口发展度达到D0（≥0点）；不要求武装度。</x:v>
      </x:c>
    </x:row>
    <x:row r="863" ht="42" customHeight="1">
      <x:c r="A863" s="15" t="str">
        <x:v>P096</x:v>
      </x:c>
      <x:c r="B863" s="15" t="str">
        <x:v>圣地亚哥德古巴</x:v>
      </x:c>
      <x:c r="C863" s="15" t="str">
        <x:v>G079</x:v>
      </x:c>
      <x:c r="D863" s="15" t="str">
        <x:v>皮革</x:v>
      </x:c>
      <x:c r="E863" s="30" t="n">
        <x:v>1</x:v>
      </x:c>
      <x:c r="F863" s="30" t="n">
        <x:v>110</x:v>
      </x:c>
      <x:c r="G863" s="30" t="n">
        <x:v>71</x:v>
      </x:c>
      <x:c r="H863" s="30" t="n">
        <x:v>213</x:v>
      </x:c>
      <x:c r="I863" s="54" t="n">
        <x:v>0.74</x:v>
      </x:c>
      <x:c r="J863" s="15" t="str">
        <x:v>本港生产/腹地集散/港内加工</x:v>
      </x:c>
      <x:c r="K863" s="15" t="str">
        <x:v>每7个游戏日补充71货载单位。本地、所属岛链或相连腹地供货；成品由港内工坊加工，贸易规模是本作设计。</x:v>
      </x:c>
      <x:c r="L863" s="15" t="str">
        <x:v>港口发展度达到D1（≥100点）；不要求武装度。</x:v>
      </x:c>
    </x:row>
    <x:row r="864" ht="42" customHeight="1">
      <x:c r="A864" s="13" t="str">
        <x:v>P096</x:v>
      </x:c>
      <x:c r="B864" s="13" t="str">
        <x:v>圣地亚哥德古巴</x:v>
      </x:c>
      <x:c r="C864" s="13" t="str">
        <x:v>G059</x:v>
      </x:c>
      <x:c r="D864" s="13" t="str">
        <x:v>铜锭</x:v>
      </x:c>
      <x:c r="E864" s="27" t="n">
        <x:v>1</x:v>
      </x:c>
      <x:c r="F864" s="27" t="n">
        <x:v>185</x:v>
      </x:c>
      <x:c r="G864" s="27" t="n">
        <x:v>21</x:v>
      </x:c>
      <x:c r="H864" s="27" t="n">
        <x:v>63</x:v>
      </x:c>
      <x:c r="I864" s="52" t="n">
        <x:v>1.08</x:v>
      </x:c>
      <x:c r="J864" s="13" t="str">
        <x:v>进口/区域转口</x:v>
      </x:c>
      <x:c r="K864" s="13" t="str">
        <x:v>每7个游戏日补充21货载单位。由区域商队或NPC货船带入；为港口转售供货，不改变商品的原产地区。</x:v>
      </x:c>
      <x:c r="L864" s="13" t="str">
        <x:v>港口发展度达到D1（≥100点）；不要求武装度。</x:v>
      </x:c>
    </x:row>
    <x:row r="865" ht="42" customHeight="1">
      <x:c r="A865" s="15" t="str">
        <x:v>P096</x:v>
      </x:c>
      <x:c r="B865" s="15" t="str">
        <x:v>圣地亚哥德古巴</x:v>
      </x:c>
      <x:c r="C865" s="15" t="str">
        <x:v>G097</x:v>
      </x:c>
      <x:c r="D865" s="15" t="str">
        <x:v>烟草</x:v>
      </x:c>
      <x:c r="E865" s="30" t="n">
        <x:v>2</x:v>
      </x:c>
      <x:c r="F865" s="30" t="n">
        <x:v>180</x:v>
      </x:c>
      <x:c r="G865" s="30" t="n">
        <x:v>44</x:v>
      </x:c>
      <x:c r="H865" s="30" t="n">
        <x:v>132</x:v>
      </x:c>
      <x:c r="I865" s="54" t="n">
        <x:v>0.8</x:v>
      </x:c>
      <x:c r="J865" s="15" t="str">
        <x:v>本港生产/腹地集散/港内加工</x:v>
      </x:c>
      <x:c r="K865" s="15" t="str">
        <x:v>每7个游戏日补充44货载单位。本地、所属岛链或相连腹地供货；成品由港内工坊加工，贸易规模是本作设计。</x:v>
      </x:c>
      <x:c r="L865" s="15" t="str">
        <x:v>港口发展度达到D2（≥250点）；不要求武装度。</x:v>
      </x:c>
    </x:row>
    <x:row r="866" ht="42" customHeight="1">
      <x:c r="A866" s="13" t="str">
        <x:v>P096</x:v>
      </x:c>
      <x:c r="B866" s="13" t="str">
        <x:v>圣地亚哥德古巴</x:v>
      </x:c>
      <x:c r="C866" s="13" t="str">
        <x:v>G022</x:v>
      </x:c>
      <x:c r="D866" s="13" t="str">
        <x:v>可可</x:v>
      </x:c>
      <x:c r="E866" s="27" t="n">
        <x:v>3</x:v>
      </x:c>
      <x:c r="F866" s="27" t="n">
        <x:v>225</x:v>
      </x:c>
      <x:c r="G866" s="27" t="n">
        <x:v>37</x:v>
      </x:c>
      <x:c r="H866" s="27" t="n">
        <x:v>111</x:v>
      </x:c>
      <x:c r="I866" s="52" t="n">
        <x:v>0.8</x:v>
      </x:c>
      <x:c r="J866" s="13" t="str">
        <x:v>本港生产/腹地集散/港内加工</x:v>
      </x:c>
      <x:c r="K866" s="13" t="str">
        <x:v>每7个游戏日补充37货载单位。本地、所属岛链或相连腹地供货；成品由港内工坊加工，贸易规模是本作设计。</x:v>
      </x:c>
      <x:c r="L866" s="13" t="str">
        <x:v>港口发展度达到D3（≥450点）；不要求武装度。</x:v>
      </x:c>
    </x:row>
    <x:row r="867" ht="42" customHeight="1">
      <x:c r="A867" s="15" t="str">
        <x:v>P096</x:v>
      </x:c>
      <x:c r="B867" s="15" t="str">
        <x:v>圣地亚哥德古巴</x:v>
      </x:c>
      <x:c r="C867" s="15" t="str">
        <x:v>G025</x:v>
      </x:c>
      <x:c r="D867" s="15" t="str">
        <x:v>朗姆酒</x:v>
      </x:c>
      <x:c r="E867" s="30" t="n">
        <x:v>4</x:v>
      </x:c>
      <x:c r="F867" s="30" t="n">
        <x:v>155</x:v>
      </x:c>
      <x:c r="G867" s="30" t="n">
        <x:v>48</x:v>
      </x:c>
      <x:c r="H867" s="30" t="n">
        <x:v>144</x:v>
      </x:c>
      <x:c r="I867" s="54" t="n">
        <x:v>0.87</x:v>
      </x:c>
      <x:c r="J867" s="15" t="str">
        <x:v>本港生产/腹地集散/港内加工</x:v>
      </x:c>
      <x:c r="K867" s="15" t="str">
        <x:v>每7个游戏日补充48货载单位。本地、所属岛链或相连腹地供货；成品由港内工坊加工，贸易规模是本作设计。</x:v>
      </x:c>
      <x:c r="L867" s="15" t="str">
        <x:v>港口发展度达到D4（≥700点）；不要求武装度。</x:v>
      </x:c>
    </x:row>
    <x:row r="868" ht="42" customHeight="1">
      <x:c r="A868" s="13" t="str">
        <x:v>P096</x:v>
      </x:c>
      <x:c r="B868" s="13" t="str">
        <x:v>圣地亚哥德古巴</x:v>
      </x:c>
      <x:c r="C868" s="13" t="str">
        <x:v>G096</x:v>
      </x:c>
      <x:c r="D868" s="13" t="str">
        <x:v>贝壳工艺品</x:v>
      </x:c>
      <x:c r="E868" s="27" t="n">
        <x:v>5</x:v>
      </x:c>
      <x:c r="F868" s="27" t="n">
        <x:v>210</x:v>
      </x:c>
      <x:c r="G868" s="27" t="n">
        <x:v>17</x:v>
      </x:c>
      <x:c r="H868" s="27" t="n">
        <x:v>51</x:v>
      </x:c>
      <x:c r="I868" s="52" t="n">
        <x:v>0.87</x:v>
      </x:c>
      <x:c r="J868" s="13" t="str">
        <x:v>本港生产/腹地集散/港内加工</x:v>
      </x:c>
      <x:c r="K868" s="13" t="str">
        <x:v>每7个游戏日补充17货载单位。本地、所属岛链或相连腹地供货；成品由港内工坊加工，贸易规模是本作设计。</x:v>
      </x:c>
      <x:c r="L868" s="13" t="str">
        <x:v>港口发展度达到D5（≥1000点）；不要求武装度。</x:v>
      </x:c>
    </x:row>
    <x:row r="869" ht="42" customHeight="1">
      <x:c r="A869" s="15" t="str">
        <x:v>P096</x:v>
      </x:c>
      <x:c r="B869" s="15" t="str">
        <x:v>圣地亚哥德古巴</x:v>
      </x:c>
      <x:c r="C869" s="15" t="str">
        <x:v>SP096</x:v>
      </x:c>
      <x:c r="D869" s="15" t="str">
        <x:v>铜湾蜜桶朗姆</x:v>
      </x:c>
      <x:c r="E869" s="30" t="n">
        <x:v>3</x:v>
      </x:c>
      <x:c r="F869" s="30" t="n">
        <x:v>620</x:v>
      </x:c>
      <x:c r="G869" s="30" t="n">
        <x:v>9</x:v>
      </x:c>
      <x:c r="H869" s="30" t="n">
        <x:v>18</x:v>
      </x:c>
      <x:c r="I869" s="54" t="n">
        <x:v>0.78</x:v>
      </x:c>
      <x:c r="J869" s="15" t="str">
        <x:v>港口独占原创工坊特产</x:v>
      </x:c>
      <x:c r="K869" s="15" t="str">
        <x:v>每7个游戏日由「铜湾蜜桶蒸馏坊」交货9货载；只在本港形成稳定产源。</x:v>
      </x:c>
      <x:c r="L869" s="15" t="str">
        <x:v>港口发展度达到D3（≥450点）时，投资项目「铜湾蜜桶蒸馏坊」自动完工；不要求武装度。</x:v>
      </x:c>
    </x:row>
    <x:row r="870" ht="42" customHeight="1">
      <x:c r="A870" s="13" t="str">
        <x:v>P097</x:v>
      </x:c>
      <x:c r="B870" s="13" t="str">
        <x:v>圣多明各</x:v>
      </x:c>
      <x:c r="C870" s="13" t="str">
        <x:v>G011</x:v>
      </x:c>
      <x:c r="D870" s="13" t="str">
        <x:v>砂糖</x:v>
      </x:c>
      <x:c r="E870" s="27" t="n">
        <x:v>0</x:v>
      </x:c>
      <x:c r="F870" s="27" t="n">
        <x:v>140</x:v>
      </x:c>
      <x:c r="G870" s="27" t="n">
        <x:v>158</x:v>
      </x:c>
      <x:c r="H870" s="27" t="n">
        <x:v>474</x:v>
      </x:c>
      <x:c r="I870" s="52" t="n">
        <x:v>0.74</x:v>
      </x:c>
      <x:c r="J870" s="13" t="str">
        <x:v>本港生产/腹地集散/港内加工</x:v>
      </x:c>
      <x:c r="K870" s="13" t="str">
        <x:v>每7个游戏日补充158货载单位。本地、所属岛链或相连腹地供货；成品由港内工坊加工，贸易规模是本作设计。</x:v>
      </x:c>
      <x:c r="L870" s="13" t="str">
        <x:v>港口发展度达到D0（≥0点）；不要求武装度。</x:v>
      </x:c>
    </x:row>
    <x:row r="871" ht="42" customHeight="1">
      <x:c r="A871" s="15" t="str">
        <x:v>P097</x:v>
      </x:c>
      <x:c r="B871" s="15" t="str">
        <x:v>圣多明各</x:v>
      </x:c>
      <x:c r="C871" s="15" t="str">
        <x:v>G012</x:v>
      </x:c>
      <x:c r="D871" s="15" t="str">
        <x:v>糖蜜</x:v>
      </x:c>
      <x:c r="E871" s="30" t="n">
        <x:v>0</x:v>
      </x:c>
      <x:c r="F871" s="30" t="n">
        <x:v>70</x:v>
      </x:c>
      <x:c r="G871" s="30" t="n">
        <x:v>158</x:v>
      </x:c>
      <x:c r="H871" s="30" t="n">
        <x:v>474</x:v>
      </x:c>
      <x:c r="I871" s="54" t="n">
        <x:v>0.74</x:v>
      </x:c>
      <x:c r="J871" s="15" t="str">
        <x:v>本港生产/腹地集散/港内加工</x:v>
      </x:c>
      <x:c r="K871" s="15" t="str">
        <x:v>每7个游戏日补充158货载单位。本地、所属岛链或相连腹地供货；成品由港内工坊加工，贸易规模是本作设计。</x:v>
      </x:c>
      <x:c r="L871" s="15" t="str">
        <x:v>港口发展度达到D0（≥0点）；不要求武装度。</x:v>
      </x:c>
    </x:row>
    <x:row r="872" ht="42" customHeight="1">
      <x:c r="A872" s="13" t="str">
        <x:v>P097</x:v>
      </x:c>
      <x:c r="B872" s="13" t="str">
        <x:v>圣多明各</x:v>
      </x:c>
      <x:c r="C872" s="13" t="str">
        <x:v>G022</x:v>
      </x:c>
      <x:c r="D872" s="13" t="str">
        <x:v>可可</x:v>
      </x:c>
      <x:c r="E872" s="27" t="n">
        <x:v>1</x:v>
      </x:c>
      <x:c r="F872" s="27" t="n">
        <x:v>225</x:v>
      </x:c>
      <x:c r="G872" s="27" t="n">
        <x:v>52</x:v>
      </x:c>
      <x:c r="H872" s="27" t="n">
        <x:v>156</x:v>
      </x:c>
      <x:c r="I872" s="52" t="n">
        <x:v>0.74</x:v>
      </x:c>
      <x:c r="J872" s="13" t="str">
        <x:v>本港生产/腹地集散/港内加工</x:v>
      </x:c>
      <x:c r="K872" s="13" t="str">
        <x:v>每7个游戏日补充52货载单位。本地、所属岛链或相连腹地供货；成品由港内工坊加工，贸易规模是本作设计。</x:v>
      </x:c>
      <x:c r="L872" s="13" t="str">
        <x:v>港口发展度达到D1（≥100点）；不要求武装度。</x:v>
      </x:c>
    </x:row>
    <x:row r="873" ht="42" customHeight="1">
      <x:c r="A873" s="15" t="str">
        <x:v>P097</x:v>
      </x:c>
      <x:c r="B873" s="15" t="str">
        <x:v>圣多明各</x:v>
      </x:c>
      <x:c r="C873" s="15" t="str">
        <x:v>G079</x:v>
      </x:c>
      <x:c r="D873" s="15" t="str">
        <x:v>皮革</x:v>
      </x:c>
      <x:c r="E873" s="30" t="n">
        <x:v>1</x:v>
      </x:c>
      <x:c r="F873" s="30" t="n">
        <x:v>110</x:v>
      </x:c>
      <x:c r="G873" s="30" t="n">
        <x:v>75</x:v>
      </x:c>
      <x:c r="H873" s="30" t="n">
        <x:v>225</x:v>
      </x:c>
      <x:c r="I873" s="54" t="n">
        <x:v>0.74</x:v>
      </x:c>
      <x:c r="J873" s="15" t="str">
        <x:v>本港生产/腹地集散/港内加工</x:v>
      </x:c>
      <x:c r="K873" s="15" t="str">
        <x:v>每7个游戏日补充75货载单位。本地、所属岛链或相连腹地供货；成品由港内工坊加工，贸易规模是本作设计。</x:v>
      </x:c>
      <x:c r="L873" s="15" t="str">
        <x:v>港口发展度达到D1（≥100点）；不要求武装度。</x:v>
      </x:c>
    </x:row>
    <x:row r="874" ht="42" customHeight="1">
      <x:c r="A874" s="13" t="str">
        <x:v>P097</x:v>
      </x:c>
      <x:c r="B874" s="13" t="str">
        <x:v>圣多明各</x:v>
      </x:c>
      <x:c r="C874" s="13" t="str">
        <x:v>G097</x:v>
      </x:c>
      <x:c r="D874" s="13" t="str">
        <x:v>烟草</x:v>
      </x:c>
      <x:c r="E874" s="27" t="n">
        <x:v>2</x:v>
      </x:c>
      <x:c r="F874" s="27" t="n">
        <x:v>180</x:v>
      </x:c>
      <x:c r="G874" s="27" t="n">
        <x:v>46</x:v>
      </x:c>
      <x:c r="H874" s="27" t="n">
        <x:v>138</x:v>
      </x:c>
      <x:c r="I874" s="52" t="n">
        <x:v>0.8</x:v>
      </x:c>
      <x:c r="J874" s="13" t="str">
        <x:v>本港生产/腹地集散/港内加工</x:v>
      </x:c>
      <x:c r="K874" s="13" t="str">
        <x:v>每7个游戏日补充46货载单位。本地、所属岛链或相连腹地供货；成品由港内工坊加工，贸易规模是本作设计。</x:v>
      </x:c>
      <x:c r="L874" s="13" t="str">
        <x:v>港口发展度达到D2（≥250点）；不要求武装度。</x:v>
      </x:c>
    </x:row>
    <x:row r="875" ht="42" customHeight="1">
      <x:c r="A875" s="15" t="str">
        <x:v>P097</x:v>
      </x:c>
      <x:c r="B875" s="15" t="str">
        <x:v>圣多明各</x:v>
      </x:c>
      <x:c r="C875" s="15" t="str">
        <x:v>G025</x:v>
      </x:c>
      <x:c r="D875" s="15" t="str">
        <x:v>朗姆酒</x:v>
      </x:c>
      <x:c r="E875" s="30" t="n">
        <x:v>3</x:v>
      </x:c>
      <x:c r="F875" s="30" t="n">
        <x:v>155</x:v>
      </x:c>
      <x:c r="G875" s="30" t="n">
        <x:v>59</x:v>
      </x:c>
      <x:c r="H875" s="30" t="n">
        <x:v>177</x:v>
      </x:c>
      <x:c r="I875" s="54" t="n">
        <x:v>0.8</x:v>
      </x:c>
      <x:c r="J875" s="15" t="str">
        <x:v>本港生产/腹地集散/港内加工</x:v>
      </x:c>
      <x:c r="K875" s="15" t="str">
        <x:v>每7个游戏日补充59货载单位。本地、所属岛链或相连腹地供货；成品由港内工坊加工，贸易规模是本作设计。</x:v>
      </x:c>
      <x:c r="L875" s="15" t="str">
        <x:v>港口发展度达到D3（≥450点）；不要求武装度。</x:v>
      </x:c>
    </x:row>
    <x:row r="876" ht="42" customHeight="1">
      <x:c r="A876" s="13" t="str">
        <x:v>P097</x:v>
      </x:c>
      <x:c r="B876" s="13" t="str">
        <x:v>圣多明各</x:v>
      </x:c>
      <x:c r="C876" s="13" t="str">
        <x:v>G110</x:v>
      </x:c>
      <x:c r="D876" s="13" t="str">
        <x:v>硬木</x:v>
      </x:c>
      <x:c r="E876" s="27" t="n">
        <x:v>4</x:v>
      </x:c>
      <x:c r="F876" s="27" t="n">
        <x:v>135</x:v>
      </x:c>
      <x:c r="G876" s="27" t="n">
        <x:v>77</x:v>
      </x:c>
      <x:c r="H876" s="27" t="n">
        <x:v>231</x:v>
      </x:c>
      <x:c r="I876" s="52" t="n">
        <x:v>0.87</x:v>
      </x:c>
      <x:c r="J876" s="13" t="str">
        <x:v>本港生产/腹地集散/港内加工</x:v>
      </x:c>
      <x:c r="K876" s="13" t="str">
        <x:v>每7个游戏日补充77货载单位。本地、所属岛链或相连腹地供货；成品由港内工坊加工，贸易规模是本作设计。</x:v>
      </x:c>
      <x:c r="L876" s="13" t="str">
        <x:v>港口发展度达到D4（≥700点）；不要求武装度。</x:v>
      </x:c>
    </x:row>
    <x:row r="877" ht="42" customHeight="1">
      <x:c r="A877" s="15" t="str">
        <x:v>P097</x:v>
      </x:c>
      <x:c r="B877" s="15" t="str">
        <x:v>圣多明各</x:v>
      </x:c>
      <x:c r="C877" s="15" t="str">
        <x:v>G073</x:v>
      </x:c>
      <x:c r="D877" s="15" t="str">
        <x:v>珠宝</x:v>
      </x:c>
      <x:c r="E877" s="30" t="n">
        <x:v>5</x:v>
      </x:c>
      <x:c r="F877" s="30" t="n">
        <x:v>760</x:v>
      </x:c>
      <x:c r="G877" s="30" t="n">
        <x:v>7</x:v>
      </x:c>
      <x:c r="H877" s="30" t="n">
        <x:v>21</x:v>
      </x:c>
      <x:c r="I877" s="54" t="n">
        <x:v>0.87</x:v>
      </x:c>
      <x:c r="J877" s="15" t="str">
        <x:v>本港生产/腹地集散/港内加工</x:v>
      </x:c>
      <x:c r="K877" s="15" t="str">
        <x:v>每7个游戏日补充7货载单位。本地、所属岛链或相连腹地供货；成品由港内工坊加工，贸易规模是本作设计。</x:v>
      </x:c>
      <x:c r="L877" s="15" t="str">
        <x:v>港口发展度达到D5（≥1000点）；不要求武装度。</x:v>
      </x:c>
    </x:row>
    <x:row r="878" ht="42" customHeight="1">
      <x:c r="A878" s="13" t="str">
        <x:v>P097</x:v>
      </x:c>
      <x:c r="B878" s="13" t="str">
        <x:v>圣多明各</x:v>
      </x:c>
      <x:c r="C878" s="13" t="str">
        <x:v>SP097</x:v>
      </x:c>
      <x:c r="D878" s="13" t="str">
        <x:v>金河可可花砖</x:v>
      </x:c>
      <x:c r="E878" s="27" t="n">
        <x:v>3</x:v>
      </x:c>
      <x:c r="F878" s="27" t="n">
        <x:v>580</x:v>
      </x:c>
      <x:c r="G878" s="27" t="n">
        <x:v>9</x:v>
      </x:c>
      <x:c r="H878" s="27" t="n">
        <x:v>18</x:v>
      </x:c>
      <x:c r="I878" s="52" t="n">
        <x:v>0.78</x:v>
      </x:c>
      <x:c r="J878" s="13" t="str">
        <x:v>港口独占原创工坊特产</x:v>
      </x:c>
      <x:c r="K878" s="13" t="str">
        <x:v>每7个游戏日由「金河可可研磨坊」交货9货载；只在本港形成稳定产源。</x:v>
      </x:c>
      <x:c r="L878" s="13" t="str">
        <x:v>港口发展度达到D3（≥450点）时，投资项目「金河可可研磨坊」自动完工；不要求武装度。</x:v>
      </x:c>
    </x:row>
    <x:row r="879" ht="42" customHeight="1">
      <x:c r="A879" s="15" t="str">
        <x:v>P098</x:v>
      </x:c>
      <x:c r="B879" s="15" t="str">
        <x:v>圣胡安</x:v>
      </x:c>
      <x:c r="C879" s="15" t="str">
        <x:v>G011</x:v>
      </x:c>
      <x:c r="D879" s="15" t="str">
        <x:v>砂糖</x:v>
      </x:c>
      <x:c r="E879" s="30" t="n">
        <x:v>0</x:v>
      </x:c>
      <x:c r="F879" s="30" t="n">
        <x:v>140</x:v>
      </x:c>
      <x:c r="G879" s="30" t="n">
        <x:v>155</x:v>
      </x:c>
      <x:c r="H879" s="30" t="n">
        <x:v>465</x:v>
      </x:c>
      <x:c r="I879" s="54" t="n">
        <x:v>0.74</x:v>
      </x:c>
      <x:c r="J879" s="15" t="str">
        <x:v>本港生产/腹地集散/港内加工</x:v>
      </x:c>
      <x:c r="K879" s="15" t="str">
        <x:v>每7个游戏日补充155货载单位。本地、所属岛链或相连腹地供货；成品由港内工坊加工，贸易规模是本作设计。</x:v>
      </x:c>
      <x:c r="L879" s="15" t="str">
        <x:v>港口发展度达到D0（≥0点）；不要求武装度。</x:v>
      </x:c>
    </x:row>
    <x:row r="880" ht="42" customHeight="1">
      <x:c r="A880" s="13" t="str">
        <x:v>P098</x:v>
      </x:c>
      <x:c r="B880" s="13" t="str">
        <x:v>圣胡安</x:v>
      </x:c>
      <x:c r="C880" s="13" t="str">
        <x:v>G015</x:v>
      </x:c>
      <x:c r="D880" s="13" t="str">
        <x:v>咸鱼</x:v>
      </x:c>
      <x:c r="E880" s="27" t="n">
        <x:v>0</x:v>
      </x:c>
      <x:c r="F880" s="27" t="n">
        <x:v>65</x:v>
      </x:c>
      <x:c r="G880" s="27" t="n">
        <x:v>155</x:v>
      </x:c>
      <x:c r="H880" s="27" t="n">
        <x:v>465</x:v>
      </x:c>
      <x:c r="I880" s="52" t="n">
        <x:v>0.74</x:v>
      </x:c>
      <x:c r="J880" s="13" t="str">
        <x:v>本港生产/腹地集散/港内加工</x:v>
      </x:c>
      <x:c r="K880" s="13" t="str">
        <x:v>每7个游戏日补充155货载单位。本地、所属岛链或相连腹地供货；成品由港内工坊加工，贸易规模是本作设计。</x:v>
      </x:c>
      <x:c r="L880" s="13" t="str">
        <x:v>港口发展度达到D0（≥0点）；不要求武装度。</x:v>
      </x:c>
    </x:row>
    <x:row r="881" ht="42" customHeight="1">
      <x:c r="A881" s="15" t="str">
        <x:v>P098</x:v>
      </x:c>
      <x:c r="B881" s="15" t="str">
        <x:v>圣胡安</x:v>
      </x:c>
      <x:c r="C881" s="15" t="str">
        <x:v>G012</x:v>
      </x:c>
      <x:c r="D881" s="15" t="str">
        <x:v>糖蜜</x:v>
      </x:c>
      <x:c r="E881" s="30" t="n">
        <x:v>1</x:v>
      </x:c>
      <x:c r="F881" s="30" t="n">
        <x:v>70</x:v>
      </x:c>
      <x:c r="G881" s="30" t="n">
        <x:v>148</x:v>
      </x:c>
      <x:c r="H881" s="30" t="n">
        <x:v>444</x:v>
      </x:c>
      <x:c r="I881" s="54" t="n">
        <x:v>0.74</x:v>
      </x:c>
      <x:c r="J881" s="15" t="str">
        <x:v>本港生产/腹地集散/港内加工</x:v>
      </x:c>
      <x:c r="K881" s="15" t="str">
        <x:v>每7个游戏日补充148货载单位。本地、所属岛链或相连腹地供货；成品由港内工坊加工，贸易规模是本作设计。</x:v>
      </x:c>
      <x:c r="L881" s="15" t="str">
        <x:v>港口发展度达到D1（≥100点）；不要求武装度。</x:v>
      </x:c>
    </x:row>
    <x:row r="882" ht="42" customHeight="1">
      <x:c r="A882" s="13" t="str">
        <x:v>P098</x:v>
      </x:c>
      <x:c r="B882" s="13" t="str">
        <x:v>圣胡安</x:v>
      </x:c>
      <x:c r="C882" s="13" t="str">
        <x:v>G094</x:v>
      </x:c>
      <x:c r="D882" s="13" t="str">
        <x:v>柑橘</x:v>
      </x:c>
      <x:c r="E882" s="27" t="n">
        <x:v>1</x:v>
      </x:c>
      <x:c r="F882" s="27" t="n">
        <x:v>62</x:v>
      </x:c>
      <x:c r="G882" s="27" t="n">
        <x:v>148</x:v>
      </x:c>
      <x:c r="H882" s="27" t="n">
        <x:v>444</x:v>
      </x:c>
      <x:c r="I882" s="52" t="n">
        <x:v>0.74</x:v>
      </x:c>
      <x:c r="J882" s="13" t="str">
        <x:v>本港生产/腹地集散/港内加工</x:v>
      </x:c>
      <x:c r="K882" s="13" t="str">
        <x:v>每7个游戏日补充148货载单位。本地、所属岛链或相连腹地供货；成品由港内工坊加工，贸易规模是本作设计。</x:v>
      </x:c>
      <x:c r="L882" s="13" t="str">
        <x:v>港口发展度达到D1（≥100点）；不要求武装度。</x:v>
      </x:c>
    </x:row>
    <x:row r="883" ht="42" customHeight="1">
      <x:c r="A883" s="15" t="str">
        <x:v>P098</x:v>
      </x:c>
      <x:c r="B883" s="15" t="str">
        <x:v>圣胡安</x:v>
      </x:c>
      <x:c r="C883" s="15" t="str">
        <x:v>G079</x:v>
      </x:c>
      <x:c r="D883" s="15" t="str">
        <x:v>皮革</x:v>
      </x:c>
      <x:c r="E883" s="30" t="n">
        <x:v>2</x:v>
      </x:c>
      <x:c r="F883" s="30" t="n">
        <x:v>110</x:v>
      </x:c>
      <x:c r="G883" s="30" t="n">
        <x:v>66</x:v>
      </x:c>
      <x:c r="H883" s="30" t="n">
        <x:v>198</x:v>
      </x:c>
      <x:c r="I883" s="54" t="n">
        <x:v>0.8</x:v>
      </x:c>
      <x:c r="J883" s="15" t="str">
        <x:v>本港生产/腹地集散/港内加工</x:v>
      </x:c>
      <x:c r="K883" s="15" t="str">
        <x:v>每7个游戏日补充66货载单位。本地、所属岛链或相连腹地供货；成品由港内工坊加工，贸易规模是本作设计。</x:v>
      </x:c>
      <x:c r="L883" s="15" t="str">
        <x:v>港口发展度达到D2（≥250点）；不要求武装度。</x:v>
      </x:c>
    </x:row>
    <x:row r="884" ht="42" customHeight="1">
      <x:c r="A884" s="13" t="str">
        <x:v>P098</x:v>
      </x:c>
      <x:c r="B884" s="13" t="str">
        <x:v>圣胡安</x:v>
      </x:c>
      <x:c r="C884" s="13" t="str">
        <x:v>G097</x:v>
      </x:c>
      <x:c r="D884" s="13" t="str">
        <x:v>烟草</x:v>
      </x:c>
      <x:c r="E884" s="27" t="n">
        <x:v>3</x:v>
      </x:c>
      <x:c r="F884" s="27" t="n">
        <x:v>180</x:v>
      </x:c>
      <x:c r="G884" s="27" t="n">
        <x:v>38</x:v>
      </x:c>
      <x:c r="H884" s="27" t="n">
        <x:v>114</x:v>
      </x:c>
      <x:c r="I884" s="52" t="n">
        <x:v>0.8</x:v>
      </x:c>
      <x:c r="J884" s="13" t="str">
        <x:v>本港生产/腹地集散/港内加工</x:v>
      </x:c>
      <x:c r="K884" s="13" t="str">
        <x:v>每7个游戏日补充38货载单位。本地、所属岛链或相连腹地供货；成品由港内工坊加工，贸易规模是本作设计。</x:v>
      </x:c>
      <x:c r="L884" s="13" t="str">
        <x:v>港口发展度达到D3（≥450点）；不要求武装度。</x:v>
      </x:c>
    </x:row>
    <x:row r="885" ht="42" customHeight="1">
      <x:c r="A885" s="15" t="str">
        <x:v>P098</x:v>
      </x:c>
      <x:c r="B885" s="15" t="str">
        <x:v>圣胡安</x:v>
      </x:c>
      <x:c r="C885" s="15" t="str">
        <x:v>G025</x:v>
      </x:c>
      <x:c r="D885" s="15" t="str">
        <x:v>朗姆酒</x:v>
      </x:c>
      <x:c r="E885" s="30" t="n">
        <x:v>4</x:v>
      </x:c>
      <x:c r="F885" s="30" t="n">
        <x:v>155</x:v>
      </x:c>
      <x:c r="G885" s="30" t="n">
        <x:v>50</x:v>
      </x:c>
      <x:c r="H885" s="30" t="n">
        <x:v>150</x:v>
      </x:c>
      <x:c r="I885" s="54" t="n">
        <x:v>0.87</x:v>
      </x:c>
      <x:c r="J885" s="15" t="str">
        <x:v>本港生产/腹地集散/港内加工</x:v>
      </x:c>
      <x:c r="K885" s="15" t="str">
        <x:v>每7个游戏日补充50货载单位。本地、所属岛链或相连腹地供货；成品由港内工坊加工，贸易规模是本作设计。</x:v>
      </x:c>
      <x:c r="L885" s="15" t="str">
        <x:v>港口发展度达到D4（≥700点）；不要求武装度。</x:v>
      </x:c>
    </x:row>
    <x:row r="886" ht="42" customHeight="1">
      <x:c r="A886" s="13" t="str">
        <x:v>P098</x:v>
      </x:c>
      <x:c r="B886" s="13" t="str">
        <x:v>圣胡安</x:v>
      </x:c>
      <x:c r="C886" s="13" t="str">
        <x:v>G096</x:v>
      </x:c>
      <x:c r="D886" s="13" t="str">
        <x:v>贝壳工艺品</x:v>
      </x:c>
      <x:c r="E886" s="27" t="n">
        <x:v>5</x:v>
      </x:c>
      <x:c r="F886" s="27" t="n">
        <x:v>210</x:v>
      </x:c>
      <x:c r="G886" s="27" t="n">
        <x:v>17</x:v>
      </x:c>
      <x:c r="H886" s="27" t="n">
        <x:v>51</x:v>
      </x:c>
      <x:c r="I886" s="52" t="n">
        <x:v>0.87</x:v>
      </x:c>
      <x:c r="J886" s="13" t="str">
        <x:v>本港生产/腹地集散/港内加工</x:v>
      </x:c>
      <x:c r="K886" s="13" t="str">
        <x:v>每7个游戏日补充17货载单位。本地、所属岛链或相连腹地供货；成品由港内工坊加工，贸易规模是本作设计。</x:v>
      </x:c>
      <x:c r="L886" s="13" t="str">
        <x:v>港口发展度达到D5（≥1000点）；不要求武装度。</x:v>
      </x:c>
    </x:row>
    <x:row r="887" ht="42" customHeight="1">
      <x:c r="A887" s="15" t="str">
        <x:v>P098</x:v>
      </x:c>
      <x:c r="B887" s="15" t="str">
        <x:v>圣胡安</x:v>
      </x:c>
      <x:c r="C887" s="15" t="str">
        <x:v>SP098</x:v>
      </x:c>
      <x:c r="D887" s="15" t="str">
        <x:v>双堡青柑蜜饯</x:v>
      </x:c>
      <x:c r="E887" s="30" t="n">
        <x:v>3</x:v>
      </x:c>
      <x:c r="F887" s="30" t="n">
        <x:v>390</x:v>
      </x:c>
      <x:c r="G887" s="30" t="n">
        <x:v>9</x:v>
      </x:c>
      <x:c r="H887" s="30" t="n">
        <x:v>18</x:v>
      </x:c>
      <x:c r="I887" s="54" t="n">
        <x:v>0.78</x:v>
      </x:c>
      <x:c r="J887" s="15" t="str">
        <x:v>港口独占原创工坊特产</x:v>
      </x:c>
      <x:c r="K887" s="15" t="str">
        <x:v>每7个游戏日由「双堡蜜饯工坊」交货9货载；只在本港形成稳定产源。</x:v>
      </x:c>
      <x:c r="L887" s="15" t="str">
        <x:v>港口发展度达到D3（≥450点）时，投资项目「双堡蜜饯工坊」自动完工；不要求武装度。</x:v>
      </x:c>
    </x:row>
    <x:row r="888" ht="42" customHeight="1">
      <x:c r="A888" s="13" t="str">
        <x:v>P099</x:v>
      </x:c>
      <x:c r="B888" s="13" t="str">
        <x:v>罗亚尔港</x:v>
      </x:c>
      <x:c r="C888" s="13" t="str">
        <x:v>G015</x:v>
      </x:c>
      <x:c r="D888" s="13" t="str">
        <x:v>咸鱼</x:v>
      </x:c>
      <x:c r="E888" s="27" t="n">
        <x:v>0</x:v>
      </x:c>
      <x:c r="F888" s="27" t="n">
        <x:v>65</x:v>
      </x:c>
      <x:c r="G888" s="27" t="n">
        <x:v>150</x:v>
      </x:c>
      <x:c r="H888" s="27" t="n">
        <x:v>450</x:v>
      </x:c>
      <x:c r="I888" s="52" t="n">
        <x:v>0.74</x:v>
      </x:c>
      <x:c r="J888" s="13" t="str">
        <x:v>本港生产/腹地集散/港内加工</x:v>
      </x:c>
      <x:c r="K888" s="13" t="str">
        <x:v>每7个游戏日补充150货载单位。本地、所属岛链或相连腹地供货；成品由港内工坊加工，贸易规模是本作设计。</x:v>
      </x:c>
      <x:c r="L888" s="13" t="str">
        <x:v>港口发展度达到D0（≥0点）；不要求武装度。</x:v>
      </x:c>
    </x:row>
    <x:row r="889" ht="42" customHeight="1">
      <x:c r="A889" s="15" t="str">
        <x:v>P099</x:v>
      </x:c>
      <x:c r="B889" s="15" t="str">
        <x:v>罗亚尔港</x:v>
      </x:c>
      <x:c r="C889" s="15" t="str">
        <x:v>G011</x:v>
      </x:c>
      <x:c r="D889" s="15" t="str">
        <x:v>砂糖</x:v>
      </x:c>
      <x:c r="E889" s="30" t="n">
        <x:v>0</x:v>
      </x:c>
      <x:c r="F889" s="30" t="n">
        <x:v>140</x:v>
      </x:c>
      <x:c r="G889" s="30" t="n">
        <x:v>150</x:v>
      </x:c>
      <x:c r="H889" s="30" t="n">
        <x:v>450</x:v>
      </x:c>
      <x:c r="I889" s="54" t="n">
        <x:v>0.74</x:v>
      </x:c>
      <x:c r="J889" s="15" t="str">
        <x:v>本港生产/腹地集散/港内加工</x:v>
      </x:c>
      <x:c r="K889" s="15" t="str">
        <x:v>每7个游戏日补充150货载单位。本地、所属岛链或相连腹地供货；成品由港内工坊加工，贸易规模是本作设计。</x:v>
      </x:c>
      <x:c r="L889" s="15" t="str">
        <x:v>港口发展度达到D0（≥0点）；不要求武装度。</x:v>
      </x:c>
    </x:row>
    <x:row r="890" ht="42" customHeight="1">
      <x:c r="A890" s="13" t="str">
        <x:v>P099</x:v>
      </x:c>
      <x:c r="B890" s="13" t="str">
        <x:v>罗亚尔港</x:v>
      </x:c>
      <x:c r="C890" s="13" t="str">
        <x:v>G012</x:v>
      </x:c>
      <x:c r="D890" s="13" t="str">
        <x:v>糖蜜</x:v>
      </x:c>
      <x:c r="E890" s="27" t="n">
        <x:v>1</x:v>
      </x:c>
      <x:c r="F890" s="27" t="n">
        <x:v>70</x:v>
      </x:c>
      <x:c r="G890" s="27" t="n">
        <x:v>142</x:v>
      </x:c>
      <x:c r="H890" s="27" t="n">
        <x:v>426</x:v>
      </x:c>
      <x:c r="I890" s="52" t="n">
        <x:v>0.74</x:v>
      </x:c>
      <x:c r="J890" s="13" t="str">
        <x:v>本港生产/腹地集散/港内加工</x:v>
      </x:c>
      <x:c r="K890" s="13" t="str">
        <x:v>每7个游戏日补充142货载单位。本地、所属岛链或相连腹地供货；成品由港内工坊加工，贸易规模是本作设计。</x:v>
      </x:c>
      <x:c r="L890" s="13" t="str">
        <x:v>港口发展度达到D1（≥100点）；不要求武装度。</x:v>
      </x:c>
    </x:row>
    <x:row r="891" ht="42" customHeight="1">
      <x:c r="A891" s="15" t="str">
        <x:v>P099</x:v>
      </x:c>
      <x:c r="B891" s="15" t="str">
        <x:v>罗亚尔港</x:v>
      </x:c>
      <x:c r="C891" s="15" t="str">
        <x:v>G025</x:v>
      </x:c>
      <x:c r="D891" s="15" t="str">
        <x:v>朗姆酒</x:v>
      </x:c>
      <x:c r="E891" s="30" t="n">
        <x:v>1</x:v>
      </x:c>
      <x:c r="F891" s="30" t="n">
        <x:v>155</x:v>
      </x:c>
      <x:c r="G891" s="30" t="n">
        <x:v>73</x:v>
      </x:c>
      <x:c r="H891" s="30" t="n">
        <x:v>219</x:v>
      </x:c>
      <x:c r="I891" s="54" t="n">
        <x:v>0.74</x:v>
      </x:c>
      <x:c r="J891" s="15" t="str">
        <x:v>本港生产/腹地集散/港内加工</x:v>
      </x:c>
      <x:c r="K891" s="15" t="str">
        <x:v>每7个游戏日补充73货载单位。本地、所属岛链或相连腹地供货；成品由港内工坊加工，贸易规模是本作设计。</x:v>
      </x:c>
      <x:c r="L891" s="15" t="str">
        <x:v>港口发展度达到D1（≥100点）；不要求武装度。</x:v>
      </x:c>
    </x:row>
    <x:row r="892" ht="42" customHeight="1">
      <x:c r="A892" s="13" t="str">
        <x:v>P099</x:v>
      </x:c>
      <x:c r="B892" s="13" t="str">
        <x:v>罗亚尔港</x:v>
      </x:c>
      <x:c r="C892" s="13" t="str">
        <x:v>G097</x:v>
      </x:c>
      <x:c r="D892" s="13" t="str">
        <x:v>烟草</x:v>
      </x:c>
      <x:c r="E892" s="27" t="n">
        <x:v>2</x:v>
      </x:c>
      <x:c r="F892" s="27" t="n">
        <x:v>180</x:v>
      </x:c>
      <x:c r="G892" s="27" t="n">
        <x:v>44</x:v>
      </x:c>
      <x:c r="H892" s="27" t="n">
        <x:v>132</x:v>
      </x:c>
      <x:c r="I892" s="52" t="n">
        <x:v>0.8</x:v>
      </x:c>
      <x:c r="J892" s="13" t="str">
        <x:v>本港生产/腹地集散/港内加工</x:v>
      </x:c>
      <x:c r="K892" s="13" t="str">
        <x:v>每7个游戏日补充44货载单位。本地、所属岛链或相连腹地供货；成品由港内工坊加工，贸易规模是本作设计。</x:v>
      </x:c>
      <x:c r="L892" s="13" t="str">
        <x:v>港口发展度达到D2（≥250点）；不要求武装度。</x:v>
      </x:c>
    </x:row>
    <x:row r="893" ht="42" customHeight="1">
      <x:c r="A893" s="15" t="str">
        <x:v>P099</x:v>
      </x:c>
      <x:c r="B893" s="15" t="str">
        <x:v>罗亚尔港</x:v>
      </x:c>
      <x:c r="C893" s="15" t="str">
        <x:v>G079</x:v>
      </x:c>
      <x:c r="D893" s="15" t="str">
        <x:v>皮革</x:v>
      </x:c>
      <x:c r="E893" s="30" t="n">
        <x:v>3</x:v>
      </x:c>
      <x:c r="F893" s="30" t="n">
        <x:v>110</x:v>
      </x:c>
      <x:c r="G893" s="30" t="n">
        <x:v>54</x:v>
      </x:c>
      <x:c r="H893" s="30" t="n">
        <x:v>162</x:v>
      </x:c>
      <x:c r="I893" s="54" t="n">
        <x:v>0.8</x:v>
      </x:c>
      <x:c r="J893" s="15" t="str">
        <x:v>本港生产/腹地集散/港内加工</x:v>
      </x:c>
      <x:c r="K893" s="15" t="str">
        <x:v>每7个游戏日补充54货载单位。本地、所属岛链或相连腹地供货；成品由港内工坊加工，贸易规模是本作设计。</x:v>
      </x:c>
      <x:c r="L893" s="15" t="str">
        <x:v>港口发展度达到D3（≥450点）；不要求武装度。</x:v>
      </x:c>
    </x:row>
    <x:row r="894" ht="42" customHeight="1">
      <x:c r="A894" s="13" t="str">
        <x:v>P099</x:v>
      </x:c>
      <x:c r="B894" s="13" t="str">
        <x:v>罗亚尔港</x:v>
      </x:c>
      <x:c r="C894" s="13" t="str">
        <x:v>G067</x:v>
      </x:c>
      <x:c r="D894" s="13" t="str">
        <x:v>火药</x:v>
      </x:c>
      <x:c r="E894" s="27" t="n">
        <x:v>4</x:v>
      </x:c>
      <x:c r="F894" s="27" t="n">
        <x:v>265</x:v>
      </x:c>
      <x:c r="G894" s="27" t="n">
        <x:v>24</x:v>
      </x:c>
      <x:c r="H894" s="27" t="n">
        <x:v>72</x:v>
      </x:c>
      <x:c r="I894" s="52" t="n">
        <x:v>1.14</x:v>
      </x:c>
      <x:c r="J894" s="13" t="str">
        <x:v>进口/区域转口</x:v>
      </x:c>
      <x:c r="K894" s="13" t="str">
        <x:v>每7个游戏日补充24货载单位。由区域商队或NPC货船带入；为港口转售供货，不改变商品的原产地区。</x:v>
      </x:c>
      <x:c r="L894" s="13" t="str">
        <x:v>港口发展度达到D4（≥700点）；不要求武装度。</x:v>
      </x:c>
    </x:row>
    <x:row r="895" ht="42" customHeight="1">
      <x:c r="A895" s="15" t="str">
        <x:v>P099</x:v>
      </x:c>
      <x:c r="B895" s="15" t="str">
        <x:v>罗亚尔港</x:v>
      </x:c>
      <x:c r="C895" s="15" t="str">
        <x:v>G073</x:v>
      </x:c>
      <x:c r="D895" s="15" t="str">
        <x:v>珠宝</x:v>
      </x:c>
      <x:c r="E895" s="30" t="n">
        <x:v>5</x:v>
      </x:c>
      <x:c r="F895" s="30" t="n">
        <x:v>760</x:v>
      </x:c>
      <x:c r="G895" s="30" t="n">
        <x:v>3</x:v>
      </x:c>
      <x:c r="H895" s="30" t="n">
        <x:v>9</x:v>
      </x:c>
      <x:c r="I895" s="54" t="n">
        <x:v>1.14</x:v>
      </x:c>
      <x:c r="J895" s="15" t="str">
        <x:v>进口/区域转口</x:v>
      </x:c>
      <x:c r="K895" s="15" t="str">
        <x:v>每7个游戏日补充3货载单位。由区域商队或NPC货船带入；为港口转售供货，不改变商品的原产地区。</x:v>
      </x:c>
      <x:c r="L895" s="15" t="str">
        <x:v>港口发展度达到D5（≥1000点）；不要求武装度。</x:v>
      </x:c>
    </x:row>
    <x:row r="896" ht="42" customHeight="1">
      <x:c r="A896" s="13" t="str">
        <x:v>P099</x:v>
      </x:c>
      <x:c r="B896" s="13" t="str">
        <x:v>罗亚尔港</x:v>
      </x:c>
      <x:c r="C896" s="13" t="str">
        <x:v>SP099</x:v>
      </x:c>
      <x:c r="D896" s="13" t="str">
        <x:v>罗亚尔黑帆桶酿</x:v>
      </x:c>
      <x:c r="E896" s="27" t="n">
        <x:v>3</x:v>
      </x:c>
      <x:c r="F896" s="27" t="n">
        <x:v>670</x:v>
      </x:c>
      <x:c r="G896" s="27" t="n">
        <x:v>9</x:v>
      </x:c>
      <x:c r="H896" s="27" t="n">
        <x:v>18</x:v>
      </x:c>
      <x:c r="I896" s="52" t="n">
        <x:v>0.78</x:v>
      </x:c>
      <x:c r="J896" s="13" t="str">
        <x:v>港口独占原创工坊特产</x:v>
      </x:c>
      <x:c r="K896" s="13" t="str">
        <x:v>每7个游戏日由「黑帆小桶酒坊」交货9货载；只在本港形成稳定产源。</x:v>
      </x:c>
      <x:c r="L896" s="13" t="str">
        <x:v>港口发展度达到D3（≥450点）时，投资项目「黑帆小桶酒坊」自动完工；不要求武装度。</x:v>
      </x:c>
    </x:row>
    <x:row r="897" ht="42" customHeight="1">
      <x:c r="A897" s="15" t="str">
        <x:v>P100</x:v>
      </x:c>
      <x:c r="B897" s="15" t="str">
        <x:v>托尔图加</x:v>
      </x:c>
      <x:c r="C897" s="15" t="str">
        <x:v>G015</x:v>
      </x:c>
      <x:c r="D897" s="15" t="str">
        <x:v>咸鱼</x:v>
      </x:c>
      <x:c r="E897" s="30" t="n">
        <x:v>0</x:v>
      </x:c>
      <x:c r="F897" s="30" t="n">
        <x:v>65</x:v>
      </x:c>
      <x:c r="G897" s="30" t="n">
        <x:v>119</x:v>
      </x:c>
      <x:c r="H897" s="30" t="n">
        <x:v>357</x:v>
      </x:c>
      <x:c r="I897" s="54" t="n">
        <x:v>0.74</x:v>
      </x:c>
      <x:c r="J897" s="15" t="str">
        <x:v>本港生产/腹地集散/港内加工</x:v>
      </x:c>
      <x:c r="K897" s="15" t="str">
        <x:v>每7个游戏日补充119货载单位。本地、所属岛链或相连腹地供货；成品由港内工坊加工，贸易规模是本作设计。</x:v>
      </x:c>
      <x:c r="L897" s="15" t="str">
        <x:v>港口发展度达到D0（≥0点）；不要求武装度。</x:v>
      </x:c>
    </x:row>
    <x:row r="898" ht="42" customHeight="1">
      <x:c r="A898" s="13" t="str">
        <x:v>P100</x:v>
      </x:c>
      <x:c r="B898" s="13" t="str">
        <x:v>托尔图加</x:v>
      </x:c>
      <x:c r="C898" s="13" t="str">
        <x:v>G018</x:v>
      </x:c>
      <x:c r="D898" s="13" t="str">
        <x:v>咸牛肉</x:v>
      </x:c>
      <x:c r="E898" s="27" t="n">
        <x:v>0</x:v>
      </x:c>
      <x:c r="F898" s="27" t="n">
        <x:v>82</x:v>
      </x:c>
      <x:c r="G898" s="27" t="n">
        <x:v>62</x:v>
      </x:c>
      <x:c r="H898" s="27" t="n">
        <x:v>186</x:v>
      </x:c>
      <x:c r="I898" s="52" t="n">
        <x:v>1.08</x:v>
      </x:c>
      <x:c r="J898" s="13" t="str">
        <x:v>进口/区域转口</x:v>
      </x:c>
      <x:c r="K898" s="13" t="str">
        <x:v>每7个游戏日补充62货载单位。由区域商队或NPC货船带入；为港口转售供货，不改变商品的原产地区。</x:v>
      </x:c>
      <x:c r="L898" s="13" t="str">
        <x:v>港口发展度达到D0（≥0点）；不要求武装度。</x:v>
      </x:c>
    </x:row>
    <x:row r="899" ht="42" customHeight="1">
      <x:c r="A899" s="15" t="str">
        <x:v>P100</x:v>
      </x:c>
      <x:c r="B899" s="15" t="str">
        <x:v>托尔图加</x:v>
      </x:c>
      <x:c r="C899" s="15" t="str">
        <x:v>G110</x:v>
      </x:c>
      <x:c r="D899" s="15" t="str">
        <x:v>硬木</x:v>
      </x:c>
      <x:c r="E899" s="30" t="n">
        <x:v>1</x:v>
      </x:c>
      <x:c r="F899" s="30" t="n">
        <x:v>135</x:v>
      </x:c>
      <x:c r="G899" s="30" t="n">
        <x:v>89</x:v>
      </x:c>
      <x:c r="H899" s="30" t="n">
        <x:v>267</x:v>
      </x:c>
      <x:c r="I899" s="54" t="n">
        <x:v>0.74</x:v>
      </x:c>
      <x:c r="J899" s="15" t="str">
        <x:v>本港生产/腹地集散/港内加工</x:v>
      </x:c>
      <x:c r="K899" s="15" t="str">
        <x:v>每7个游戏日补充89货载单位。本地、所属岛链或相连腹地供货；成品由港内工坊加工，贸易规模是本作设计。</x:v>
      </x:c>
      <x:c r="L899" s="15" t="str">
        <x:v>港口发展度达到D1（≥100点）；不要求武装度。</x:v>
      </x:c>
    </x:row>
    <x:row r="900" ht="42" customHeight="1">
      <x:c r="A900" s="13" t="str">
        <x:v>P100</x:v>
      </x:c>
      <x:c r="B900" s="13" t="str">
        <x:v>托尔图加</x:v>
      </x:c>
      <x:c r="C900" s="13" t="str">
        <x:v>G079</x:v>
      </x:c>
      <x:c r="D900" s="13" t="str">
        <x:v>皮革</x:v>
      </x:c>
      <x:c r="E900" s="27" t="n">
        <x:v>1</x:v>
      </x:c>
      <x:c r="F900" s="27" t="n">
        <x:v>110</x:v>
      </x:c>
      <x:c r="G900" s="27" t="n">
        <x:v>57</x:v>
      </x:c>
      <x:c r="H900" s="27" t="n">
        <x:v>171</x:v>
      </x:c>
      <x:c r="I900" s="52" t="n">
        <x:v>0.74</x:v>
      </x:c>
      <x:c r="J900" s="13" t="str">
        <x:v>本港生产/腹地集散/港内加工</x:v>
      </x:c>
      <x:c r="K900" s="13" t="str">
        <x:v>每7个游戏日补充57货载单位。本地、所属岛链或相连腹地供货；成品由港内工坊加工，贸易规模是本作设计。</x:v>
      </x:c>
      <x:c r="L900" s="13" t="str">
        <x:v>港口发展度达到D1（≥100点）；不要求武装度。</x:v>
      </x:c>
    </x:row>
    <x:row r="901" ht="42" customHeight="1">
      <x:c r="A901" s="15" t="str">
        <x:v>P100</x:v>
      </x:c>
      <x:c r="B901" s="15" t="str">
        <x:v>托尔图加</x:v>
      </x:c>
      <x:c r="C901" s="15" t="str">
        <x:v>G097</x:v>
      </x:c>
      <x:c r="D901" s="15" t="str">
        <x:v>烟草</x:v>
      </x:c>
      <x:c r="E901" s="30" t="n">
        <x:v>2</x:v>
      </x:c>
      <x:c r="F901" s="30" t="n">
        <x:v>180</x:v>
      </x:c>
      <x:c r="G901" s="30" t="n">
        <x:v>35</x:v>
      </x:c>
      <x:c r="H901" s="30" t="n">
        <x:v>105</x:v>
      </x:c>
      <x:c r="I901" s="54" t="n">
        <x:v>0.8</x:v>
      </x:c>
      <x:c r="J901" s="15" t="str">
        <x:v>本港生产/腹地集散/港内加工</x:v>
      </x:c>
      <x:c r="K901" s="15" t="str">
        <x:v>每7个游戏日补充35货载单位。本地、所属岛链或相连腹地供货；成品由港内工坊加工，贸易规模是本作设计。</x:v>
      </x:c>
      <x:c r="L901" s="15" t="str">
        <x:v>港口发展度达到D2（≥250点）；不要求武装度。</x:v>
      </x:c>
    </x:row>
    <x:row r="902" ht="42" customHeight="1">
      <x:c r="A902" s="13" t="str">
        <x:v>P100</x:v>
      </x:c>
      <x:c r="B902" s="13" t="str">
        <x:v>托尔图加</x:v>
      </x:c>
      <x:c r="C902" s="13" t="str">
        <x:v>G025</x:v>
      </x:c>
      <x:c r="D902" s="13" t="str">
        <x:v>朗姆酒</x:v>
      </x:c>
      <x:c r="E902" s="27" t="n">
        <x:v>3</x:v>
      </x:c>
      <x:c r="F902" s="27" t="n">
        <x:v>155</x:v>
      </x:c>
      <x:c r="G902" s="27" t="n">
        <x:v>23</x:v>
      </x:c>
      <x:c r="H902" s="27" t="n">
        <x:v>69</x:v>
      </x:c>
      <x:c r="I902" s="52" t="n">
        <x:v>1.14</x:v>
      </x:c>
      <x:c r="J902" s="13" t="str">
        <x:v>进口/区域转口</x:v>
      </x:c>
      <x:c r="K902" s="13" t="str">
        <x:v>每7个游戏日补充23货载单位。由区域商队或NPC货船带入；为港口转售供货，不改变商品的原产地区。</x:v>
      </x:c>
      <x:c r="L902" s="13" t="str">
        <x:v>港口发展度达到D3（≥450点）；不要求武装度。</x:v>
      </x:c>
    </x:row>
    <x:row r="903" ht="42" customHeight="1">
      <x:c r="A903" s="15" t="str">
        <x:v>P100</x:v>
      </x:c>
      <x:c r="B903" s="15" t="str">
        <x:v>托尔图加</x:v>
      </x:c>
      <x:c r="C903" s="15" t="str">
        <x:v>G067</x:v>
      </x:c>
      <x:c r="D903" s="15" t="str">
        <x:v>火药</x:v>
      </x:c>
      <x:c r="E903" s="30" t="n">
        <x:v>4</x:v>
      </x:c>
      <x:c r="F903" s="30" t="n">
        <x:v>265</x:v>
      </x:c>
      <x:c r="G903" s="30" t="n">
        <x:v>19</x:v>
      </x:c>
      <x:c r="H903" s="30" t="n">
        <x:v>57</x:v>
      </x:c>
      <x:c r="I903" s="54" t="n">
        <x:v>1.14</x:v>
      </x:c>
      <x:c r="J903" s="15" t="str">
        <x:v>进口/区域转口</x:v>
      </x:c>
      <x:c r="K903" s="15" t="str">
        <x:v>每7个游戏日补充19货载单位。由区域商队或NPC货船带入；为港口转售供货，不改变商品的原产地区。</x:v>
      </x:c>
      <x:c r="L903" s="15" t="str">
        <x:v>港口发展度达到D4（≥700点）；不要求武装度。</x:v>
      </x:c>
    </x:row>
    <x:row r="904" ht="42" customHeight="1">
      <x:c r="A904" s="13" t="str">
        <x:v>P100</x:v>
      </x:c>
      <x:c r="B904" s="13" t="str">
        <x:v>托尔图加</x:v>
      </x:c>
      <x:c r="C904" s="13" t="str">
        <x:v>G096</x:v>
      </x:c>
      <x:c r="D904" s="13" t="str">
        <x:v>贝壳工艺品</x:v>
      </x:c>
      <x:c r="E904" s="27" t="n">
        <x:v>5</x:v>
      </x:c>
      <x:c r="F904" s="27" t="n">
        <x:v>210</x:v>
      </x:c>
      <x:c r="G904" s="27" t="n">
        <x:v>13</x:v>
      </x:c>
      <x:c r="H904" s="27" t="n">
        <x:v>39</x:v>
      </x:c>
      <x:c r="I904" s="52" t="n">
        <x:v>0.87</x:v>
      </x:c>
      <x:c r="J904" s="13" t="str">
        <x:v>本港生产/腹地集散/港内加工</x:v>
      </x:c>
      <x:c r="K904" s="13" t="str">
        <x:v>每7个游戏日补充13货载单位。本地、所属岛链或相连腹地供货；成品由港内工坊加工，贸易规模是本作设计。</x:v>
      </x:c>
      <x:c r="L904" s="13" t="str">
        <x:v>港口发展度达到D5（≥1000点）；不要求武装度。</x:v>
      </x:c>
    </x:row>
    <x:row r="905" ht="42" customHeight="1">
      <x:c r="A905" s="15" t="str">
        <x:v>P100</x:v>
      </x:c>
      <x:c r="B905" s="15" t="str">
        <x:v>托尔图加</x:v>
      </x:c>
      <x:c r="C905" s="15" t="str">
        <x:v>SP100</x:v>
      </x:c>
      <x:c r="D905" s="15" t="str">
        <x:v>龟岛折潮藏酒盒</x:v>
      </x:c>
      <x:c r="E905" s="30" t="n">
        <x:v>3</x:v>
      </x:c>
      <x:c r="F905" s="30" t="n">
        <x:v>560</x:v>
      </x:c>
      <x:c r="G905" s="30" t="n">
        <x:v>7</x:v>
      </x:c>
      <x:c r="H905" s="30" t="n">
        <x:v>14</x:v>
      </x:c>
      <x:c r="I905" s="54" t="n">
        <x:v>0.78</x:v>
      </x:c>
      <x:c r="J905" s="15" t="str">
        <x:v>港口独占原创工坊特产</x:v>
      </x:c>
      <x:c r="K905" s="15" t="str">
        <x:v>每7个游戏日由「龟岛旅行木作坊」交货7货载；只在本港形成稳定产源。</x:v>
      </x:c>
      <x:c r="L905" s="15" t="str">
        <x:v>港口发展度达到D3（≥450点）时，投资项目「龟岛旅行木作坊」自动完工；不要求武装度。</x:v>
      </x:c>
    </x:row>
    <x:row r="906" ht="42" customHeight="1">
      <x:c r="A906" s="13" t="str">
        <x:v>P101</x:v>
      </x:c>
      <x:c r="B906" s="13" t="str">
        <x:v>韦拉克鲁斯</x:v>
      </x:c>
      <x:c r="C906" s="13" t="str">
        <x:v>G005</x:v>
      </x:c>
      <x:c r="D906" s="13" t="str">
        <x:v>玉米</x:v>
      </x:c>
      <x:c r="E906" s="27" t="n">
        <x:v>0</x:v>
      </x:c>
      <x:c r="F906" s="27" t="n">
        <x:v>42</x:v>
      </x:c>
      <x:c r="G906" s="27" t="n">
        <x:v>232</x:v>
      </x:c>
      <x:c r="H906" s="27" t="n">
        <x:v>696</x:v>
      </x:c>
      <x:c r="I906" s="52" t="n">
        <x:v>0.74</x:v>
      </x:c>
      <x:c r="J906" s="13" t="str">
        <x:v>本港生产/腹地集散/港内加工</x:v>
      </x:c>
      <x:c r="K906" s="13" t="str">
        <x:v>每7个游戏日补充232货载单位。本地、所属岛链或相连腹地供货；成品由港内工坊加工，贸易规模是本作设计。</x:v>
      </x:c>
      <x:c r="L906" s="13" t="str">
        <x:v>港口发展度达到D0（≥0点）；不要求武装度。</x:v>
      </x:c>
    </x:row>
    <x:row r="907" ht="42" customHeight="1">
      <x:c r="A907" s="15" t="str">
        <x:v>P101</x:v>
      </x:c>
      <x:c r="B907" s="15" t="str">
        <x:v>韦拉克鲁斯</x:v>
      </x:c>
      <x:c r="C907" s="15" t="str">
        <x:v>G015</x:v>
      </x:c>
      <x:c r="D907" s="15" t="str">
        <x:v>咸鱼</x:v>
      </x:c>
      <x:c r="E907" s="30" t="n">
        <x:v>0</x:v>
      </x:c>
      <x:c r="F907" s="30" t="n">
        <x:v>65</x:v>
      </x:c>
      <x:c r="G907" s="30" t="n">
        <x:v>181</x:v>
      </x:c>
      <x:c r="H907" s="30" t="n">
        <x:v>543</x:v>
      </x:c>
      <x:c r="I907" s="54" t="n">
        <x:v>0.74</x:v>
      </x:c>
      <x:c r="J907" s="15" t="str">
        <x:v>本港生产/腹地集散/港内加工</x:v>
      </x:c>
      <x:c r="K907" s="15" t="str">
        <x:v>每7个游戏日补充181货载单位。本地、所属岛链或相连腹地供货；成品由港内工坊加工，贸易规模是本作设计。</x:v>
      </x:c>
      <x:c r="L907" s="15" t="str">
        <x:v>港口发展度达到D0（≥0点）；不要求武装度。</x:v>
      </x:c>
    </x:row>
    <x:row r="908" ht="42" customHeight="1">
      <x:c r="A908" s="13" t="str">
        <x:v>P101</x:v>
      </x:c>
      <x:c r="B908" s="13" t="str">
        <x:v>韦拉克鲁斯</x:v>
      </x:c>
      <x:c r="C908" s="13" t="str">
        <x:v>G022</x:v>
      </x:c>
      <x:c r="D908" s="13" t="str">
        <x:v>可可</x:v>
      </x:c>
      <x:c r="E908" s="27" t="n">
        <x:v>1</x:v>
      </x:c>
      <x:c r="F908" s="27" t="n">
        <x:v>225</x:v>
      </x:c>
      <x:c r="G908" s="27" t="n">
        <x:v>59</x:v>
      </x:c>
      <x:c r="H908" s="27" t="n">
        <x:v>177</x:v>
      </x:c>
      <x:c r="I908" s="52" t="n">
        <x:v>0.74</x:v>
      </x:c>
      <x:c r="J908" s="13" t="str">
        <x:v>本港生产/腹地集散/港内加工</x:v>
      </x:c>
      <x:c r="K908" s="13" t="str">
        <x:v>每7个游戏日补充59货载单位。本地、所属岛链或相连腹地供货；成品由港内工坊加工，贸易规模是本作设计。</x:v>
      </x:c>
      <x:c r="L908" s="13" t="str">
        <x:v>港口发展度达到D1（≥100点）；不要求武装度。</x:v>
      </x:c>
    </x:row>
    <x:row r="909" ht="42" customHeight="1">
      <x:c r="A909" s="15" t="str">
        <x:v>P101</x:v>
      </x:c>
      <x:c r="B909" s="15" t="str">
        <x:v>韦拉克鲁斯</x:v>
      </x:c>
      <x:c r="C909" s="15" t="str">
        <x:v>G097</x:v>
      </x:c>
      <x:c r="D909" s="15" t="str">
        <x:v>烟草</x:v>
      </x:c>
      <x:c r="E909" s="30" t="n">
        <x:v>1</x:v>
      </x:c>
      <x:c r="F909" s="30" t="n">
        <x:v>180</x:v>
      </x:c>
      <x:c r="G909" s="30" t="n">
        <x:v>59</x:v>
      </x:c>
      <x:c r="H909" s="30" t="n">
        <x:v>177</x:v>
      </x:c>
      <x:c r="I909" s="54" t="n">
        <x:v>0.74</x:v>
      </x:c>
      <x:c r="J909" s="15" t="str">
        <x:v>本港生产/腹地集散/港内加工</x:v>
      </x:c>
      <x:c r="K909" s="15" t="str">
        <x:v>每7个游戏日补充59货载单位。本地、所属岛链或相连腹地供货；成品由港内工坊加工，贸易规模是本作设计。</x:v>
      </x:c>
      <x:c r="L909" s="15" t="str">
        <x:v>港口发展度达到D1（≥100点）；不要求武装度。</x:v>
      </x:c>
    </x:row>
    <x:row r="910" ht="42" customHeight="1">
      <x:c r="A910" s="13" t="str">
        <x:v>P101</x:v>
      </x:c>
      <x:c r="B910" s="13" t="str">
        <x:v>韦拉克鲁斯</x:v>
      </x:c>
      <x:c r="C910" s="13" t="str">
        <x:v>G062</x:v>
      </x:c>
      <x:c r="D910" s="13" t="str">
        <x:v>白银</x:v>
      </x:c>
      <x:c r="E910" s="27" t="n">
        <x:v>2</x:v>
      </x:c>
      <x:c r="F910" s="27" t="n">
        <x:v>850</x:v>
      </x:c>
      <x:c r="G910" s="27" t="n">
        <x:v>15</x:v>
      </x:c>
      <x:c r="H910" s="27" t="n">
        <x:v>45</x:v>
      </x:c>
      <x:c r="I910" s="52" t="n">
        <x:v>0.8</x:v>
      </x:c>
      <x:c r="J910" s="13" t="str">
        <x:v>本港生产/腹地集散/港内加工</x:v>
      </x:c>
      <x:c r="K910" s="13" t="str">
        <x:v>每7个游戏日补充15货载单位。本地、所属岛链或相连腹地供货；成品由港内工坊加工，贸易规模是本作设计。</x:v>
      </x:c>
      <x:c r="L910" s="13" t="str">
        <x:v>港口发展度达到D2（≥250点）；不要求武装度。</x:v>
      </x:c>
    </x:row>
    <x:row r="911" ht="42" customHeight="1">
      <x:c r="A911" s="15" t="str">
        <x:v>P101</x:v>
      </x:c>
      <x:c r="B911" s="15" t="str">
        <x:v>韦拉克鲁斯</x:v>
      </x:c>
      <x:c r="C911" s="15" t="str">
        <x:v>G051</x:v>
      </x:c>
      <x:c r="D911" s="15" t="str">
        <x:v>胭脂虫红</x:v>
      </x:c>
      <x:c r="E911" s="30" t="n">
        <x:v>3</x:v>
      </x:c>
      <x:c r="F911" s="30" t="n">
        <x:v>750</x:v>
      </x:c>
      <x:c r="G911" s="30" t="n">
        <x:v>30</x:v>
      </x:c>
      <x:c r="H911" s="30" t="n">
        <x:v>90</x:v>
      </x:c>
      <x:c r="I911" s="54" t="n">
        <x:v>0.8</x:v>
      </x:c>
      <x:c r="J911" s="15" t="str">
        <x:v>本港生产/腹地集散/港内加工</x:v>
      </x:c>
      <x:c r="K911" s="15" t="str">
        <x:v>每7个游戏日补充30货载单位。本地、所属岛链或相连腹地供货；成品由港内工坊加工，贸易规模是本作设计。</x:v>
      </x:c>
      <x:c r="L911" s="15" t="str">
        <x:v>港口发展度达到D3（≥450点）；不要求武装度。</x:v>
      </x:c>
    </x:row>
    <x:row r="912" ht="42" customHeight="1">
      <x:c r="A912" s="13" t="str">
        <x:v>P101</x:v>
      </x:c>
      <x:c r="B912" s="13" t="str">
        <x:v>韦拉克鲁斯</x:v>
      </x:c>
      <x:c r="C912" s="13" t="str">
        <x:v>G036</x:v>
      </x:c>
      <x:c r="D912" s="13" t="str">
        <x:v>香草</x:v>
      </x:c>
      <x:c r="E912" s="27" t="n">
        <x:v>4</x:v>
      </x:c>
      <x:c r="F912" s="27" t="n">
        <x:v>630</x:v>
      </x:c>
      <x:c r="G912" s="27" t="n">
        <x:v>26</x:v>
      </x:c>
      <x:c r="H912" s="27" t="n">
        <x:v>78</x:v>
      </x:c>
      <x:c r="I912" s="52" t="n">
        <x:v>0.87</x:v>
      </x:c>
      <x:c r="J912" s="13" t="str">
        <x:v>本港生产/腹地集散/港内加工</x:v>
      </x:c>
      <x:c r="K912" s="13" t="str">
        <x:v>每7个游戏日补充26货载单位。本地、所属岛链或相连腹地供货；成品由港内工坊加工，贸易规模是本作设计。</x:v>
      </x:c>
      <x:c r="L912" s="13" t="str">
        <x:v>港口发展度达到D4（≥700点）；不要求武装度。</x:v>
      </x:c>
    </x:row>
    <x:row r="913" ht="42" customHeight="1">
      <x:c r="A913" s="15" t="str">
        <x:v>P101</x:v>
      </x:c>
      <x:c r="B913" s="15" t="str">
        <x:v>韦拉克鲁斯</x:v>
      </x:c>
      <x:c r="C913" s="15" t="str">
        <x:v>G073</x:v>
      </x:c>
      <x:c r="D913" s="15" t="str">
        <x:v>珠宝</x:v>
      </x:c>
      <x:c r="E913" s="30" t="n">
        <x:v>5</x:v>
      </x:c>
      <x:c r="F913" s="30" t="n">
        <x:v>760</x:v>
      </x:c>
      <x:c r="G913" s="30" t="n">
        <x:v>8</x:v>
      </x:c>
      <x:c r="H913" s="30" t="n">
        <x:v>24</x:v>
      </x:c>
      <x:c r="I913" s="54" t="n">
        <x:v>0.87</x:v>
      </x:c>
      <x:c r="J913" s="15" t="str">
        <x:v>本港生产/腹地集散/港内加工</x:v>
      </x:c>
      <x:c r="K913" s="15" t="str">
        <x:v>每7个游戏日补充8货载单位。本地、所属岛链或相连腹地供货；成品由港内工坊加工，贸易规模是本作设计。</x:v>
      </x:c>
      <x:c r="L913" s="15" t="str">
        <x:v>港口发展度达到D5（≥1000点）；不要求武装度。</x:v>
      </x:c>
    </x:row>
    <x:row r="914" ht="42" customHeight="1">
      <x:c r="A914" s="13" t="str">
        <x:v>P101</x:v>
      </x:c>
      <x:c r="B914" s="13" t="str">
        <x:v>韦拉克鲁斯</x:v>
      </x:c>
      <x:c r="C914" s="13" t="str">
        <x:v>SP101</x:v>
      </x:c>
      <x:c r="D914" s="13" t="str">
        <x:v>胭红太阳染绢盒</x:v>
      </x:c>
      <x:c r="E914" s="27" t="n">
        <x:v>4</x:v>
      </x:c>
      <x:c r="F914" s="27" t="n">
        <x:v>1520</x:v>
      </x:c>
      <x:c r="G914" s="27" t="n">
        <x:v>8</x:v>
      </x:c>
      <x:c r="H914" s="27" t="n">
        <x:v>16</x:v>
      </x:c>
      <x:c r="I914" s="52" t="n">
        <x:v>0.78</x:v>
      </x:c>
      <x:c r="J914" s="13" t="str">
        <x:v>港口独占原创工坊特产</x:v>
      </x:c>
      <x:c r="K914" s="13" t="str">
        <x:v>每7个游戏日由「太阳虫红分级工坊」交货8货载；只在本港形成稳定产源。</x:v>
      </x:c>
      <x:c r="L914" s="13" t="str">
        <x:v>港口发展度达到D4（≥700点）时，投资项目「太阳虫红分级工坊」自动完工；不要求武装度。</x:v>
      </x:c>
    </x:row>
    <x:row r="915" ht="42" customHeight="1">
      <x:c r="A915" s="15" t="str">
        <x:v>P102</x:v>
      </x:c>
      <x:c r="B915" s="15" t="str">
        <x:v>新奥尔良</x:v>
      </x:c>
      <x:c r="C915" s="15" t="str">
        <x:v>G005</x:v>
      </x:c>
      <x:c r="D915" s="15" t="str">
        <x:v>玉米</x:v>
      </x:c>
      <x:c r="E915" s="30" t="n">
        <x:v>0</x:v>
      </x:c>
      <x:c r="F915" s="30" t="n">
        <x:v>42</x:v>
      </x:c>
      <x:c r="G915" s="30" t="n">
        <x:v>193</x:v>
      </x:c>
      <x:c r="H915" s="30" t="n">
        <x:v>579</x:v>
      </x:c>
      <x:c r="I915" s="54" t="n">
        <x:v>0.74</x:v>
      </x:c>
      <x:c r="J915" s="15" t="str">
        <x:v>本港生产/腹地集散/港内加工</x:v>
      </x:c>
      <x:c r="K915" s="15" t="str">
        <x:v>每7个游戏日补充193货载单位。本地、所属岛链或相连腹地供货；成品由港内工坊加工，贸易规模是本作设计。</x:v>
      </x:c>
      <x:c r="L915" s="15" t="str">
        <x:v>港口发展度达到D0（≥0点）；不要求武装度。</x:v>
      </x:c>
    </x:row>
    <x:row r="916" ht="42" customHeight="1">
      <x:c r="A916" s="13" t="str">
        <x:v>P102</x:v>
      </x:c>
      <x:c r="B916" s="13" t="str">
        <x:v>新奥尔良</x:v>
      </x:c>
      <x:c r="C916" s="13" t="str">
        <x:v>G004</x:v>
      </x:c>
      <x:c r="D916" s="13" t="str">
        <x:v>稻米</x:v>
      </x:c>
      <x:c r="E916" s="27" t="n">
        <x:v>0</x:v>
      </x:c>
      <x:c r="F916" s="27" t="n">
        <x:v>55</x:v>
      </x:c>
      <x:c r="G916" s="27" t="n">
        <x:v>193</x:v>
      </x:c>
      <x:c r="H916" s="27" t="n">
        <x:v>579</x:v>
      </x:c>
      <x:c r="I916" s="52" t="n">
        <x:v>0.74</x:v>
      </x:c>
      <x:c r="J916" s="13" t="str">
        <x:v>本港生产/腹地集散/港内加工</x:v>
      </x:c>
      <x:c r="K916" s="13" t="str">
        <x:v>每7个游戏日补充193货载单位。本地、所属岛链或相连腹地供货；成品由港内工坊加工，贸易规模是本作设计。</x:v>
      </x:c>
      <x:c r="L916" s="13" t="str">
        <x:v>港口发展度达到D0（≥0点）；不要求武装度。</x:v>
      </x:c>
    </x:row>
    <x:row r="917" ht="42" customHeight="1">
      <x:c r="A917" s="15" t="str">
        <x:v>P102</x:v>
      </x:c>
      <x:c r="B917" s="15" t="str">
        <x:v>新奥尔良</x:v>
      </x:c>
      <x:c r="C917" s="15" t="str">
        <x:v>G057</x:v>
      </x:c>
      <x:c r="D917" s="15" t="str">
        <x:v>松木</x:v>
      </x:c>
      <x:c r="E917" s="30" t="n">
        <x:v>1</x:v>
      </x:c>
      <x:c r="F917" s="30" t="n">
        <x:v>70</x:v>
      </x:c>
      <x:c r="G917" s="30" t="n">
        <x:v>112</x:v>
      </x:c>
      <x:c r="H917" s="30" t="n">
        <x:v>336</x:v>
      </x:c>
      <x:c r="I917" s="54" t="n">
        <x:v>0.74</x:v>
      </x:c>
      <x:c r="J917" s="15" t="str">
        <x:v>本港生产/腹地集散/港内加工</x:v>
      </x:c>
      <x:c r="K917" s="15" t="str">
        <x:v>每7个游戏日补充112货载单位。本地、所属岛链或相连腹地供货；成品由港内工坊加工，贸易规模是本作设计。</x:v>
      </x:c>
      <x:c r="L917" s="15" t="str">
        <x:v>港口发展度达到D1（≥100点）；不要求武装度。</x:v>
      </x:c>
    </x:row>
    <x:row r="918" ht="42" customHeight="1">
      <x:c r="A918" s="13" t="str">
        <x:v>P102</x:v>
      </x:c>
      <x:c r="B918" s="13" t="str">
        <x:v>新奥尔良</x:v>
      </x:c>
      <x:c r="C918" s="13" t="str">
        <x:v>G079</x:v>
      </x:c>
      <x:c r="D918" s="13" t="str">
        <x:v>皮革</x:v>
      </x:c>
      <x:c r="E918" s="27" t="n">
        <x:v>1</x:v>
      </x:c>
      <x:c r="F918" s="27" t="n">
        <x:v>110</x:v>
      </x:c>
      <x:c r="G918" s="27" t="n">
        <x:v>71</x:v>
      </x:c>
      <x:c r="H918" s="27" t="n">
        <x:v>213</x:v>
      </x:c>
      <x:c r="I918" s="52" t="n">
        <x:v>0.74</x:v>
      </x:c>
      <x:c r="J918" s="13" t="str">
        <x:v>本港生产/腹地集散/港内加工</x:v>
      </x:c>
      <x:c r="K918" s="13" t="str">
        <x:v>每7个游戏日补充71货载单位。本地、所属岛链或相连腹地供货；成品由港内工坊加工，贸易规模是本作设计。</x:v>
      </x:c>
      <x:c r="L918" s="13" t="str">
        <x:v>港口发展度达到D1（≥100点）；不要求武装度。</x:v>
      </x:c>
    </x:row>
    <x:row r="919" ht="42" customHeight="1">
      <x:c r="A919" s="15" t="str">
        <x:v>P102</x:v>
      </x:c>
      <x:c r="B919" s="15" t="str">
        <x:v>新奥尔良</x:v>
      </x:c>
      <x:c r="C919" s="15" t="str">
        <x:v>G080</x:v>
      </x:c>
      <x:c r="D919" s="15" t="str">
        <x:v>毛皮</x:v>
      </x:c>
      <x:c r="E919" s="30" t="n">
        <x:v>2</x:v>
      </x:c>
      <x:c r="F919" s="30" t="n">
        <x:v>240</x:v>
      </x:c>
      <x:c r="G919" s="30" t="n">
        <x:v>11</x:v>
      </x:c>
      <x:c r="H919" s="30" t="n">
        <x:v>33</x:v>
      </x:c>
      <x:c r="I919" s="54" t="n">
        <x:v>0.8</x:v>
      </x:c>
      <x:c r="J919" s="15" t="str">
        <x:v>本港生产/腹地集散/港内加工</x:v>
      </x:c>
      <x:c r="K919" s="15" t="str">
        <x:v>每7个游戏日补充11货载单位。本地、所属岛链或相连腹地供货；成品由港内工坊加工，贸易规模是本作设计。</x:v>
      </x:c>
      <x:c r="L919" s="15" t="str">
        <x:v>港口发展度达到D2（≥250点）；不要求武装度。</x:v>
      </x:c>
    </x:row>
    <x:row r="920" ht="42" customHeight="1">
      <x:c r="A920" s="13" t="str">
        <x:v>P102</x:v>
      </x:c>
      <x:c r="B920" s="13" t="str">
        <x:v>新奥尔良</x:v>
      </x:c>
      <x:c r="C920" s="13" t="str">
        <x:v>G097</x:v>
      </x:c>
      <x:c r="D920" s="13" t="str">
        <x:v>烟草</x:v>
      </x:c>
      <x:c r="E920" s="27" t="n">
        <x:v>3</x:v>
      </x:c>
      <x:c r="F920" s="27" t="n">
        <x:v>180</x:v>
      </x:c>
      <x:c r="G920" s="27" t="n">
        <x:v>37</x:v>
      </x:c>
      <x:c r="H920" s="27" t="n">
        <x:v>111</x:v>
      </x:c>
      <x:c r="I920" s="52" t="n">
        <x:v>0.8</x:v>
      </x:c>
      <x:c r="J920" s="13" t="str">
        <x:v>本港生产/腹地集散/港内加工</x:v>
      </x:c>
      <x:c r="K920" s="13" t="str">
        <x:v>每7个游戏日补充37货载单位。本地、所属岛链或相连腹地供货；成品由港内工坊加工，贸易规模是本作设计。</x:v>
      </x:c>
      <x:c r="L920" s="13" t="str">
        <x:v>港口发展度达到D3（≥450点）；不要求武装度。</x:v>
      </x:c>
    </x:row>
    <x:row r="921" ht="42" customHeight="1">
      <x:c r="A921" s="15" t="str">
        <x:v>P102</x:v>
      </x:c>
      <x:c r="B921" s="15" t="str">
        <x:v>新奥尔良</x:v>
      </x:c>
      <x:c r="C921" s="15" t="str">
        <x:v>G012</x:v>
      </x:c>
      <x:c r="D921" s="15" t="str">
        <x:v>糖蜜</x:v>
      </x:c>
      <x:c r="E921" s="30" t="n">
        <x:v>4</x:v>
      </x:c>
      <x:c r="F921" s="30" t="n">
        <x:v>70</x:v>
      </x:c>
      <x:c r="G921" s="30" t="n">
        <x:v>48</x:v>
      </x:c>
      <x:c r="H921" s="30" t="n">
        <x:v>144</x:v>
      </x:c>
      <x:c r="I921" s="54" t="n">
        <x:v>1.14</x:v>
      </x:c>
      <x:c r="J921" s="15" t="str">
        <x:v>进口/区域转口</x:v>
      </x:c>
      <x:c r="K921" s="15" t="str">
        <x:v>每7个游戏日补充48货载单位。由区域商队或NPC货船带入；为港口转售供货，不改变商品的原产地区。</x:v>
      </x:c>
      <x:c r="L921" s="15" t="str">
        <x:v>港口发展度达到D4（≥700点）；不要求武装度。</x:v>
      </x:c>
    </x:row>
    <x:row r="922" ht="42" customHeight="1">
      <x:c r="A922" s="13" t="str">
        <x:v>P102</x:v>
      </x:c>
      <x:c r="B922" s="13" t="str">
        <x:v>新奥尔良</x:v>
      </x:c>
      <x:c r="C922" s="13" t="str">
        <x:v>G098</x:v>
      </x:c>
      <x:c r="D922" s="13" t="str">
        <x:v>书籍</x:v>
      </x:c>
      <x:c r="E922" s="27" t="n">
        <x:v>5</x:v>
      </x:c>
      <x:c r="F922" s="27" t="n">
        <x:v>280</x:v>
      </x:c>
      <x:c r="G922" s="27" t="n">
        <x:v>7</x:v>
      </x:c>
      <x:c r="H922" s="27" t="n">
        <x:v>21</x:v>
      </x:c>
      <x:c r="I922" s="52" t="n">
        <x:v>0.87</x:v>
      </x:c>
      <x:c r="J922" s="13" t="str">
        <x:v>本港生产/腹地集散/港内加工</x:v>
      </x:c>
      <x:c r="K922" s="13" t="str">
        <x:v>每7个游戏日补充7货载单位。本地、所属岛链或相连腹地供货；成品由港内工坊加工，贸易规模是本作设计。</x:v>
      </x:c>
      <x:c r="L922" s="13" t="str">
        <x:v>港口发展度达到D5（≥1000点）；不要求武装度。</x:v>
      </x:c>
    </x:row>
    <x:row r="923" ht="42" customHeight="1">
      <x:c r="A923" s="15" t="str">
        <x:v>P102</x:v>
      </x:c>
      <x:c r="B923" s="15" t="str">
        <x:v>新奥尔良</x:v>
      </x:c>
      <x:c r="C923" s="15" t="str">
        <x:v>SP102</x:v>
      </x:c>
      <x:c r="D923" s="15" t="str">
        <x:v>三角洲沼银皮具箱</x:v>
      </x:c>
      <x:c r="E923" s="30" t="n">
        <x:v>3</x:v>
      </x:c>
      <x:c r="F923" s="30" t="n">
        <x:v>720</x:v>
      </x:c>
      <x:c r="G923" s="30" t="n">
        <x:v>9</x:v>
      </x:c>
      <x:c r="H923" s="30" t="n">
        <x:v>18</x:v>
      </x:c>
      <x:c r="I923" s="54" t="n">
        <x:v>0.78</x:v>
      </x:c>
      <x:c r="J923" s="15" t="str">
        <x:v>港口独占原创工坊特产</x:v>
      </x:c>
      <x:c r="K923" s="15" t="str">
        <x:v>每7个游戏日由「三角洲旅行皮具坊」交货9货载；只在本港形成稳定产源。</x:v>
      </x:c>
      <x:c r="L923" s="15" t="str">
        <x:v>港口发展度达到D3（≥450点）时，投资项目「三角洲旅行皮具坊」自动完工；不要求武装度。</x:v>
      </x:c>
    </x:row>
    <x:row r="924" ht="42" customHeight="1">
      <x:c r="A924" s="13" t="str">
        <x:v>P103</x:v>
      </x:c>
      <x:c r="B924" s="13" t="str">
        <x:v>查尔斯顿</x:v>
      </x:c>
      <x:c r="C924" s="13" t="str">
        <x:v>G004</x:v>
      </x:c>
      <x:c r="D924" s="13" t="str">
        <x:v>稻米</x:v>
      </x:c>
      <x:c r="E924" s="27" t="n">
        <x:v>0</x:v>
      </x:c>
      <x:c r="F924" s="27" t="n">
        <x:v>55</x:v>
      </x:c>
      <x:c r="G924" s="27" t="n">
        <x:v>207</x:v>
      </x:c>
      <x:c r="H924" s="27" t="n">
        <x:v>621</x:v>
      </x:c>
      <x:c r="I924" s="52" t="n">
        <x:v>0.74</x:v>
      </x:c>
      <x:c r="J924" s="13" t="str">
        <x:v>本港生产/腹地集散/港内加工</x:v>
      </x:c>
      <x:c r="K924" s="13" t="str">
        <x:v>每7个游戏日补充207货载单位。本地、所属岛链或相连腹地供货；成品由港内工坊加工，贸易规模是本作设计。</x:v>
      </x:c>
      <x:c r="L924" s="13" t="str">
        <x:v>港口发展度达到D0（≥0点）；不要求武装度。</x:v>
      </x:c>
    </x:row>
    <x:row r="925" ht="42" customHeight="1">
      <x:c r="A925" s="15" t="str">
        <x:v>P103</x:v>
      </x:c>
      <x:c r="B925" s="15" t="str">
        <x:v>查尔斯顿</x:v>
      </x:c>
      <x:c r="C925" s="15" t="str">
        <x:v>G057</x:v>
      </x:c>
      <x:c r="D925" s="15" t="str">
        <x:v>松木</x:v>
      </x:c>
      <x:c r="E925" s="30" t="n">
        <x:v>0</x:v>
      </x:c>
      <x:c r="F925" s="30" t="n">
        <x:v>70</x:v>
      </x:c>
      <x:c r="G925" s="30" t="n">
        <x:v>126</x:v>
      </x:c>
      <x:c r="H925" s="30" t="n">
        <x:v>378</x:v>
      </x:c>
      <x:c r="I925" s="54" t="n">
        <x:v>0.74</x:v>
      </x:c>
      <x:c r="J925" s="15" t="str">
        <x:v>本港生产/腹地集散/港内加工</x:v>
      </x:c>
      <x:c r="K925" s="15" t="str">
        <x:v>每7个游戏日补充126货载单位。本地、所属岛链或相连腹地供货；成品由港内工坊加工，贸易规模是本作设计。</x:v>
      </x:c>
      <x:c r="L925" s="15" t="str">
        <x:v>港口发展度达到D0（≥0点）；不要求武装度。</x:v>
      </x:c>
    </x:row>
    <x:row r="926" ht="42" customHeight="1">
      <x:c r="A926" s="13" t="str">
        <x:v>P103</x:v>
      </x:c>
      <x:c r="B926" s="13" t="str">
        <x:v>查尔斯顿</x:v>
      </x:c>
      <x:c r="C926" s="13" t="str">
        <x:v>G090</x:v>
      </x:c>
      <x:c r="D926" s="13" t="str">
        <x:v>树脂</x:v>
      </x:c>
      <x:c r="E926" s="27" t="n">
        <x:v>1</x:v>
      </x:c>
      <x:c r="F926" s="27" t="n">
        <x:v>95</x:v>
      </x:c>
      <x:c r="G926" s="27" t="n">
        <x:v>76</x:v>
      </x:c>
      <x:c r="H926" s="27" t="n">
        <x:v>228</x:v>
      </x:c>
      <x:c r="I926" s="52" t="n">
        <x:v>0.74</x:v>
      </x:c>
      <x:c r="J926" s="13" t="str">
        <x:v>本港生产/腹地集散/港内加工</x:v>
      </x:c>
      <x:c r="K926" s="13" t="str">
        <x:v>每7个游戏日补充76货载单位。本地、所属岛链或相连腹地供货；成品由港内工坊加工，贸易规模是本作设计。</x:v>
      </x:c>
      <x:c r="L926" s="13" t="str">
        <x:v>港口发展度达到D1（≥100点）；不要求武装度。</x:v>
      </x:c>
    </x:row>
    <x:row r="927" ht="42" customHeight="1">
      <x:c r="A927" s="15" t="str">
        <x:v>P103</x:v>
      </x:c>
      <x:c r="B927" s="15" t="str">
        <x:v>查尔斯顿</x:v>
      </x:c>
      <x:c r="C927" s="15" t="str">
        <x:v>G049</x:v>
      </x:c>
      <x:c r="D927" s="15" t="str">
        <x:v>靛蓝</x:v>
      </x:c>
      <x:c r="E927" s="30" t="n">
        <x:v>1</x:v>
      </x:c>
      <x:c r="F927" s="30" t="n">
        <x:v>280</x:v>
      </x:c>
      <x:c r="G927" s="30" t="n">
        <x:v>35</x:v>
      </x:c>
      <x:c r="H927" s="30" t="n">
        <x:v>105</x:v>
      </x:c>
      <x:c r="I927" s="54" t="n">
        <x:v>0.74</x:v>
      </x:c>
      <x:c r="J927" s="15" t="str">
        <x:v>本港生产/腹地集散/港内加工</x:v>
      </x:c>
      <x:c r="K927" s="15" t="str">
        <x:v>每7个游戏日补充35货载单位。本地、所属岛链或相连腹地供货；成品由港内工坊加工，贸易规模是本作设计。</x:v>
      </x:c>
      <x:c r="L927" s="15" t="str">
        <x:v>港口发展度达到D1（≥100点）；不要求武装度。</x:v>
      </x:c>
    </x:row>
    <x:row r="928" ht="42" customHeight="1">
      <x:c r="A928" s="13" t="str">
        <x:v>P103</x:v>
      </x:c>
      <x:c r="B928" s="13" t="str">
        <x:v>查尔斯顿</x:v>
      </x:c>
      <x:c r="C928" s="13" t="str">
        <x:v>G038</x:v>
      </x:c>
      <x:c r="D928" s="13" t="str">
        <x:v>原棉</x:v>
      </x:c>
      <x:c r="E928" s="27" t="n">
        <x:v>2</x:v>
      </x:c>
      <x:c r="F928" s="27" t="n">
        <x:v>95</x:v>
      </x:c>
      <x:c r="G928" s="27" t="n">
        <x:v>117</x:v>
      </x:c>
      <x:c r="H928" s="27" t="n">
        <x:v>351</x:v>
      </x:c>
      <x:c r="I928" s="52" t="n">
        <x:v>0.8</x:v>
      </x:c>
      <x:c r="J928" s="13" t="str">
        <x:v>本港生产/腹地集散/港内加工</x:v>
      </x:c>
      <x:c r="K928" s="13" t="str">
        <x:v>每7个游戏日补充117货载单位。本地、所属岛链或相连腹地供货；成品由港内工坊加工，贸易规模是本作设计。</x:v>
      </x:c>
      <x:c r="L928" s="13" t="str">
        <x:v>港口发展度达到D2（≥250点）；不要求武装度。</x:v>
      </x:c>
    </x:row>
    <x:row r="929" ht="42" customHeight="1">
      <x:c r="A929" s="15" t="str">
        <x:v>P103</x:v>
      </x:c>
      <x:c r="B929" s="15" t="str">
        <x:v>查尔斯顿</x:v>
      </x:c>
      <x:c r="C929" s="15" t="str">
        <x:v>G079</x:v>
      </x:c>
      <x:c r="D929" s="15" t="str">
        <x:v>皮革</x:v>
      </x:c>
      <x:c r="E929" s="30" t="n">
        <x:v>3</x:v>
      </x:c>
      <x:c r="F929" s="30" t="n">
        <x:v>110</x:v>
      </x:c>
      <x:c r="G929" s="30" t="n">
        <x:v>58</x:v>
      </x:c>
      <x:c r="H929" s="30" t="n">
        <x:v>174</x:v>
      </x:c>
      <x:c r="I929" s="54" t="n">
        <x:v>0.8</x:v>
      </x:c>
      <x:c r="J929" s="15" t="str">
        <x:v>本港生产/腹地集散/港内加工</x:v>
      </x:c>
      <x:c r="K929" s="15" t="str">
        <x:v>每7个游戏日补充58货载单位。本地、所属岛链或相连腹地供货；成品由港内工坊加工，贸易规模是本作设计。</x:v>
      </x:c>
      <x:c r="L929" s="15" t="str">
        <x:v>港口发展度达到D3（≥450点）；不要求武装度。</x:v>
      </x:c>
    </x:row>
    <x:row r="930" ht="42" customHeight="1">
      <x:c r="A930" s="13" t="str">
        <x:v>P103</x:v>
      </x:c>
      <x:c r="B930" s="13" t="str">
        <x:v>查尔斯顿</x:v>
      </x:c>
      <x:c r="C930" s="13" t="str">
        <x:v>G043</x:v>
      </x:c>
      <x:c r="D930" s="13" t="str">
        <x:v>棉布</x:v>
      </x:c>
      <x:c r="E930" s="27" t="n">
        <x:v>4</x:v>
      </x:c>
      <x:c r="F930" s="27" t="n">
        <x:v>160</x:v>
      </x:c>
      <x:c r="G930" s="27" t="n">
        <x:v>50</x:v>
      </x:c>
      <x:c r="H930" s="27" t="n">
        <x:v>150</x:v>
      </x:c>
      <x:c r="I930" s="52" t="n">
        <x:v>0.87</x:v>
      </x:c>
      <x:c r="J930" s="13" t="str">
        <x:v>本港生产/腹地集散/港内加工</x:v>
      </x:c>
      <x:c r="K930" s="13" t="str">
        <x:v>每7个游戏日补充50货载单位。本地、所属岛链或相连腹地供货；成品由港内工坊加工，贸易规模是本作设计。</x:v>
      </x:c>
      <x:c r="L930" s="13" t="str">
        <x:v>港口发展度达到D4（≥700点）；不要求武装度。</x:v>
      </x:c>
    </x:row>
    <x:row r="931" ht="42" customHeight="1">
      <x:c r="A931" s="15" t="str">
        <x:v>P103</x:v>
      </x:c>
      <x:c r="B931" s="15" t="str">
        <x:v>查尔斯顿</x:v>
      </x:c>
      <x:c r="C931" s="15" t="str">
        <x:v>G098</x:v>
      </x:c>
      <x:c r="D931" s="15" t="str">
        <x:v>书籍</x:v>
      </x:c>
      <x:c r="E931" s="30" t="n">
        <x:v>5</x:v>
      </x:c>
      <x:c r="F931" s="30" t="n">
        <x:v>280</x:v>
      </x:c>
      <x:c r="G931" s="30" t="n">
        <x:v>7</x:v>
      </x:c>
      <x:c r="H931" s="30" t="n">
        <x:v>21</x:v>
      </x:c>
      <x:c r="I931" s="54" t="n">
        <x:v>0.87</x:v>
      </x:c>
      <x:c r="J931" s="15" t="str">
        <x:v>本港生产/腹地集散/港内加工</x:v>
      </x:c>
      <x:c r="K931" s="15" t="str">
        <x:v>每7个游戏日补充7货载单位。本地、所属岛链或相连腹地供货；成品由港内工坊加工，贸易规模是本作设计。</x:v>
      </x:c>
      <x:c r="L931" s="15" t="str">
        <x:v>港口发展度达到D5（≥1000点）；不要求武装度。</x:v>
      </x:c>
    </x:row>
    <x:row r="932" ht="42" customHeight="1">
      <x:c r="A932" s="13" t="str">
        <x:v>P103</x:v>
      </x:c>
      <x:c r="B932" s="13" t="str">
        <x:v>查尔斯顿</x:v>
      </x:c>
      <x:c r="C932" s="13" t="str">
        <x:v>SP103</x:v>
      </x:c>
      <x:c r="D932" s="13" t="str">
        <x:v>潮田雾蓝靛布</x:v>
      </x:c>
      <x:c r="E932" s="27" t="n">
        <x:v>3</x:v>
      </x:c>
      <x:c r="F932" s="27" t="n">
        <x:v>690</x:v>
      </x:c>
      <x:c r="G932" s="27" t="n">
        <x:v>9</x:v>
      </x:c>
      <x:c r="H932" s="27" t="n">
        <x:v>18</x:v>
      </x:c>
      <x:c r="I932" s="52" t="n">
        <x:v>0.78</x:v>
      </x:c>
      <x:c r="J932" s="13" t="str">
        <x:v>港口独占原创工坊特产</x:v>
      </x:c>
      <x:c r="K932" s="13" t="str">
        <x:v>每7个游戏日由「潮田靛染总坊」交货9货载；只在本港形成稳定产源。</x:v>
      </x:c>
      <x:c r="L932" s="13" t="str">
        <x:v>港口发展度达到D3（≥450点）时，投资项目「潮田靛染总坊」自动完工；不要求武装度。</x:v>
      </x:c>
    </x:row>
    <x:row r="933" ht="42" customHeight="1">
      <x:c r="A933" s="15" t="str">
        <x:v>P104</x:v>
      </x:c>
      <x:c r="B933" s="15" t="str">
        <x:v>波士顿</x:v>
      </x:c>
      <x:c r="C933" s="15" t="str">
        <x:v>G016</x:v>
      </x:c>
      <x:c r="D933" s="15" t="str">
        <x:v>干鳕鱼</x:v>
      </x:c>
      <x:c r="E933" s="30" t="n">
        <x:v>0</x:v>
      </x:c>
      <x:c r="F933" s="30" t="n">
        <x:v>98</x:v>
      </x:c>
      <x:c r="G933" s="30" t="n">
        <x:v>175</x:v>
      </x:c>
      <x:c r="H933" s="30" t="n">
        <x:v>525</x:v>
      </x:c>
      <x:c r="I933" s="54" t="n">
        <x:v>0.74</x:v>
      </x:c>
      <x:c r="J933" s="15" t="str">
        <x:v>本港生产/腹地集散/港内加工</x:v>
      </x:c>
      <x:c r="K933" s="15" t="str">
        <x:v>每7个游戏日补充175货载单位。本地、所属岛链或相连腹地供货；成品由港内工坊加工，贸易规模是本作设计。</x:v>
      </x:c>
      <x:c r="L933" s="15" t="str">
        <x:v>港口发展度达到D0（≥0点）；不要求武装度。</x:v>
      </x:c>
    </x:row>
    <x:row r="934" ht="42" customHeight="1">
      <x:c r="A934" s="13" t="str">
        <x:v>P104</x:v>
      </x:c>
      <x:c r="B934" s="13" t="str">
        <x:v>波士顿</x:v>
      </x:c>
      <x:c r="C934" s="13" t="str">
        <x:v>G057</x:v>
      </x:c>
      <x:c r="D934" s="13" t="str">
        <x:v>松木</x:v>
      </x:c>
      <x:c r="E934" s="27" t="n">
        <x:v>0</x:v>
      </x:c>
      <x:c r="F934" s="27" t="n">
        <x:v>70</x:v>
      </x:c>
      <x:c r="G934" s="27" t="n">
        <x:v>138</x:v>
      </x:c>
      <x:c r="H934" s="27" t="n">
        <x:v>414</x:v>
      </x:c>
      <x:c r="I934" s="52" t="n">
        <x:v>0.74</x:v>
      </x:c>
      <x:c r="J934" s="13" t="str">
        <x:v>本港生产/腹地集散/港内加工</x:v>
      </x:c>
      <x:c r="K934" s="13" t="str">
        <x:v>每7个游戏日补充138货载单位。本地、所属岛链或相连腹地供货；成品由港内工坊加工，贸易规模是本作设计。</x:v>
      </x:c>
      <x:c r="L934" s="13" t="str">
        <x:v>港口发展度达到D0（≥0点）；不要求武装度。</x:v>
      </x:c>
    </x:row>
    <x:row r="935" ht="42" customHeight="1">
      <x:c r="A935" s="15" t="str">
        <x:v>P104</x:v>
      </x:c>
      <x:c r="B935" s="15" t="str">
        <x:v>波士顿</x:v>
      </x:c>
      <x:c r="C935" s="15" t="str">
        <x:v>G018</x:v>
      </x:c>
      <x:c r="D935" s="15" t="str">
        <x:v>咸牛肉</x:v>
      </x:c>
      <x:c r="E935" s="30" t="n">
        <x:v>1</x:v>
      </x:c>
      <x:c r="F935" s="30" t="n">
        <x:v>82</x:v>
      </x:c>
      <x:c r="G935" s="30" t="n">
        <x:v>166</x:v>
      </x:c>
      <x:c r="H935" s="30" t="n">
        <x:v>498</x:v>
      </x:c>
      <x:c r="I935" s="54" t="n">
        <x:v>0.74</x:v>
      </x:c>
      <x:c r="J935" s="15" t="str">
        <x:v>本港生产/腹地集散/港内加工</x:v>
      </x:c>
      <x:c r="K935" s="15" t="str">
        <x:v>每7个游戏日补充166货载单位。本地、所属岛链或相连腹地供货；成品由港内工坊加工，贸易规模是本作设计。</x:v>
      </x:c>
      <x:c r="L935" s="15" t="str">
        <x:v>港口发展度达到D1（≥100点）；不要求武装度。</x:v>
      </x:c>
    </x:row>
    <x:row r="936" ht="42" customHeight="1">
      <x:c r="A936" s="13" t="str">
        <x:v>P104</x:v>
      </x:c>
      <x:c r="B936" s="13" t="str">
        <x:v>波士顿</x:v>
      </x:c>
      <x:c r="C936" s="13" t="str">
        <x:v>G090</x:v>
      </x:c>
      <x:c r="D936" s="13" t="str">
        <x:v>树脂</x:v>
      </x:c>
      <x:c r="E936" s="27" t="n">
        <x:v>1</x:v>
      </x:c>
      <x:c r="F936" s="27" t="n">
        <x:v>95</x:v>
      </x:c>
      <x:c r="G936" s="27" t="n">
        <x:v>83</x:v>
      </x:c>
      <x:c r="H936" s="27" t="n">
        <x:v>249</x:v>
      </x:c>
      <x:c r="I936" s="52" t="n">
        <x:v>0.74</x:v>
      </x:c>
      <x:c r="J936" s="13" t="str">
        <x:v>本港生产/腹地集散/港内加工</x:v>
      </x:c>
      <x:c r="K936" s="13" t="str">
        <x:v>每7个游戏日补充83货载单位。本地、所属岛链或相连腹地供货；成品由港内工坊加工，贸易规模是本作设计。</x:v>
      </x:c>
      <x:c r="L936" s="13" t="str">
        <x:v>港口发展度达到D1（≥100点）；不要求武装度。</x:v>
      </x:c>
    </x:row>
    <x:row r="937" ht="42" customHeight="1">
      <x:c r="A937" s="15" t="str">
        <x:v>P104</x:v>
      </x:c>
      <x:c r="B937" s="15" t="str">
        <x:v>波士顿</x:v>
      </x:c>
      <x:c r="C937" s="15" t="str">
        <x:v>G080</x:v>
      </x:c>
      <x:c r="D937" s="15" t="str">
        <x:v>毛皮</x:v>
      </x:c>
      <x:c r="E937" s="30" t="n">
        <x:v>2</x:v>
      </x:c>
      <x:c r="F937" s="30" t="n">
        <x:v>240</x:v>
      </x:c>
      <x:c r="G937" s="30" t="n">
        <x:v>13</x:v>
      </x:c>
      <x:c r="H937" s="30" t="n">
        <x:v>39</x:v>
      </x:c>
      <x:c r="I937" s="54" t="n">
        <x:v>0.8</x:v>
      </x:c>
      <x:c r="J937" s="15" t="str">
        <x:v>本港生产/腹地集散/港内加工</x:v>
      </x:c>
      <x:c r="K937" s="15" t="str">
        <x:v>每7个游戏日补充13货载单位。本地、所属岛链或相连腹地供货；成品由港内工坊加工，贸易规模是本作设计。</x:v>
      </x:c>
      <x:c r="L937" s="15" t="str">
        <x:v>港口发展度达到D2（≥250点）；不要求武装度。</x:v>
      </x:c>
    </x:row>
    <x:row r="938" ht="42" customHeight="1">
      <x:c r="A938" s="13" t="str">
        <x:v>P104</x:v>
      </x:c>
      <x:c r="B938" s="13" t="str">
        <x:v>波士顿</x:v>
      </x:c>
      <x:c r="C938" s="13" t="str">
        <x:v>G012</x:v>
      </x:c>
      <x:c r="D938" s="13" t="str">
        <x:v>糖蜜</x:v>
      </x:c>
      <x:c r="E938" s="27" t="n">
        <x:v>3</x:v>
      </x:c>
      <x:c r="F938" s="27" t="n">
        <x:v>70</x:v>
      </x:c>
      <x:c r="G938" s="27" t="n">
        <x:v>66</x:v>
      </x:c>
      <x:c r="H938" s="27" t="n">
        <x:v>198</x:v>
      </x:c>
      <x:c r="I938" s="52" t="n">
        <x:v>1.14</x:v>
      </x:c>
      <x:c r="J938" s="13" t="str">
        <x:v>进口/区域转口</x:v>
      </x:c>
      <x:c r="K938" s="13" t="str">
        <x:v>每7个游戏日补充66货载单位。由区域商队或NPC货船带入；为港口转售供货，不改变商品的原产地区。</x:v>
      </x:c>
      <x:c r="L938" s="13" t="str">
        <x:v>港口发展度达到D3（≥450点）；不要求武装度。</x:v>
      </x:c>
    </x:row>
    <x:row r="939" ht="42" customHeight="1">
      <x:c r="A939" s="15" t="str">
        <x:v>P104</x:v>
      </x:c>
      <x:c r="B939" s="15" t="str">
        <x:v>波士顿</x:v>
      </x:c>
      <x:c r="C939" s="15" t="str">
        <x:v>G025</x:v>
      </x:c>
      <x:c r="D939" s="15" t="str">
        <x:v>朗姆酒</x:v>
      </x:c>
      <x:c r="E939" s="30" t="n">
        <x:v>4</x:v>
      </x:c>
      <x:c r="F939" s="30" t="n">
        <x:v>155</x:v>
      </x:c>
      <x:c r="G939" s="30" t="n">
        <x:v>56</x:v>
      </x:c>
      <x:c r="H939" s="30" t="n">
        <x:v>168</x:v>
      </x:c>
      <x:c r="I939" s="54" t="n">
        <x:v>0.87</x:v>
      </x:c>
      <x:c r="J939" s="15" t="str">
        <x:v>本港生产/腹地集散/港内加工</x:v>
      </x:c>
      <x:c r="K939" s="15" t="str">
        <x:v>每7个游戏日补充56货载单位。本地、所属岛链或相连腹地供货；成品由港内工坊加工，贸易规模是本作设计。</x:v>
      </x:c>
      <x:c r="L939" s="15" t="str">
        <x:v>港口发展度达到D4（≥700点）；不要求武装度。</x:v>
      </x:c>
    </x:row>
    <x:row r="940" ht="42" customHeight="1">
      <x:c r="A940" s="13" t="str">
        <x:v>P104</x:v>
      </x:c>
      <x:c r="B940" s="13" t="str">
        <x:v>波士顿</x:v>
      </x:c>
      <x:c r="C940" s="13" t="str">
        <x:v>G098</x:v>
      </x:c>
      <x:c r="D940" s="13" t="str">
        <x:v>书籍</x:v>
      </x:c>
      <x:c r="E940" s="27" t="n">
        <x:v>5</x:v>
      </x:c>
      <x:c r="F940" s="27" t="n">
        <x:v>280</x:v>
      </x:c>
      <x:c r="G940" s="27" t="n">
        <x:v>8</x:v>
      </x:c>
      <x:c r="H940" s="27" t="n">
        <x:v>24</x:v>
      </x:c>
      <x:c r="I940" s="52" t="n">
        <x:v>0.87</x:v>
      </x:c>
      <x:c r="J940" s="13" t="str">
        <x:v>本港生产/腹地集散/港内加工</x:v>
      </x:c>
      <x:c r="K940" s="13" t="str">
        <x:v>每7个游戏日补充8货载单位。本地、所属岛链或相连腹地供货；成品由港内工坊加工，贸易规模是本作设计。</x:v>
      </x:c>
      <x:c r="L940" s="13" t="str">
        <x:v>港口发展度达到D5（≥1000点）；不要求武装度。</x:v>
      </x:c>
    </x:row>
    <x:row r="941" ht="42" customHeight="1">
      <x:c r="A941" s="15" t="str">
        <x:v>P104</x:v>
      </x:c>
      <x:c r="B941" s="15" t="str">
        <x:v>波士顿</x:v>
      </x:c>
      <x:c r="C941" s="15" t="str">
        <x:v>SP104</x:v>
      </x:c>
      <x:c r="D941" s="15" t="str">
        <x:v>波士顿星港铜版图</x:v>
      </x:c>
      <x:c r="E941" s="30" t="n">
        <x:v>4</x:v>
      </x:c>
      <x:c r="F941" s="30" t="n">
        <x:v>970</x:v>
      </x:c>
      <x:c r="G941" s="30" t="n">
        <x:v>8</x:v>
      </x:c>
      <x:c r="H941" s="30" t="n">
        <x:v>16</x:v>
      </x:c>
      <x:c r="I941" s="54" t="n">
        <x:v>0.78</x:v>
      </x:c>
      <x:c r="J941" s="15" t="str">
        <x:v>港口独占原创工坊特产</x:v>
      </x:c>
      <x:c r="K941" s="15" t="str">
        <x:v>每7个游戏日由「星港铜版印刷坊」交货8货载；只在本港形成稳定产源。</x:v>
      </x:c>
      <x:c r="L941" s="15" t="str">
        <x:v>港口发展度达到D4（≥700点）时，投资项目「星港铜版印刷坊」自动完工；不要求武装度。</x:v>
      </x:c>
    </x:row>
    <x:row r="942" ht="42" customHeight="1">
      <x:c r="A942" s="13" t="str">
        <x:v>P105</x:v>
      </x:c>
      <x:c r="B942" s="13" t="str">
        <x:v>卡塔赫纳</x:v>
      </x:c>
      <x:c r="C942" s="13" t="str">
        <x:v>G015</x:v>
      </x:c>
      <x:c r="D942" s="13" t="str">
        <x:v>咸鱼</x:v>
      </x:c>
      <x:c r="E942" s="27" t="n">
        <x:v>0</x:v>
      </x:c>
      <x:c r="F942" s="27" t="n">
        <x:v>65</x:v>
      </x:c>
      <x:c r="G942" s="27" t="n">
        <x:v>172</x:v>
      </x:c>
      <x:c r="H942" s="27" t="n">
        <x:v>516</x:v>
      </x:c>
      <x:c r="I942" s="52" t="n">
        <x:v>0.74</x:v>
      </x:c>
      <x:c r="J942" s="13" t="str">
        <x:v>本港生产/腹地集散/港内加工</x:v>
      </x:c>
      <x:c r="K942" s="13" t="str">
        <x:v>每7个游戏日补充172货载单位。本地、所属岛链或相连腹地供货；成品由港内工坊加工，贸易规模是本作设计。</x:v>
      </x:c>
      <x:c r="L942" s="13" t="str">
        <x:v>港口发展度达到D0（≥0点）；不要求武装度。</x:v>
      </x:c>
    </x:row>
    <x:row r="943" ht="42" customHeight="1">
      <x:c r="A943" s="15" t="str">
        <x:v>P105</x:v>
      </x:c>
      <x:c r="B943" s="15" t="str">
        <x:v>卡塔赫纳</x:v>
      </x:c>
      <x:c r="C943" s="15" t="str">
        <x:v>G011</x:v>
      </x:c>
      <x:c r="D943" s="15" t="str">
        <x:v>砂糖</x:v>
      </x:c>
      <x:c r="E943" s="30" t="n">
        <x:v>0</x:v>
      </x:c>
      <x:c r="F943" s="30" t="n">
        <x:v>140</x:v>
      </x:c>
      <x:c r="G943" s="30" t="n">
        <x:v>172</x:v>
      </x:c>
      <x:c r="H943" s="30" t="n">
        <x:v>516</x:v>
      </x:c>
      <x:c r="I943" s="54" t="n">
        <x:v>0.74</x:v>
      </x:c>
      <x:c r="J943" s="15" t="str">
        <x:v>本港生产/腹地集散/港内加工</x:v>
      </x:c>
      <x:c r="K943" s="15" t="str">
        <x:v>每7个游戏日补充172货载单位。本地、所属岛链或相连腹地供货；成品由港内工坊加工，贸易规模是本作设计。</x:v>
      </x:c>
      <x:c r="L943" s="15" t="str">
        <x:v>港口发展度达到D0（≥0点）；不要求武装度。</x:v>
      </x:c>
    </x:row>
    <x:row r="944" ht="42" customHeight="1">
      <x:c r="A944" s="13" t="str">
        <x:v>P105</x:v>
      </x:c>
      <x:c r="B944" s="13" t="str">
        <x:v>卡塔赫纳</x:v>
      </x:c>
      <x:c r="C944" s="13" t="str">
        <x:v>G079</x:v>
      </x:c>
      <x:c r="D944" s="13" t="str">
        <x:v>皮革</x:v>
      </x:c>
      <x:c r="E944" s="27" t="n">
        <x:v>1</x:v>
      </x:c>
      <x:c r="F944" s="27" t="n">
        <x:v>110</x:v>
      </x:c>
      <x:c r="G944" s="27" t="n">
        <x:v>82</x:v>
      </x:c>
      <x:c r="H944" s="27" t="n">
        <x:v>246</x:v>
      </x:c>
      <x:c r="I944" s="52" t="n">
        <x:v>0.74</x:v>
      </x:c>
      <x:c r="J944" s="13" t="str">
        <x:v>本港生产/腹地集散/港内加工</x:v>
      </x:c>
      <x:c r="K944" s="13" t="str">
        <x:v>每7个游戏日补充82货载单位。本地、所属岛链或相连腹地供货；成品由港内工坊加工，贸易规模是本作设计。</x:v>
      </x:c>
      <x:c r="L944" s="13" t="str">
        <x:v>港口发展度达到D1（≥100点）；不要求武装度。</x:v>
      </x:c>
    </x:row>
    <x:row r="945" ht="42" customHeight="1">
      <x:c r="A945" s="15" t="str">
        <x:v>P105</x:v>
      </x:c>
      <x:c r="B945" s="15" t="str">
        <x:v>卡塔赫纳</x:v>
      </x:c>
      <x:c r="C945" s="15" t="str">
        <x:v>G097</x:v>
      </x:c>
      <x:c r="D945" s="15" t="str">
        <x:v>烟草</x:v>
      </x:c>
      <x:c r="E945" s="30" t="n">
        <x:v>1</x:v>
      </x:c>
      <x:c r="F945" s="30" t="n">
        <x:v>180</x:v>
      </x:c>
      <x:c r="G945" s="30" t="n">
        <x:v>56</x:v>
      </x:c>
      <x:c r="H945" s="30" t="n">
        <x:v>168</x:v>
      </x:c>
      <x:c r="I945" s="54" t="n">
        <x:v>0.74</x:v>
      </x:c>
      <x:c r="J945" s="15" t="str">
        <x:v>本港生产/腹地集散/港内加工</x:v>
      </x:c>
      <x:c r="K945" s="15" t="str">
        <x:v>每7个游戏日补充56货载单位。本地、所属岛链或相连腹地供货；成品由港内工坊加工，贸易规模是本作设计。</x:v>
      </x:c>
      <x:c r="L945" s="15" t="str">
        <x:v>港口发展度达到D1（≥100点）；不要求武装度。</x:v>
      </x:c>
    </x:row>
    <x:row r="946" ht="42" customHeight="1">
      <x:c r="A946" s="13" t="str">
        <x:v>P105</x:v>
      </x:c>
      <x:c r="B946" s="13" t="str">
        <x:v>卡塔赫纳</x:v>
      </x:c>
      <x:c r="C946" s="13" t="str">
        <x:v>G063</x:v>
      </x:c>
      <x:c r="D946" s="13" t="str">
        <x:v>黄金</x:v>
      </x:c>
      <x:c r="E946" s="27" t="n">
        <x:v>2</x:v>
      </x:c>
      <x:c r="F946" s="27" t="n">
        <x:v>2400</x:v>
      </x:c>
      <x:c r="G946" s="27" t="n">
        <x:v>15</x:v>
      </x:c>
      <x:c r="H946" s="27" t="n">
        <x:v>45</x:v>
      </x:c>
      <x:c r="I946" s="52" t="n">
        <x:v>0.8</x:v>
      </x:c>
      <x:c r="J946" s="13" t="str">
        <x:v>本港生产/腹地集散/港内加工</x:v>
      </x:c>
      <x:c r="K946" s="13" t="str">
        <x:v>每7个游戏日补充15货载单位。本地、所属岛链或相连腹地供货；成品由港内工坊加工，贸易规模是本作设计。</x:v>
      </x:c>
      <x:c r="L946" s="13" t="str">
        <x:v>港口发展度达到D2（≥250点）；不要求武装度。</x:v>
      </x:c>
    </x:row>
    <x:row r="947" ht="42" customHeight="1">
      <x:c r="A947" s="15" t="str">
        <x:v>P105</x:v>
      </x:c>
      <x:c r="B947" s="15" t="str">
        <x:v>卡塔赫纳</x:v>
      </x:c>
      <x:c r="C947" s="15" t="str">
        <x:v>G078</x:v>
      </x:c>
      <x:c r="D947" s="15" t="str">
        <x:v>宝石原石</x:v>
      </x:c>
      <x:c r="E947" s="30" t="n">
        <x:v>3</x:v>
      </x:c>
      <x:c r="F947" s="30" t="n">
        <x:v>820</x:v>
      </x:c>
      <x:c r="G947" s="30" t="n">
        <x:v>4</x:v>
      </x:c>
      <x:c r="H947" s="30" t="n">
        <x:v>12</x:v>
      </x:c>
      <x:c r="I947" s="54" t="n">
        <x:v>1.14</x:v>
      </x:c>
      <x:c r="J947" s="15" t="str">
        <x:v>进口/区域转口</x:v>
      </x:c>
      <x:c r="K947" s="15" t="str">
        <x:v>每7个游戏日补充4货载单位。由区域商队或NPC货船带入；为港口转售供货，不改变商品的原产地区。</x:v>
      </x:c>
      <x:c r="L947" s="15" t="str">
        <x:v>港口发展度达到D3（≥450点）；不要求武装度。</x:v>
      </x:c>
    </x:row>
    <x:row r="948" ht="42" customHeight="1">
      <x:c r="A948" s="13" t="str">
        <x:v>P105</x:v>
      </x:c>
      <x:c r="B948" s="13" t="str">
        <x:v>卡塔赫纳</x:v>
      </x:c>
      <x:c r="C948" s="13" t="str">
        <x:v>G025</x:v>
      </x:c>
      <x:c r="D948" s="13" t="str">
        <x:v>朗姆酒</x:v>
      </x:c>
      <x:c r="E948" s="27" t="n">
        <x:v>4</x:v>
      </x:c>
      <x:c r="F948" s="27" t="n">
        <x:v>155</x:v>
      </x:c>
      <x:c r="G948" s="27" t="n">
        <x:v>55</x:v>
      </x:c>
      <x:c r="H948" s="27" t="n">
        <x:v>165</x:v>
      </x:c>
      <x:c r="I948" s="52" t="n">
        <x:v>0.87</x:v>
      </x:c>
      <x:c r="J948" s="13" t="str">
        <x:v>本港生产/腹地集散/港内加工</x:v>
      </x:c>
      <x:c r="K948" s="13" t="str">
        <x:v>每7个游戏日补充55货载单位。本地、所属岛链或相连腹地供货；成品由港内工坊加工，贸易规模是本作设计。</x:v>
      </x:c>
      <x:c r="L948" s="13" t="str">
        <x:v>港口发展度达到D4（≥700点）；不要求武装度。</x:v>
      </x:c>
    </x:row>
    <x:row r="949" ht="42" customHeight="1">
      <x:c r="A949" s="15" t="str">
        <x:v>P105</x:v>
      </x:c>
      <x:c r="B949" s="15" t="str">
        <x:v>卡塔赫纳</x:v>
      </x:c>
      <x:c r="C949" s="15" t="str">
        <x:v>G073</x:v>
      </x:c>
      <x:c r="D949" s="15" t="str">
        <x:v>珠宝</x:v>
      </x:c>
      <x:c r="E949" s="30" t="n">
        <x:v>5</x:v>
      </x:c>
      <x:c r="F949" s="30" t="n">
        <x:v>760</x:v>
      </x:c>
      <x:c r="G949" s="30" t="n">
        <x:v>8</x:v>
      </x:c>
      <x:c r="H949" s="30" t="n">
        <x:v>24</x:v>
      </x:c>
      <x:c r="I949" s="54" t="n">
        <x:v>0.87</x:v>
      </x:c>
      <x:c r="J949" s="15" t="str">
        <x:v>本港生产/腹地集散/港内加工</x:v>
      </x:c>
      <x:c r="K949" s="15" t="str">
        <x:v>每7个游戏日补充8货载单位。本地、所属岛链或相连腹地供货；成品由港内工坊加工，贸易规模是本作设计。</x:v>
      </x:c>
      <x:c r="L949" s="15" t="str">
        <x:v>港口发展度达到D5（≥1000点）；不要求武装度。</x:v>
      </x:c>
    </x:row>
    <x:row r="950" ht="42" customHeight="1">
      <x:c r="A950" s="13" t="str">
        <x:v>P105</x:v>
      </x:c>
      <x:c r="B950" s="13" t="str">
        <x:v>卡塔赫纳</x:v>
      </x:c>
      <x:c r="C950" s="13" t="str">
        <x:v>SP105</x:v>
      </x:c>
      <x:c r="D950" s="13" t="str">
        <x:v>海堡翡翠潮簪</x:v>
      </x:c>
      <x:c r="E950" s="27" t="n">
        <x:v>4</x:v>
      </x:c>
      <x:c r="F950" s="27" t="n">
        <x:v>1750</x:v>
      </x:c>
      <x:c r="G950" s="27" t="n">
        <x:v>7</x:v>
      </x:c>
      <x:c r="H950" s="27" t="n">
        <x:v>14</x:v>
      </x:c>
      <x:c r="I950" s="52" t="n">
        <x:v>0.78</x:v>
      </x:c>
      <x:c r="J950" s="13" t="str">
        <x:v>港口独占原创工坊特产</x:v>
      </x:c>
      <x:c r="K950" s="13" t="str">
        <x:v>每7个游戏日由「海堡宝石金工作坊」交货7货载；只在本港形成稳定产源。</x:v>
      </x:c>
      <x:c r="L950" s="13" t="str">
        <x:v>港口发展度达到D4（≥700点）时，投资项目「海堡宝石金工作坊」自动完工；不要求武装度。</x:v>
      </x:c>
    </x:row>
    <x:row r="951" ht="42" customHeight="1">
      <x:c r="A951" s="15" t="str">
        <x:v>P106</x:v>
      </x:c>
      <x:c r="B951" s="15" t="str">
        <x:v>贝伦</x:v>
      </x:c>
      <x:c r="C951" s="15" t="str">
        <x:v>G105</x:v>
      </x:c>
      <x:c r="D951" s="15" t="str">
        <x:v>木薯</x:v>
      </x:c>
      <x:c r="E951" s="30" t="n">
        <x:v>0</x:v>
      </x:c>
      <x:c r="F951" s="30" t="n">
        <x:v>36</x:v>
      </x:c>
      <x:c r="G951" s="30" t="n">
        <x:v>164</x:v>
      </x:c>
      <x:c r="H951" s="30" t="n">
        <x:v>492</x:v>
      </x:c>
      <x:c r="I951" s="54" t="n">
        <x:v>0.74</x:v>
      </x:c>
      <x:c r="J951" s="15" t="str">
        <x:v>本港生产/腹地集散/港内加工</x:v>
      </x:c>
      <x:c r="K951" s="15" t="str">
        <x:v>每7个游戏日补充164货载单位。本地、所属岛链或相连腹地供货；成品由港内工坊加工，贸易规模是本作设计。</x:v>
      </x:c>
      <x:c r="L951" s="15" t="str">
        <x:v>港口发展度达到D0（≥0点）；不要求武装度。</x:v>
      </x:c>
    </x:row>
    <x:row r="952" ht="42" customHeight="1">
      <x:c r="A952" s="13" t="str">
        <x:v>P106</x:v>
      </x:c>
      <x:c r="B952" s="13" t="str">
        <x:v>贝伦</x:v>
      </x:c>
      <x:c r="C952" s="13" t="str">
        <x:v>G015</x:v>
      </x:c>
      <x:c r="D952" s="13" t="str">
        <x:v>咸鱼</x:v>
      </x:c>
      <x:c r="E952" s="27" t="n">
        <x:v>0</x:v>
      </x:c>
      <x:c r="F952" s="27" t="n">
        <x:v>65</x:v>
      </x:c>
      <x:c r="G952" s="27" t="n">
        <x:v>127</x:v>
      </x:c>
      <x:c r="H952" s="27" t="n">
        <x:v>381</x:v>
      </x:c>
      <x:c r="I952" s="52" t="n">
        <x:v>0.74</x:v>
      </x:c>
      <x:c r="J952" s="13" t="str">
        <x:v>本港生产/腹地集散/港内加工</x:v>
      </x:c>
      <x:c r="K952" s="13" t="str">
        <x:v>每7个游戏日补充127货载单位。本地、所属岛链或相连腹地供货；成品由港内工坊加工，贸易规模是本作设计。</x:v>
      </x:c>
      <x:c r="L952" s="13" t="str">
        <x:v>港口发展度达到D0（≥0点）；不要求武装度。</x:v>
      </x:c>
    </x:row>
    <x:row r="953" ht="42" customHeight="1">
      <x:c r="A953" s="15" t="str">
        <x:v>P106</x:v>
      </x:c>
      <x:c r="B953" s="15" t="str">
        <x:v>贝伦</x:v>
      </x:c>
      <x:c r="C953" s="15" t="str">
        <x:v>G022</x:v>
      </x:c>
      <x:c r="D953" s="15" t="str">
        <x:v>可可</x:v>
      </x:c>
      <x:c r="E953" s="30" t="n">
        <x:v>1</x:v>
      </x:c>
      <x:c r="F953" s="30" t="n">
        <x:v>225</x:v>
      </x:c>
      <x:c r="G953" s="30" t="n">
        <x:v>41</x:v>
      </x:c>
      <x:c r="H953" s="30" t="n">
        <x:v>123</x:v>
      </x:c>
      <x:c r="I953" s="54" t="n">
        <x:v>0.74</x:v>
      </x:c>
      <x:c r="J953" s="15" t="str">
        <x:v>本港生产/腹地集散/港内加工</x:v>
      </x:c>
      <x:c r="K953" s="15" t="str">
        <x:v>每7个游戏日补充41货载单位。本地、所属岛链或相连腹地供货；成品由港内工坊加工，贸易规模是本作设计。</x:v>
      </x:c>
      <x:c r="L953" s="15" t="str">
        <x:v>港口发展度达到D1（≥100点）；不要求武装度。</x:v>
      </x:c>
    </x:row>
    <x:row r="954" ht="42" customHeight="1">
      <x:c r="A954" s="13" t="str">
        <x:v>P106</x:v>
      </x:c>
      <x:c r="B954" s="13" t="str">
        <x:v>贝伦</x:v>
      </x:c>
      <x:c r="C954" s="13" t="str">
        <x:v>G110</x:v>
      </x:c>
      <x:c r="D954" s="13" t="str">
        <x:v>硬木</x:v>
      </x:c>
      <x:c r="E954" s="27" t="n">
        <x:v>1</x:v>
      </x:c>
      <x:c r="F954" s="27" t="n">
        <x:v>135</x:v>
      </x:c>
      <x:c r="G954" s="27" t="n">
        <x:v>95</x:v>
      </x:c>
      <x:c r="H954" s="27" t="n">
        <x:v>285</x:v>
      </x:c>
      <x:c r="I954" s="52" t="n">
        <x:v>0.74</x:v>
      </x:c>
      <x:c r="J954" s="13" t="str">
        <x:v>本港生产/腹地集散/港内加工</x:v>
      </x:c>
      <x:c r="K954" s="13" t="str">
        <x:v>每7个游戏日补充95货载单位。本地、所属岛链或相连腹地供货；成品由港内工坊加工，贸易规模是本作设计。</x:v>
      </x:c>
      <x:c r="L954" s="13" t="str">
        <x:v>港口发展度达到D1（≥100点）；不要求武装度。</x:v>
      </x:c>
    </x:row>
    <x:row r="955" ht="42" customHeight="1">
      <x:c r="A955" s="15" t="str">
        <x:v>P106</x:v>
      </x:c>
      <x:c r="B955" s="15" t="str">
        <x:v>贝伦</x:v>
      </x:c>
      <x:c r="C955" s="15" t="str">
        <x:v>G090</x:v>
      </x:c>
      <x:c r="D955" s="15" t="str">
        <x:v>树脂</x:v>
      </x:c>
      <x:c r="E955" s="30" t="n">
        <x:v>2</x:v>
      </x:c>
      <x:c r="F955" s="30" t="n">
        <x:v>95</x:v>
      </x:c>
      <x:c r="G955" s="30" t="n">
        <x:v>54</x:v>
      </x:c>
      <x:c r="H955" s="30" t="n">
        <x:v>162</x:v>
      </x:c>
      <x:c r="I955" s="54" t="n">
        <x:v>0.8</x:v>
      </x:c>
      <x:c r="J955" s="15" t="str">
        <x:v>本港生产/腹地集散/港内加工</x:v>
      </x:c>
      <x:c r="K955" s="15" t="str">
        <x:v>每7个游戏日补充54货载单位。本地、所属岛链或相连腹地供货；成品由港内工坊加工，贸易规模是本作设计。</x:v>
      </x:c>
      <x:c r="L955" s="15" t="str">
        <x:v>港口发展度达到D2（≥250点）；不要求武装度。</x:v>
      </x:c>
    </x:row>
    <x:row r="956" ht="42" customHeight="1">
      <x:c r="A956" s="13" t="str">
        <x:v>P106</x:v>
      </x:c>
      <x:c r="B956" s="13" t="str">
        <x:v>贝伦</x:v>
      </x:c>
      <x:c r="C956" s="13" t="str">
        <x:v>G101</x:v>
      </x:c>
      <x:c r="D956" s="13" t="str">
        <x:v>药草</x:v>
      </x:c>
      <x:c r="E956" s="27" t="n">
        <x:v>3</x:v>
      </x:c>
      <x:c r="F956" s="27" t="n">
        <x:v>130</x:v>
      </x:c>
      <x:c r="G956" s="27" t="n">
        <x:v>21</x:v>
      </x:c>
      <x:c r="H956" s="27" t="n">
        <x:v>63</x:v>
      </x:c>
      <x:c r="I956" s="52" t="n">
        <x:v>0.8</x:v>
      </x:c>
      <x:c r="J956" s="13" t="str">
        <x:v>本港生产/腹地集散/港内加工</x:v>
      </x:c>
      <x:c r="K956" s="13" t="str">
        <x:v>每7个游戏日补充21货载单位。本地、所属岛链或相连腹地供货；成品由港内工坊加工，贸易规模是本作设计。</x:v>
      </x:c>
      <x:c r="L956" s="13" t="str">
        <x:v>港口发展度达到D3（≥450点）；不要求武装度。</x:v>
      </x:c>
    </x:row>
    <x:row r="957" ht="42" customHeight="1">
      <x:c r="A957" s="15" t="str">
        <x:v>P106</x:v>
      </x:c>
      <x:c r="B957" s="15" t="str">
        <x:v>贝伦</x:v>
      </x:c>
      <x:c r="C957" s="15" t="str">
        <x:v>G081</x:v>
      </x:c>
      <x:c r="D957" s="15" t="str">
        <x:v>羽饰</x:v>
      </x:c>
      <x:c r="E957" s="30" t="n">
        <x:v>4</x:v>
      </x:c>
      <x:c r="F957" s="30" t="n">
        <x:v>420</x:v>
      </x:c>
      <x:c r="G957" s="30" t="n">
        <x:v>17</x:v>
      </x:c>
      <x:c r="H957" s="30" t="n">
        <x:v>51</x:v>
      </x:c>
      <x:c r="I957" s="54" t="n">
        <x:v>0.87</x:v>
      </x:c>
      <x:c r="J957" s="15" t="str">
        <x:v>本港生产/腹地集散/港内加工</x:v>
      </x:c>
      <x:c r="K957" s="15" t="str">
        <x:v>每7个游戏日补充17货载单位。本地、所属岛链或相连腹地供货；成品由港内工坊加工，贸易规模是本作设计。</x:v>
      </x:c>
      <x:c r="L957" s="15" t="str">
        <x:v>港口发展度达到D4（≥700点）；不要求武装度。</x:v>
      </x:c>
    </x:row>
    <x:row r="958" ht="42" customHeight="1">
      <x:c r="A958" s="13" t="str">
        <x:v>P106</x:v>
      </x:c>
      <x:c r="B958" s="13" t="str">
        <x:v>贝伦</x:v>
      </x:c>
      <x:c r="C958" s="13" t="str">
        <x:v>G096</x:v>
      </x:c>
      <x:c r="D958" s="13" t="str">
        <x:v>贝壳工艺品</x:v>
      </x:c>
      <x:c r="E958" s="27" t="n">
        <x:v>5</x:v>
      </x:c>
      <x:c r="F958" s="27" t="n">
        <x:v>210</x:v>
      </x:c>
      <x:c r="G958" s="27" t="n">
        <x:v>14</x:v>
      </x:c>
      <x:c r="H958" s="27" t="n">
        <x:v>42</x:v>
      </x:c>
      <x:c r="I958" s="52" t="n">
        <x:v>0.87</x:v>
      </x:c>
      <x:c r="J958" s="13" t="str">
        <x:v>本港生产/腹地集散/港内加工</x:v>
      </x:c>
      <x:c r="K958" s="13" t="str">
        <x:v>每7个游戏日补充14货载单位。本地、所属岛链或相连腹地供货；成品由港内工坊加工，贸易规模是本作设计。</x:v>
      </x:c>
      <x:c r="L958" s="13" t="str">
        <x:v>港口发展度达到D5（≥1000点）；不要求武装度。</x:v>
      </x:c>
    </x:row>
    <x:row r="959" ht="42" customHeight="1">
      <x:c r="A959" s="15" t="str">
        <x:v>P106</x:v>
      </x:c>
      <x:c r="B959" s="15" t="str">
        <x:v>贝伦</x:v>
      </x:c>
      <x:c r="C959" s="15" t="str">
        <x:v>SP106</x:v>
      </x:c>
      <x:c r="D959" s="15" t="str">
        <x:v>雨林青翼羽绢</x:v>
      </x:c>
      <x:c r="E959" s="30" t="n">
        <x:v>3</x:v>
      </x:c>
      <x:c r="F959" s="30" t="n">
        <x:v>820</x:v>
      </x:c>
      <x:c r="G959" s="30" t="n">
        <x:v>8</x:v>
      </x:c>
      <x:c r="H959" s="30" t="n">
        <x:v>16</x:v>
      </x:c>
      <x:c r="I959" s="54" t="n">
        <x:v>0.78</x:v>
      </x:c>
      <x:c r="J959" s="15" t="str">
        <x:v>港口独占原创工坊特产</x:v>
      </x:c>
      <x:c r="K959" s="15" t="str">
        <x:v>每7个游戏日由「青翼羽饰合作坊」交货8货载；只在本港形成稳定产源。</x:v>
      </x:c>
      <x:c r="L959" s="15" t="str">
        <x:v>港口发展度达到D3（≥450点）时，投资项目「青翼羽饰合作坊」自动完工；不要求武装度。</x:v>
      </x:c>
    </x:row>
    <x:row r="960" ht="42" customHeight="1">
      <x:c r="A960" s="13" t="str">
        <x:v>P107</x:v>
      </x:c>
      <x:c r="B960" s="13" t="str">
        <x:v>萨尔瓦多</x:v>
      </x:c>
      <x:c r="C960" s="13" t="str">
        <x:v>G011</x:v>
      </x:c>
      <x:c r="D960" s="13" t="str">
        <x:v>砂糖</x:v>
      </x:c>
      <x:c r="E960" s="27" t="n">
        <x:v>0</x:v>
      </x:c>
      <x:c r="F960" s="27" t="n">
        <x:v>140</x:v>
      </x:c>
      <x:c r="G960" s="27" t="n">
        <x:v>172</x:v>
      </x:c>
      <x:c r="H960" s="27" t="n">
        <x:v>516</x:v>
      </x:c>
      <x:c r="I960" s="52" t="n">
        <x:v>0.74</x:v>
      </x:c>
      <x:c r="J960" s="13" t="str">
        <x:v>本港生产/腹地集散/港内加工</x:v>
      </x:c>
      <x:c r="K960" s="13" t="str">
        <x:v>每7个游戏日补充172货载单位。本地、所属岛链或相连腹地供货；成品由港内工坊加工，贸易规模是本作设计。</x:v>
      </x:c>
      <x:c r="L960" s="13" t="str">
        <x:v>港口发展度达到D0（≥0点）；不要求武装度。</x:v>
      </x:c>
    </x:row>
    <x:row r="961" ht="42" customHeight="1">
      <x:c r="A961" s="15" t="str">
        <x:v>P107</x:v>
      </x:c>
      <x:c r="B961" s="15" t="str">
        <x:v>萨尔瓦多</x:v>
      </x:c>
      <x:c r="C961" s="15" t="str">
        <x:v>G012</x:v>
      </x:c>
      <x:c r="D961" s="15" t="str">
        <x:v>糖蜜</x:v>
      </x:c>
      <x:c r="E961" s="30" t="n">
        <x:v>0</x:v>
      </x:c>
      <x:c r="F961" s="30" t="n">
        <x:v>70</x:v>
      </x:c>
      <x:c r="G961" s="30" t="n">
        <x:v>172</x:v>
      </x:c>
      <x:c r="H961" s="30" t="n">
        <x:v>516</x:v>
      </x:c>
      <x:c r="I961" s="54" t="n">
        <x:v>0.74</x:v>
      </x:c>
      <x:c r="J961" s="15" t="str">
        <x:v>本港生产/腹地集散/港内加工</x:v>
      </x:c>
      <x:c r="K961" s="15" t="str">
        <x:v>每7个游戏日补充172货载单位。本地、所属岛链或相连腹地供货；成品由港内工坊加工，贸易规模是本作设计。</x:v>
      </x:c>
      <x:c r="L961" s="15" t="str">
        <x:v>港口发展度达到D0（≥0点）；不要求武装度。</x:v>
      </x:c>
    </x:row>
    <x:row r="962" ht="42" customHeight="1">
      <x:c r="A962" s="13" t="str">
        <x:v>P107</x:v>
      </x:c>
      <x:c r="B962" s="13" t="str">
        <x:v>萨尔瓦多</x:v>
      </x:c>
      <x:c r="C962" s="13" t="str">
        <x:v>G105</x:v>
      </x:c>
      <x:c r="D962" s="13" t="str">
        <x:v>木薯</x:v>
      </x:c>
      <x:c r="E962" s="27" t="n">
        <x:v>1</x:v>
      </x:c>
      <x:c r="F962" s="27" t="n">
        <x:v>36</x:v>
      </x:c>
      <x:c r="G962" s="27" t="n">
        <x:v>210</x:v>
      </x:c>
      <x:c r="H962" s="27" t="n">
        <x:v>630</x:v>
      </x:c>
      <x:c r="I962" s="52" t="n">
        <x:v>0.74</x:v>
      </x:c>
      <x:c r="J962" s="13" t="str">
        <x:v>本港生产/腹地集散/港内加工</x:v>
      </x:c>
      <x:c r="K962" s="13" t="str">
        <x:v>每7个游戏日补充210货载单位。本地、所属岛链或相连腹地供货；成品由港内工坊加工，贸易规模是本作设计。</x:v>
      </x:c>
      <x:c r="L962" s="13" t="str">
        <x:v>港口发展度达到D1（≥100点）；不要求武装度。</x:v>
      </x:c>
    </x:row>
    <x:row r="963" ht="42" customHeight="1">
      <x:c r="A963" s="15" t="str">
        <x:v>P107</x:v>
      </x:c>
      <x:c r="B963" s="15" t="str">
        <x:v>萨尔瓦多</x:v>
      </x:c>
      <x:c r="C963" s="15" t="str">
        <x:v>G079</x:v>
      </x:c>
      <x:c r="D963" s="15" t="str">
        <x:v>皮革</x:v>
      </x:c>
      <x:c r="E963" s="30" t="n">
        <x:v>1</x:v>
      </x:c>
      <x:c r="F963" s="30" t="n">
        <x:v>110</x:v>
      </x:c>
      <x:c r="G963" s="30" t="n">
        <x:v>82</x:v>
      </x:c>
      <x:c r="H963" s="30" t="n">
        <x:v>246</x:v>
      </x:c>
      <x:c r="I963" s="54" t="n">
        <x:v>0.74</x:v>
      </x:c>
      <x:c r="J963" s="15" t="str">
        <x:v>本港生产/腹地集散/港内加工</x:v>
      </x:c>
      <x:c r="K963" s="15" t="str">
        <x:v>每7个游戏日补充82货载单位。本地、所属岛链或相连腹地供货；成品由港内工坊加工，贸易规模是本作设计。</x:v>
      </x:c>
      <x:c r="L963" s="15" t="str">
        <x:v>港口发展度达到D1（≥100点）；不要求武装度。</x:v>
      </x:c>
    </x:row>
    <x:row r="964" ht="42" customHeight="1">
      <x:c r="A964" s="13" t="str">
        <x:v>P107</x:v>
      </x:c>
      <x:c r="B964" s="13" t="str">
        <x:v>萨尔瓦多</x:v>
      </x:c>
      <x:c r="C964" s="13" t="str">
        <x:v>G052</x:v>
      </x:c>
      <x:c r="D964" s="13" t="str">
        <x:v>巴西红木</x:v>
      </x:c>
      <x:c r="E964" s="27" t="n">
        <x:v>2</x:v>
      </x:c>
      <x:c r="F964" s="27" t="n">
        <x:v>310</x:v>
      </x:c>
      <x:c r="G964" s="27" t="n">
        <x:v>115</x:v>
      </x:c>
      <x:c r="H964" s="27" t="n">
        <x:v>345</x:v>
      </x:c>
      <x:c r="I964" s="52" t="n">
        <x:v>0.8</x:v>
      </x:c>
      <x:c r="J964" s="13" t="str">
        <x:v>本港生产/腹地集散/港内加工</x:v>
      </x:c>
      <x:c r="K964" s="13" t="str">
        <x:v>每7个游戏日补充115货载单位。本地、所属岛链或相连腹地供货；成品由港内工坊加工，贸易规模是本作设计。</x:v>
      </x:c>
      <x:c r="L964" s="13" t="str">
        <x:v>港口发展度达到D2（≥250点）；不要求武装度。</x:v>
      </x:c>
    </x:row>
    <x:row r="965" ht="42" customHeight="1">
      <x:c r="A965" s="15" t="str">
        <x:v>P107</x:v>
      </x:c>
      <x:c r="B965" s="15" t="str">
        <x:v>萨尔瓦多</x:v>
      </x:c>
      <x:c r="C965" s="15" t="str">
        <x:v>G097</x:v>
      </x:c>
      <x:c r="D965" s="15" t="str">
        <x:v>烟草</x:v>
      </x:c>
      <x:c r="E965" s="30" t="n">
        <x:v>3</x:v>
      </x:c>
      <x:c r="F965" s="30" t="n">
        <x:v>180</x:v>
      </x:c>
      <x:c r="G965" s="30" t="n">
        <x:v>43</x:v>
      </x:c>
      <x:c r="H965" s="30" t="n">
        <x:v>129</x:v>
      </x:c>
      <x:c r="I965" s="54" t="n">
        <x:v>0.8</x:v>
      </x:c>
      <x:c r="J965" s="15" t="str">
        <x:v>本港生产/腹地集散/港内加工</x:v>
      </x:c>
      <x:c r="K965" s="15" t="str">
        <x:v>每7个游戏日补充43货载单位。本地、所属岛链或相连腹地供货；成品由港内工坊加工，贸易规模是本作设计。</x:v>
      </x:c>
      <x:c r="L965" s="15" t="str">
        <x:v>港口发展度达到D3（≥450点）；不要求武装度。</x:v>
      </x:c>
    </x:row>
    <x:row r="966" ht="42" customHeight="1">
      <x:c r="A966" s="13" t="str">
        <x:v>P107</x:v>
      </x:c>
      <x:c r="B966" s="13" t="str">
        <x:v>萨尔瓦多</x:v>
      </x:c>
      <x:c r="C966" s="13" t="str">
        <x:v>G025</x:v>
      </x:c>
      <x:c r="D966" s="13" t="str">
        <x:v>朗姆酒</x:v>
      </x:c>
      <x:c r="E966" s="27" t="n">
        <x:v>4</x:v>
      </x:c>
      <x:c r="F966" s="27" t="n">
        <x:v>155</x:v>
      </x:c>
      <x:c r="G966" s="27" t="n">
        <x:v>55</x:v>
      </x:c>
      <x:c r="H966" s="27" t="n">
        <x:v>165</x:v>
      </x:c>
      <x:c r="I966" s="52" t="n">
        <x:v>0.87</x:v>
      </x:c>
      <x:c r="J966" s="13" t="str">
        <x:v>本港生产/腹地集散/港内加工</x:v>
      </x:c>
      <x:c r="K966" s="13" t="str">
        <x:v>每7个游戏日补充55货载单位。本地、所属岛链或相连腹地供货；成品由港内工坊加工，贸易规模是本作设计。</x:v>
      </x:c>
      <x:c r="L966" s="13" t="str">
        <x:v>港口发展度达到D4（≥700点）；不要求武装度。</x:v>
      </x:c>
    </x:row>
    <x:row r="967" ht="42" customHeight="1">
      <x:c r="A967" s="15" t="str">
        <x:v>P107</x:v>
      </x:c>
      <x:c r="B967" s="15" t="str">
        <x:v>萨尔瓦多</x:v>
      </x:c>
      <x:c r="C967" s="15" t="str">
        <x:v>G073</x:v>
      </x:c>
      <x:c r="D967" s="15" t="str">
        <x:v>珠宝</x:v>
      </x:c>
      <x:c r="E967" s="30" t="n">
        <x:v>5</x:v>
      </x:c>
      <x:c r="F967" s="30" t="n">
        <x:v>760</x:v>
      </x:c>
      <x:c r="G967" s="30" t="n">
        <x:v>8</x:v>
      </x:c>
      <x:c r="H967" s="30" t="n">
        <x:v>24</x:v>
      </x:c>
      <x:c r="I967" s="54" t="n">
        <x:v>0.87</x:v>
      </x:c>
      <x:c r="J967" s="15" t="str">
        <x:v>本港生产/腹地集散/港内加工</x:v>
      </x:c>
      <x:c r="K967" s="15" t="str">
        <x:v>每7个游戏日补充8货载单位。本地、所属岛链或相连腹地供货；成品由港内工坊加工，贸易规模是本作设计。</x:v>
      </x:c>
      <x:c r="L967" s="15" t="str">
        <x:v>港口发展度达到D5（≥1000点）；不要求武装度。</x:v>
      </x:c>
    </x:row>
    <x:row r="968" ht="42" customHeight="1">
      <x:c r="A968" s="13" t="str">
        <x:v>P107</x:v>
      </x:c>
      <x:c r="B968" s="13" t="str">
        <x:v>萨尔瓦多</x:v>
      </x:c>
      <x:c r="C968" s="13" t="str">
        <x:v>SP107</x:v>
      </x:c>
      <x:c r="D968" s="13" t="str">
        <x:v>诸圣湾红木乐匣</x:v>
      </x:c>
      <x:c r="E968" s="27" t="n">
        <x:v>4</x:v>
      </x:c>
      <x:c r="F968" s="27" t="n">
        <x:v>1240</x:v>
      </x:c>
      <x:c r="G968" s="27" t="n">
        <x:v>7</x:v>
      </x:c>
      <x:c r="H968" s="27" t="n">
        <x:v>14</x:v>
      </x:c>
      <x:c r="I968" s="52" t="n">
        <x:v>0.78</x:v>
      </x:c>
      <x:c r="J968" s="13" t="str">
        <x:v>港口独占原创工坊特产</x:v>
      </x:c>
      <x:c r="K968" s="13" t="str">
        <x:v>每7个游戏日由「红木乐匣工坊」交货7货载；只在本港形成稳定产源。</x:v>
      </x:c>
      <x:c r="L968" s="13" t="str">
        <x:v>港口发展度达到D4（≥700点）时，投资项目「红木乐匣工坊」自动完工；不要求武装度。</x:v>
      </x:c>
    </x:row>
    <x:row r="969" ht="42" customHeight="1">
      <x:c r="A969" s="15" t="str">
        <x:v>P108</x:v>
      </x:c>
      <x:c r="B969" s="15" t="str">
        <x:v>里约热内卢</x:v>
      </x:c>
      <x:c r="C969" s="15" t="str">
        <x:v>G011</x:v>
      </x:c>
      <x:c r="D969" s="15" t="str">
        <x:v>砂糖</x:v>
      </x:c>
      <x:c r="E969" s="30" t="n">
        <x:v>0</x:v>
      </x:c>
      <x:c r="F969" s="30" t="n">
        <x:v>140</x:v>
      </x:c>
      <x:c r="G969" s="30" t="n">
        <x:v>183</x:v>
      </x:c>
      <x:c r="H969" s="30" t="n">
        <x:v>549</x:v>
      </x:c>
      <x:c r="I969" s="54" t="n">
        <x:v>0.74</x:v>
      </x:c>
      <x:c r="J969" s="15" t="str">
        <x:v>本港生产/腹地集散/港内加工</x:v>
      </x:c>
      <x:c r="K969" s="15" t="str">
        <x:v>每7个游戏日补充183货载单位。本地、所属岛链或相连腹地供货；成品由港内工坊加工，贸易规模是本作设计。</x:v>
      </x:c>
      <x:c r="L969" s="15" t="str">
        <x:v>港口发展度达到D0（≥0点）；不要求武装度。</x:v>
      </x:c>
    </x:row>
    <x:row r="970" ht="42" customHeight="1">
      <x:c r="A970" s="13" t="str">
        <x:v>P108</x:v>
      </x:c>
      <x:c r="B970" s="13" t="str">
        <x:v>里约热内卢</x:v>
      </x:c>
      <x:c r="C970" s="13" t="str">
        <x:v>G015</x:v>
      </x:c>
      <x:c r="D970" s="13" t="str">
        <x:v>咸鱼</x:v>
      </x:c>
      <x:c r="E970" s="27" t="n">
        <x:v>0</x:v>
      </x:c>
      <x:c r="F970" s="27" t="n">
        <x:v>65</x:v>
      </x:c>
      <x:c r="G970" s="27" t="n">
        <x:v>183</x:v>
      </x:c>
      <x:c r="H970" s="27" t="n">
        <x:v>549</x:v>
      </x:c>
      <x:c r="I970" s="52" t="n">
        <x:v>0.74</x:v>
      </x:c>
      <x:c r="J970" s="13" t="str">
        <x:v>本港生产/腹地集散/港内加工</x:v>
      </x:c>
      <x:c r="K970" s="13" t="str">
        <x:v>每7个游戏日补充183货载单位。本地、所属岛链或相连腹地供货；成品由港内工坊加工，贸易规模是本作设计。</x:v>
      </x:c>
      <x:c r="L970" s="13" t="str">
        <x:v>港口发展度达到D0（≥0点）；不要求武装度。</x:v>
      </x:c>
    </x:row>
    <x:row r="971" ht="42" customHeight="1">
      <x:c r="A971" s="15" t="str">
        <x:v>P108</x:v>
      </x:c>
      <x:c r="B971" s="15" t="str">
        <x:v>里约热内卢</x:v>
      </x:c>
      <x:c r="C971" s="15" t="str">
        <x:v>G079</x:v>
      </x:c>
      <x:c r="D971" s="15" t="str">
        <x:v>皮革</x:v>
      </x:c>
      <x:c r="E971" s="30" t="n">
        <x:v>1</x:v>
      </x:c>
      <x:c r="F971" s="30" t="n">
        <x:v>110</x:v>
      </x:c>
      <x:c r="G971" s="30" t="n">
        <x:v>87</x:v>
      </x:c>
      <x:c r="H971" s="30" t="n">
        <x:v>261</x:v>
      </x:c>
      <x:c r="I971" s="54" t="n">
        <x:v>0.74</x:v>
      </x:c>
      <x:c r="J971" s="15" t="str">
        <x:v>本港生产/腹地集散/港内加工</x:v>
      </x:c>
      <x:c r="K971" s="15" t="str">
        <x:v>每7个游戏日补充87货载单位。本地、所属岛链或相连腹地供货；成品由港内工坊加工，贸易规模是本作设计。</x:v>
      </x:c>
      <x:c r="L971" s="15" t="str">
        <x:v>港口发展度达到D1（≥100点）；不要求武装度。</x:v>
      </x:c>
    </x:row>
    <x:row r="972" ht="42" customHeight="1">
      <x:c r="A972" s="13" t="str">
        <x:v>P108</x:v>
      </x:c>
      <x:c r="B972" s="13" t="str">
        <x:v>里约热内卢</x:v>
      </x:c>
      <x:c r="C972" s="13" t="str">
        <x:v>G052</x:v>
      </x:c>
      <x:c r="D972" s="13" t="str">
        <x:v>巴西红木</x:v>
      </x:c>
      <x:c r="E972" s="27" t="n">
        <x:v>1</x:v>
      </x:c>
      <x:c r="F972" s="27" t="n">
        <x:v>310</x:v>
      </x:c>
      <x:c r="G972" s="27" t="n">
        <x:v>137</x:v>
      </x:c>
      <x:c r="H972" s="27" t="n">
        <x:v>411</x:v>
      </x:c>
      <x:c r="I972" s="52" t="n">
        <x:v>0.74</x:v>
      </x:c>
      <x:c r="J972" s="13" t="str">
        <x:v>本港生产/腹地集散/港内加工</x:v>
      </x:c>
      <x:c r="K972" s="13" t="str">
        <x:v>每7个游戏日补充137货载单位。本地、所属岛链或相连腹地供货；成品由港内工坊加工，贸易规模是本作设计。</x:v>
      </x:c>
      <x:c r="L972" s="13" t="str">
        <x:v>港口发展度达到D1（≥100点）；不要求武装度。</x:v>
      </x:c>
    </x:row>
    <x:row r="973" ht="42" customHeight="1">
      <x:c r="A973" s="15" t="str">
        <x:v>P108</x:v>
      </x:c>
      <x:c r="B973" s="15" t="str">
        <x:v>里约热内卢</x:v>
      </x:c>
      <x:c r="C973" s="15" t="str">
        <x:v>G063</x:v>
      </x:c>
      <x:c r="D973" s="15" t="str">
        <x:v>黄金</x:v>
      </x:c>
      <x:c r="E973" s="30" t="n">
        <x:v>2</x:v>
      </x:c>
      <x:c r="F973" s="30" t="n">
        <x:v>2400</x:v>
      </x:c>
      <x:c r="G973" s="30" t="n">
        <x:v>16</x:v>
      </x:c>
      <x:c r="H973" s="30" t="n">
        <x:v>48</x:v>
      </x:c>
      <x:c r="I973" s="54" t="n">
        <x:v>0.8</x:v>
      </x:c>
      <x:c r="J973" s="15" t="str">
        <x:v>本港生产/腹地集散/港内加工</x:v>
      </x:c>
      <x:c r="K973" s="15" t="str">
        <x:v>每7个游戏日补充16货载单位。本地、所属岛链或相连腹地供货；成品由港内工坊加工，贸易规模是本作设计。</x:v>
      </x:c>
      <x:c r="L973" s="15" t="str">
        <x:v>港口发展度达到D2（≥250点）；不要求武装度。</x:v>
      </x:c>
    </x:row>
    <x:row r="974" ht="42" customHeight="1">
      <x:c r="A974" s="13" t="str">
        <x:v>P108</x:v>
      </x:c>
      <x:c r="B974" s="13" t="str">
        <x:v>里约热内卢</x:v>
      </x:c>
      <x:c r="C974" s="13" t="str">
        <x:v>G021</x:v>
      </x:c>
      <x:c r="D974" s="13" t="str">
        <x:v>咖啡</x:v>
      </x:c>
      <x:c r="E974" s="27" t="n">
        <x:v>3</x:v>
      </x:c>
      <x:c r="F974" s="27" t="n">
        <x:v>240</x:v>
      </x:c>
      <x:c r="G974" s="27" t="n">
        <x:v>45</x:v>
      </x:c>
      <x:c r="H974" s="27" t="n">
        <x:v>135</x:v>
      </x:c>
      <x:c r="I974" s="52" t="n">
        <x:v>0.8</x:v>
      </x:c>
      <x:c r="J974" s="13" t="str">
        <x:v>本港生产/腹地集散/港内加工</x:v>
      </x:c>
      <x:c r="K974" s="13" t="str">
        <x:v>每7个游戏日补充45货载单位。本地、所属岛链或相连腹地供货；成品由港内工坊加工，贸易规模是本作设计。</x:v>
      </x:c>
      <x:c r="L974" s="13" t="str">
        <x:v>港口发展度达到D3（≥450点）；不要求武装度。</x:v>
      </x:c>
    </x:row>
    <x:row r="975" ht="42" customHeight="1">
      <x:c r="A975" s="15" t="str">
        <x:v>P108</x:v>
      </x:c>
      <x:c r="B975" s="15" t="str">
        <x:v>里约热内卢</x:v>
      </x:c>
      <x:c r="C975" s="15" t="str">
        <x:v>G078</x:v>
      </x:c>
      <x:c r="D975" s="15" t="str">
        <x:v>宝石原石</x:v>
      </x:c>
      <x:c r="E975" s="30" t="n">
        <x:v>4</x:v>
      </x:c>
      <x:c r="F975" s="30" t="n">
        <x:v>820</x:v>
      </x:c>
      <x:c r="G975" s="30" t="n">
        <x:v>6</x:v>
      </x:c>
      <x:c r="H975" s="30" t="n">
        <x:v>18</x:v>
      </x:c>
      <x:c r="I975" s="54" t="n">
        <x:v>0.87</x:v>
      </x:c>
      <x:c r="J975" s="15" t="str">
        <x:v>本港生产/腹地集散/港内加工</x:v>
      </x:c>
      <x:c r="K975" s="15" t="str">
        <x:v>每7个游戏日补充6货载单位。本地、所属岛链或相连腹地供货；成品由港内工坊加工，贸易规模是本作设计。</x:v>
      </x:c>
      <x:c r="L975" s="15" t="str">
        <x:v>港口发展度达到D4（≥700点）；不要求武装度。</x:v>
      </x:c>
    </x:row>
    <x:row r="976" ht="42" customHeight="1">
      <x:c r="A976" s="13" t="str">
        <x:v>P108</x:v>
      </x:c>
      <x:c r="B976" s="13" t="str">
        <x:v>里约热内卢</x:v>
      </x:c>
      <x:c r="C976" s="13" t="str">
        <x:v>G073</x:v>
      </x:c>
      <x:c r="D976" s="13" t="str">
        <x:v>珠宝</x:v>
      </x:c>
      <x:c r="E976" s="27" t="n">
        <x:v>5</x:v>
      </x:c>
      <x:c r="F976" s="27" t="n">
        <x:v>760</x:v>
      </x:c>
      <x:c r="G976" s="27" t="n">
        <x:v>8</x:v>
      </x:c>
      <x:c r="H976" s="27" t="n">
        <x:v>24</x:v>
      </x:c>
      <x:c r="I976" s="52" t="n">
        <x:v>0.87</x:v>
      </x:c>
      <x:c r="J976" s="13" t="str">
        <x:v>本港生产/腹地集散/港内加工</x:v>
      </x:c>
      <x:c r="K976" s="13" t="str">
        <x:v>每7个游戏日补充8货载单位。本地、所属岛链或相连腹地供货；成品由港内工坊加工，贸易规模是本作设计。</x:v>
      </x:c>
      <x:c r="L976" s="13" t="str">
        <x:v>港口发展度达到D5（≥1000点）；不要求武装度。</x:v>
      </x:c>
    </x:row>
    <x:row r="977" ht="42" customHeight="1">
      <x:c r="A977" s="15" t="str">
        <x:v>P108</x:v>
      </x:c>
      <x:c r="B977" s="15" t="str">
        <x:v>里约热内卢</x:v>
      </x:c>
      <x:c r="C977" s="15" t="str">
        <x:v>SP108</x:v>
      </x:c>
      <x:c r="D977" s="15" t="str">
        <x:v>瓜纳巴拉金羽胸针</x:v>
      </x:c>
      <x:c r="E977" s="30" t="n">
        <x:v>4</x:v>
      </x:c>
      <x:c r="F977" s="30" t="n">
        <x:v>1680</x:v>
      </x:c>
      <x:c r="G977" s="30" t="n">
        <x:v>8</x:v>
      </x:c>
      <x:c r="H977" s="30" t="n">
        <x:v>16</x:v>
      </x:c>
      <x:c r="I977" s="54" t="n">
        <x:v>0.78</x:v>
      </x:c>
      <x:c r="J977" s="15" t="str">
        <x:v>港口独占原创工坊特产</x:v>
      </x:c>
      <x:c r="K977" s="15" t="str">
        <x:v>每7个游戏日由「金羽珠宝工坊」交货8货载；只在本港形成稳定产源。</x:v>
      </x:c>
      <x:c r="L977" s="15" t="str">
        <x:v>港口发展度达到D4（≥700点）时，投资项目「金羽珠宝工坊」自动完工；不要求武装度。</x:v>
      </x:c>
    </x:row>
    <x:row r="978" ht="42" customHeight="1">
      <x:c r="A978" s="13" t="str">
        <x:v>P109</x:v>
      </x:c>
      <x:c r="B978" s="13" t="str">
        <x:v>布宜诺斯艾利斯</x:v>
      </x:c>
      <x:c r="C978" s="13" t="str">
        <x:v>G018</x:v>
      </x:c>
      <x:c r="D978" s="13" t="str">
        <x:v>咸牛肉</x:v>
      </x:c>
      <x:c r="E978" s="27" t="n">
        <x:v>0</x:v>
      </x:c>
      <x:c r="F978" s="27" t="n">
        <x:v>82</x:v>
      </x:c>
      <x:c r="G978" s="27" t="n">
        <x:v>153</x:v>
      </x:c>
      <x:c r="H978" s="27" t="n">
        <x:v>459</x:v>
      </x:c>
      <x:c r="I978" s="52" t="n">
        <x:v>0.74</x:v>
      </x:c>
      <x:c r="J978" s="13" t="str">
        <x:v>本港生产/腹地集散/港内加工</x:v>
      </x:c>
      <x:c r="K978" s="13" t="str">
        <x:v>每7个游戏日补充153货载单位。本地、所属岛链或相连腹地供货；成品由港内工坊加工，贸易规模是本作设计。</x:v>
      </x:c>
      <x:c r="L978" s="13" t="str">
        <x:v>港口发展度达到D0（≥0点）；不要求武装度。</x:v>
      </x:c>
    </x:row>
    <x:row r="979" ht="42" customHeight="1">
      <x:c r="A979" s="15" t="str">
        <x:v>P109</x:v>
      </x:c>
      <x:c r="B979" s="15" t="str">
        <x:v>布宜诺斯艾利斯</x:v>
      </x:c>
      <x:c r="C979" s="15" t="str">
        <x:v>G079</x:v>
      </x:c>
      <x:c r="D979" s="15" t="str">
        <x:v>皮革</x:v>
      </x:c>
      <x:c r="E979" s="30" t="n">
        <x:v>0</x:v>
      </x:c>
      <x:c r="F979" s="30" t="n">
        <x:v>110</x:v>
      </x:c>
      <x:c r="G979" s="30" t="n">
        <x:v>76</x:v>
      </x:c>
      <x:c r="H979" s="30" t="n">
        <x:v>228</x:v>
      </x:c>
      <x:c r="I979" s="54" t="n">
        <x:v>0.74</x:v>
      </x:c>
      <x:c r="J979" s="15" t="str">
        <x:v>本港生产/腹地集散/港内加工</x:v>
      </x:c>
      <x:c r="K979" s="15" t="str">
        <x:v>每7个游戏日补充76货载单位。本地、所属岛链或相连腹地供货；成品由港内工坊加工，贸易规模是本作设计。</x:v>
      </x:c>
      <x:c r="L979" s="15" t="str">
        <x:v>港口发展度达到D0（≥0点）；不要求武装度。</x:v>
      </x:c>
    </x:row>
    <x:row r="980" ht="42" customHeight="1">
      <x:c r="A980" s="13" t="str">
        <x:v>P109</x:v>
      </x:c>
      <x:c r="B980" s="13" t="str">
        <x:v>布宜诺斯艾利斯</x:v>
      </x:c>
      <x:c r="C980" s="13" t="str">
        <x:v>G001</x:v>
      </x:c>
      <x:c r="D980" s="13" t="str">
        <x:v>小麦</x:v>
      </x:c>
      <x:c r="E980" s="27" t="n">
        <x:v>1</x:v>
      </x:c>
      <x:c r="F980" s="27" t="n">
        <x:v>45</x:v>
      </x:c>
      <x:c r="G980" s="27" t="n">
        <x:v>186</x:v>
      </x:c>
      <x:c r="H980" s="27" t="n">
        <x:v>558</x:v>
      </x:c>
      <x:c r="I980" s="52" t="n">
        <x:v>0.74</x:v>
      </x:c>
      <x:c r="J980" s="13" t="str">
        <x:v>本港生产/腹地集散/港内加工</x:v>
      </x:c>
      <x:c r="K980" s="13" t="str">
        <x:v>每7个游戏日补充186货载单位。本地、所属岛链或相连腹地供货；成品由港内工坊加工，贸易规模是本作设计。</x:v>
      </x:c>
      <x:c r="L980" s="13" t="str">
        <x:v>港口发展度达到D1（≥100点）；不要求武装度。</x:v>
      </x:c>
    </x:row>
    <x:row r="981" ht="42" customHeight="1">
      <x:c r="A981" s="15" t="str">
        <x:v>P109</x:v>
      </x:c>
      <x:c r="B981" s="15" t="str">
        <x:v>布宜诺斯艾利斯</x:v>
      </x:c>
      <x:c r="C981" s="15" t="str">
        <x:v>G039</x:v>
      </x:c>
      <x:c r="D981" s="15" t="str">
        <x:v>羊毛</x:v>
      </x:c>
      <x:c r="E981" s="30" t="n">
        <x:v>1</x:v>
      </x:c>
      <x:c r="F981" s="30" t="n">
        <x:v>100</x:v>
      </x:c>
      <x:c r="G981" s="30" t="n">
        <x:v>124</x:v>
      </x:c>
      <x:c r="H981" s="30" t="n">
        <x:v>372</x:v>
      </x:c>
      <x:c r="I981" s="54" t="n">
        <x:v>0.74</x:v>
      </x:c>
      <x:c r="J981" s="15" t="str">
        <x:v>本港生产/腹地集散/港内加工</x:v>
      </x:c>
      <x:c r="K981" s="15" t="str">
        <x:v>每7个游戏日补充124货载单位。本地、所属岛链或相连腹地供货；成品由港内工坊加工，贸易规模是本作设计。</x:v>
      </x:c>
      <x:c r="L981" s="15" t="str">
        <x:v>港口发展度达到D1（≥100点）；不要求武装度。</x:v>
      </x:c>
    </x:row>
    <x:row r="982" ht="42" customHeight="1">
      <x:c r="A982" s="13" t="str">
        <x:v>P109</x:v>
      </x:c>
      <x:c r="B982" s="13" t="str">
        <x:v>布宜诺斯艾利斯</x:v>
      </x:c>
      <x:c r="C982" s="13" t="str">
        <x:v>G028</x:v>
      </x:c>
      <x:c r="D982" s="13" t="str">
        <x:v>马黛茶</x:v>
      </x:c>
      <x:c r="E982" s="27" t="n">
        <x:v>2</x:v>
      </x:c>
      <x:c r="F982" s="27" t="n">
        <x:v>125</x:v>
      </x:c>
      <x:c r="G982" s="27" t="n">
        <x:v>44</x:v>
      </x:c>
      <x:c r="H982" s="27" t="n">
        <x:v>132</x:v>
      </x:c>
      <x:c r="I982" s="52" t="n">
        <x:v>0.8</x:v>
      </x:c>
      <x:c r="J982" s="13" t="str">
        <x:v>本港生产/腹地集散/港内加工</x:v>
      </x:c>
      <x:c r="K982" s="13" t="str">
        <x:v>每7个游戏日补充44货载单位。本地、所属岛链或相连腹地供货；成品由港内工坊加工，贸易规模是本作设计。</x:v>
      </x:c>
      <x:c r="L982" s="13" t="str">
        <x:v>港口发展度达到D2（≥250点）；不要求武装度。</x:v>
      </x:c>
    </x:row>
    <x:row r="983" ht="42" customHeight="1">
      <x:c r="A983" s="15" t="str">
        <x:v>P109</x:v>
      </x:c>
      <x:c r="B983" s="15" t="str">
        <x:v>布宜诺斯艾利斯</x:v>
      </x:c>
      <x:c r="C983" s="15" t="str">
        <x:v>G088</x:v>
      </x:c>
      <x:c r="D983" s="15" t="str">
        <x:v>蜂蜡</x:v>
      </x:c>
      <x:c r="E983" s="30" t="n">
        <x:v>3</x:v>
      </x:c>
      <x:c r="F983" s="30" t="n">
        <x:v>110</x:v>
      </x:c>
      <x:c r="G983" s="30" t="n">
        <x:v>55</x:v>
      </x:c>
      <x:c r="H983" s="30" t="n">
        <x:v>165</x:v>
      </x:c>
      <x:c r="I983" s="54" t="n">
        <x:v>0.8</x:v>
      </x:c>
      <x:c r="J983" s="15" t="str">
        <x:v>本港生产/腹地集散/港内加工</x:v>
      </x:c>
      <x:c r="K983" s="15" t="str">
        <x:v>每7个游戏日补充55货载单位。本地、所属岛链或相连腹地供货；成品由港内工坊加工，贸易规模是本作设计。</x:v>
      </x:c>
      <x:c r="L983" s="15" t="str">
        <x:v>港口发展度达到D3（≥450点）；不要求武装度。</x:v>
      </x:c>
    </x:row>
    <x:row r="984" ht="42" customHeight="1">
      <x:c r="A984" s="13" t="str">
        <x:v>P109</x:v>
      </x:c>
      <x:c r="B984" s="13" t="str">
        <x:v>布宜诺斯艾利斯</x:v>
      </x:c>
      <x:c r="C984" s="13" t="str">
        <x:v>G080</x:v>
      </x:c>
      <x:c r="D984" s="13" t="str">
        <x:v>毛皮</x:v>
      </x:c>
      <x:c r="E984" s="27" t="n">
        <x:v>4</x:v>
      </x:c>
      <x:c r="F984" s="27" t="n">
        <x:v>240</x:v>
      </x:c>
      <x:c r="G984" s="27" t="n">
        <x:v>8</x:v>
      </x:c>
      <x:c r="H984" s="27" t="n">
        <x:v>24</x:v>
      </x:c>
      <x:c r="I984" s="52" t="n">
        <x:v>0.87</x:v>
      </x:c>
      <x:c r="J984" s="13" t="str">
        <x:v>本港生产/腹地集散/港内加工</x:v>
      </x:c>
      <x:c r="K984" s="13" t="str">
        <x:v>每7个游戏日补充8货载单位。本地、所属岛链或相连腹地供货；成品由港内工坊加工，贸易规模是本作设计。</x:v>
      </x:c>
      <x:c r="L984" s="13" t="str">
        <x:v>港口发展度达到D4（≥700点）；不要求武装度。</x:v>
      </x:c>
    </x:row>
    <x:row r="985" ht="42" customHeight="1">
      <x:c r="A985" s="15" t="str">
        <x:v>P109</x:v>
      </x:c>
      <x:c r="B985" s="15" t="str">
        <x:v>布宜诺斯艾利斯</x:v>
      </x:c>
      <x:c r="C985" s="15" t="str">
        <x:v>G073</x:v>
      </x:c>
      <x:c r="D985" s="15" t="str">
        <x:v>珠宝</x:v>
      </x:c>
      <x:c r="E985" s="30" t="n">
        <x:v>5</x:v>
      </x:c>
      <x:c r="F985" s="30" t="n">
        <x:v>760</x:v>
      </x:c>
      <x:c r="G985" s="30" t="n">
        <x:v>4</x:v>
      </x:c>
      <x:c r="H985" s="30" t="n">
        <x:v>12</x:v>
      </x:c>
      <x:c r="I985" s="54" t="n">
        <x:v>1.14</x:v>
      </x:c>
      <x:c r="J985" s="15" t="str">
        <x:v>进口/区域转口</x:v>
      </x:c>
      <x:c r="K985" s="15" t="str">
        <x:v>每7个游戏日补充4货载单位。由区域商队或NPC货船带入；为港口转售供货，不改变商品的原产地区。</x:v>
      </x:c>
      <x:c r="L985" s="15" t="str">
        <x:v>港口发展度达到D5（≥1000点）；不要求武装度。</x:v>
      </x:c>
    </x:row>
    <x:row r="986" ht="42" customHeight="1">
      <x:c r="A986" s="13" t="str">
        <x:v>P109</x:v>
      </x:c>
      <x:c r="B986" s="13" t="str">
        <x:v>布宜诺斯艾利斯</x:v>
      </x:c>
      <x:c r="C986" s="13" t="str">
        <x:v>SP109</x:v>
      </x:c>
      <x:c r="D986" s="13" t="str">
        <x:v>草原银扣长靴</x:v>
      </x:c>
      <x:c r="E986" s="27" t="n">
        <x:v>3</x:v>
      </x:c>
      <x:c r="F986" s="27" t="n">
        <x:v>780</x:v>
      </x:c>
      <x:c r="G986" s="27" t="n">
        <x:v>9</x:v>
      </x:c>
      <x:c r="H986" s="27" t="n">
        <x:v>18</x:v>
      </x:c>
      <x:c r="I986" s="52" t="n">
        <x:v>0.78</x:v>
      </x:c>
      <x:c r="J986" s="13" t="str">
        <x:v>港口独占原创工坊特产</x:v>
      </x:c>
      <x:c r="K986" s="13" t="str">
        <x:v>每7个游戏日由「草原骑航皮具坊」交货9货载；只在本港形成稳定产源。</x:v>
      </x:c>
      <x:c r="L986" s="13" t="str">
        <x:v>港口发展度达到D3（≥450点）时，投资项目「草原骑航皮具坊」自动完工；不要求武装度。</x:v>
      </x:c>
    </x:row>
    <x:row r="987" ht="42" customHeight="1">
      <x:c r="A987" s="15" t="str">
        <x:v>P110</x:v>
      </x:c>
      <x:c r="B987" s="15" t="str">
        <x:v>蒙得维的亚</x:v>
      </x:c>
      <x:c r="C987" s="15" t="str">
        <x:v>G018</x:v>
      </x:c>
      <x:c r="D987" s="15" t="str">
        <x:v>咸牛肉</x:v>
      </x:c>
      <x:c r="E987" s="30" t="n">
        <x:v>0</x:v>
      </x:c>
      <x:c r="F987" s="30" t="n">
        <x:v>82</x:v>
      </x:c>
      <x:c r="G987" s="30" t="n">
        <x:v>130</x:v>
      </x:c>
      <x:c r="H987" s="30" t="n">
        <x:v>390</x:v>
      </x:c>
      <x:c r="I987" s="54" t="n">
        <x:v>0.74</x:v>
      </x:c>
      <x:c r="J987" s="15" t="str">
        <x:v>本港生产/腹地集散/港内加工</x:v>
      </x:c>
      <x:c r="K987" s="15" t="str">
        <x:v>每7个游戏日补充130货载单位。本地、所属岛链或相连腹地供货；成品由港内工坊加工，贸易规模是本作设计。</x:v>
      </x:c>
      <x:c r="L987" s="15" t="str">
        <x:v>港口发展度达到D0（≥0点）；不要求武装度。</x:v>
      </x:c>
    </x:row>
    <x:row r="988" ht="42" customHeight="1">
      <x:c r="A988" s="13" t="str">
        <x:v>P110</x:v>
      </x:c>
      <x:c r="B988" s="13" t="str">
        <x:v>蒙得维的亚</x:v>
      </x:c>
      <x:c r="C988" s="13" t="str">
        <x:v>G079</x:v>
      </x:c>
      <x:c r="D988" s="13" t="str">
        <x:v>皮革</x:v>
      </x:c>
      <x:c r="E988" s="27" t="n">
        <x:v>0</x:v>
      </x:c>
      <x:c r="F988" s="27" t="n">
        <x:v>110</x:v>
      </x:c>
      <x:c r="G988" s="27" t="n">
        <x:v>65</x:v>
      </x:c>
      <x:c r="H988" s="27" t="n">
        <x:v>195</x:v>
      </x:c>
      <x:c r="I988" s="52" t="n">
        <x:v>0.74</x:v>
      </x:c>
      <x:c r="J988" s="13" t="str">
        <x:v>本港生产/腹地集散/港内加工</x:v>
      </x:c>
      <x:c r="K988" s="13" t="str">
        <x:v>每7个游戏日补充65货载单位。本地、所属岛链或相连腹地供货；成品由港内工坊加工，贸易规模是本作设计。</x:v>
      </x:c>
      <x:c r="L988" s="13" t="str">
        <x:v>港口发展度达到D0（≥0点）；不要求武装度。</x:v>
      </x:c>
    </x:row>
    <x:row r="989" ht="42" customHeight="1">
      <x:c r="A989" s="15" t="str">
        <x:v>P110</x:v>
      </x:c>
      <x:c r="B989" s="15" t="str">
        <x:v>蒙得维的亚</x:v>
      </x:c>
      <x:c r="C989" s="15" t="str">
        <x:v>G001</x:v>
      </x:c>
      <x:c r="D989" s="15" t="str">
        <x:v>小麦</x:v>
      </x:c>
      <x:c r="E989" s="30" t="n">
        <x:v>1</x:v>
      </x:c>
      <x:c r="F989" s="30" t="n">
        <x:v>45</x:v>
      </x:c>
      <x:c r="G989" s="30" t="n">
        <x:v>159</x:v>
      </x:c>
      <x:c r="H989" s="30" t="n">
        <x:v>477</x:v>
      </x:c>
      <x:c r="I989" s="54" t="n">
        <x:v>0.74</x:v>
      </x:c>
      <x:c r="J989" s="15" t="str">
        <x:v>本港生产/腹地集散/港内加工</x:v>
      </x:c>
      <x:c r="K989" s="15" t="str">
        <x:v>每7个游戏日补充159货载单位。本地、所属岛链或相连腹地供货；成品由港内工坊加工，贸易规模是本作设计。</x:v>
      </x:c>
      <x:c r="L989" s="15" t="str">
        <x:v>港口发展度达到D1（≥100点）；不要求武装度。</x:v>
      </x:c>
    </x:row>
    <x:row r="990" ht="42" customHeight="1">
      <x:c r="A990" s="13" t="str">
        <x:v>P110</x:v>
      </x:c>
      <x:c r="B990" s="13" t="str">
        <x:v>蒙得维的亚</x:v>
      </x:c>
      <x:c r="C990" s="13" t="str">
        <x:v>G039</x:v>
      </x:c>
      <x:c r="D990" s="13" t="str">
        <x:v>羊毛</x:v>
      </x:c>
      <x:c r="E990" s="27" t="n">
        <x:v>1</x:v>
      </x:c>
      <x:c r="F990" s="27" t="n">
        <x:v>100</x:v>
      </x:c>
      <x:c r="G990" s="27" t="n">
        <x:v>106</x:v>
      </x:c>
      <x:c r="H990" s="27" t="n">
        <x:v>318</x:v>
      </x:c>
      <x:c r="I990" s="52" t="n">
        <x:v>0.74</x:v>
      </x:c>
      <x:c r="J990" s="13" t="str">
        <x:v>本港生产/腹地集散/港内加工</x:v>
      </x:c>
      <x:c r="K990" s="13" t="str">
        <x:v>每7个游戏日补充106货载单位。本地、所属岛链或相连腹地供货；成品由港内工坊加工，贸易规模是本作设计。</x:v>
      </x:c>
      <x:c r="L990" s="13" t="str">
        <x:v>港口发展度达到D1（≥100点）；不要求武装度。</x:v>
      </x:c>
    </x:row>
    <x:row r="991" ht="42" customHeight="1">
      <x:c r="A991" s="15" t="str">
        <x:v>P110</x:v>
      </x:c>
      <x:c r="B991" s="15" t="str">
        <x:v>蒙得维的亚</x:v>
      </x:c>
      <x:c r="C991" s="15" t="str">
        <x:v>G028</x:v>
      </x:c>
      <x:c r="D991" s="15" t="str">
        <x:v>马黛茶</x:v>
      </x:c>
      <x:c r="E991" s="30" t="n">
        <x:v>2</x:v>
      </x:c>
      <x:c r="F991" s="30" t="n">
        <x:v>125</x:v>
      </x:c>
      <x:c r="G991" s="30" t="n">
        <x:v>38</x:v>
      </x:c>
      <x:c r="H991" s="30" t="n">
        <x:v>114</x:v>
      </x:c>
      <x:c r="I991" s="54" t="n">
        <x:v>0.8</x:v>
      </x:c>
      <x:c r="J991" s="15" t="str">
        <x:v>本港生产/腹地集散/港内加工</x:v>
      </x:c>
      <x:c r="K991" s="15" t="str">
        <x:v>每7个游戏日补充38货载单位。本地、所属岛链或相连腹地供货；成品由港内工坊加工，贸易规模是本作设计。</x:v>
      </x:c>
      <x:c r="L991" s="15" t="str">
        <x:v>港口发展度达到D2（≥250点）；不要求武装度。</x:v>
      </x:c>
    </x:row>
    <x:row r="992" ht="42" customHeight="1">
      <x:c r="A992" s="13" t="str">
        <x:v>P110</x:v>
      </x:c>
      <x:c r="B992" s="13" t="str">
        <x:v>蒙得维的亚</x:v>
      </x:c>
      <x:c r="C992" s="13" t="str">
        <x:v>G088</x:v>
      </x:c>
      <x:c r="D992" s="13" t="str">
        <x:v>蜂蜡</x:v>
      </x:c>
      <x:c r="E992" s="27" t="n">
        <x:v>3</x:v>
      </x:c>
      <x:c r="F992" s="27" t="n">
        <x:v>110</x:v>
      </x:c>
      <x:c r="G992" s="27" t="n">
        <x:v>47</x:v>
      </x:c>
      <x:c r="H992" s="27" t="n">
        <x:v>141</x:v>
      </x:c>
      <x:c r="I992" s="52" t="n">
        <x:v>0.8</x:v>
      </x:c>
      <x:c r="J992" s="13" t="str">
        <x:v>本港生产/腹地集散/港内加工</x:v>
      </x:c>
      <x:c r="K992" s="13" t="str">
        <x:v>每7个游戏日补充47货载单位。本地、所属岛链或相连腹地供货；成品由港内工坊加工，贸易规模是本作设计。</x:v>
      </x:c>
      <x:c r="L992" s="13" t="str">
        <x:v>港口发展度达到D3（≥450点）；不要求武装度。</x:v>
      </x:c>
    </x:row>
    <x:row r="993" ht="42" customHeight="1">
      <x:c r="A993" s="15" t="str">
        <x:v>P110</x:v>
      </x:c>
      <x:c r="B993" s="15" t="str">
        <x:v>蒙得维的亚</x:v>
      </x:c>
      <x:c r="C993" s="15" t="str">
        <x:v>G023</x:v>
      </x:c>
      <x:c r="D993" s="15" t="str">
        <x:v>葡萄酒</x:v>
      </x:c>
      <x:c r="E993" s="30" t="n">
        <x:v>4</x:v>
      </x:c>
      <x:c r="F993" s="30" t="n">
        <x:v>115</x:v>
      </x:c>
      <x:c r="G993" s="30" t="n">
        <x:v>22</x:v>
      </x:c>
      <x:c r="H993" s="30" t="n">
        <x:v>66</x:v>
      </x:c>
      <x:c r="I993" s="54" t="n">
        <x:v>1.14</x:v>
      </x:c>
      <x:c r="J993" s="15" t="str">
        <x:v>进口/区域转口</x:v>
      </x:c>
      <x:c r="K993" s="15" t="str">
        <x:v>每7个游戏日补充22货载单位。由区域商队或NPC货船带入；为港口转售供货，不改变商品的原产地区。</x:v>
      </x:c>
      <x:c r="L993" s="15" t="str">
        <x:v>港口发展度达到D4（≥700点）；不要求武装度。</x:v>
      </x:c>
    </x:row>
    <x:row r="994" ht="42" customHeight="1">
      <x:c r="A994" s="13" t="str">
        <x:v>P110</x:v>
      </x:c>
      <x:c r="B994" s="13" t="str">
        <x:v>蒙得维的亚</x:v>
      </x:c>
      <x:c r="C994" s="13" t="str">
        <x:v>G096</x:v>
      </x:c>
      <x:c r="D994" s="13" t="str">
        <x:v>贝壳工艺品</x:v>
      </x:c>
      <x:c r="E994" s="27" t="n">
        <x:v>5</x:v>
      </x:c>
      <x:c r="F994" s="27" t="n">
        <x:v>210</x:v>
      </x:c>
      <x:c r="G994" s="27" t="n">
        <x:v>15</x:v>
      </x:c>
      <x:c r="H994" s="27" t="n">
        <x:v>45</x:v>
      </x:c>
      <x:c r="I994" s="52" t="n">
        <x:v>0.87</x:v>
      </x:c>
      <x:c r="J994" s="13" t="str">
        <x:v>本港生产/腹地集散/港内加工</x:v>
      </x:c>
      <x:c r="K994" s="13" t="str">
        <x:v>每7个游戏日补充15货载单位。本地、所属岛链或相连腹地供货；成品由港内工坊加工，贸易规模是本作设计。</x:v>
      </x:c>
      <x:c r="L994" s="13" t="str">
        <x:v>港口发展度达到D5（≥1000点）；不要求武装度。</x:v>
      </x:c>
    </x:row>
    <x:row r="995" ht="42" customHeight="1">
      <x:c r="A995" s="15" t="str">
        <x:v>P110</x:v>
      </x:c>
      <x:c r="B995" s="15" t="str">
        <x:v>蒙得维的亚</x:v>
      </x:c>
      <x:c r="C995" s="15" t="str">
        <x:v>SP110</x:v>
      </x:c>
      <x:c r="D995" s="15" t="str">
        <x:v>南十字烘香马黛</x:v>
      </x:c>
      <x:c r="E995" s="30" t="n">
        <x:v>3</x:v>
      </x:c>
      <x:c r="F995" s="30" t="n">
        <x:v>490</x:v>
      </x:c>
      <x:c r="G995" s="30" t="n">
        <x:v>8</x:v>
      </x:c>
      <x:c r="H995" s="30" t="n">
        <x:v>16</x:v>
      </x:c>
      <x:c r="I995" s="54" t="n">
        <x:v>0.78</x:v>
      </x:c>
      <x:c r="J995" s="15" t="str">
        <x:v>港口独占原创工坊特产</x:v>
      </x:c>
      <x:c r="K995" s="15" t="str">
        <x:v>每7个游戏日由「南十字烘香茶坊」交货8货载；只在本港形成稳定产源。</x:v>
      </x:c>
      <x:c r="L995" s="15" t="str">
        <x:v>港口发展度达到D3（≥450点）时，投资项目「南十字烘香茶坊」自动完工；不要求武装度。</x:v>
      </x:c>
    </x:row>
    <x:row r="996" ht="42" customHeight="1">
      <x:c r="A996" s="13" t="str">
        <x:v>P111</x:v>
      </x:c>
      <x:c r="B996" s="13" t="str">
        <x:v>瓦尔帕莱索</x:v>
      </x:c>
      <x:c r="C996" s="13" t="str">
        <x:v>G001</x:v>
      </x:c>
      <x:c r="D996" s="13" t="str">
        <x:v>小麦</x:v>
      </x:c>
      <x:c r="E996" s="27" t="n">
        <x:v>0</x:v>
      </x:c>
      <x:c r="F996" s="27" t="n">
        <x:v>45</x:v>
      </x:c>
      <x:c r="G996" s="27" t="n">
        <x:v>182</x:v>
      </x:c>
      <x:c r="H996" s="27" t="n">
        <x:v>546</x:v>
      </x:c>
      <x:c r="I996" s="52" t="n">
        <x:v>0.74</x:v>
      </x:c>
      <x:c r="J996" s="13" t="str">
        <x:v>本港生产/腹地集散/港内加工</x:v>
      </x:c>
      <x:c r="K996" s="13" t="str">
        <x:v>每7个游戏日补充182货载单位。本地、所属岛链或相连腹地供货；成品由港内工坊加工，贸易规模是本作设计。</x:v>
      </x:c>
      <x:c r="L996" s="13" t="str">
        <x:v>港口发展度达到D0（≥0点）；不要求武装度。</x:v>
      </x:c>
    </x:row>
    <x:row r="997" ht="42" customHeight="1">
      <x:c r="A997" s="15" t="str">
        <x:v>P111</x:v>
      </x:c>
      <x:c r="B997" s="15" t="str">
        <x:v>瓦尔帕莱索</x:v>
      </x:c>
      <x:c r="C997" s="15" t="str">
        <x:v>G015</x:v>
      </x:c>
      <x:c r="D997" s="15" t="str">
        <x:v>咸鱼</x:v>
      </x:c>
      <x:c r="E997" s="30" t="n">
        <x:v>0</x:v>
      </x:c>
      <x:c r="F997" s="30" t="n">
        <x:v>65</x:v>
      </x:c>
      <x:c r="G997" s="30" t="n">
        <x:v>141</x:v>
      </x:c>
      <x:c r="H997" s="30" t="n">
        <x:v>423</x:v>
      </x:c>
      <x:c r="I997" s="54" t="n">
        <x:v>0.74</x:v>
      </x:c>
      <x:c r="J997" s="15" t="str">
        <x:v>本港生产/腹地集散/港内加工</x:v>
      </x:c>
      <x:c r="K997" s="15" t="str">
        <x:v>每7个游戏日补充141货载单位。本地、所属岛链或相连腹地供货；成品由港内工坊加工，贸易规模是本作设计。</x:v>
      </x:c>
      <x:c r="L997" s="15" t="str">
        <x:v>港口发展度达到D0（≥0点）；不要求武装度。</x:v>
      </x:c>
    </x:row>
    <x:row r="998" ht="42" customHeight="1">
      <x:c r="A998" s="13" t="str">
        <x:v>P111</x:v>
      </x:c>
      <x:c r="B998" s="13" t="str">
        <x:v>瓦尔帕莱索</x:v>
      </x:c>
      <x:c r="C998" s="13" t="str">
        <x:v>G023</x:v>
      </x:c>
      <x:c r="D998" s="13" t="str">
        <x:v>葡萄酒</x:v>
      </x:c>
      <x:c r="E998" s="27" t="n">
        <x:v>1</x:v>
      </x:c>
      <x:c r="F998" s="27" t="n">
        <x:v>115</x:v>
      </x:c>
      <x:c r="G998" s="27" t="n">
        <x:v>69</x:v>
      </x:c>
      <x:c r="H998" s="27" t="n">
        <x:v>207</x:v>
      </x:c>
      <x:c r="I998" s="52" t="n">
        <x:v>0.74</x:v>
      </x:c>
      <x:c r="J998" s="13" t="str">
        <x:v>本港生产/腹地集散/港内加工</x:v>
      </x:c>
      <x:c r="K998" s="13" t="str">
        <x:v>每7个游戏日补充69货载单位。本地、所属岛链或相连腹地供货；成品由港内工坊加工，贸易规模是本作设计。</x:v>
      </x:c>
      <x:c r="L998" s="13" t="str">
        <x:v>港口发展度达到D1（≥100点）；不要求武装度。</x:v>
      </x:c>
    </x:row>
    <x:row r="999" ht="42" customHeight="1">
      <x:c r="A999" s="15" t="str">
        <x:v>P111</x:v>
      </x:c>
      <x:c r="B999" s="15" t="str">
        <x:v>瓦尔帕莱索</x:v>
      </x:c>
      <x:c r="C999" s="15" t="str">
        <x:v>G079</x:v>
      </x:c>
      <x:c r="D999" s="15" t="str">
        <x:v>皮革</x:v>
      </x:c>
      <x:c r="E999" s="30" t="n">
        <x:v>1</x:v>
      </x:c>
      <x:c r="F999" s="30" t="n">
        <x:v>110</x:v>
      </x:c>
      <x:c r="G999" s="30" t="n">
        <x:v>67</x:v>
      </x:c>
      <x:c r="H999" s="30" t="n">
        <x:v>201</x:v>
      </x:c>
      <x:c r="I999" s="54" t="n">
        <x:v>0.74</x:v>
      </x:c>
      <x:c r="J999" s="15" t="str">
        <x:v>本港生产/腹地集散/港内加工</x:v>
      </x:c>
      <x:c r="K999" s="15" t="str">
        <x:v>每7个游戏日补充67货载单位。本地、所属岛链或相连腹地供货；成品由港内工坊加工，贸易规模是本作设计。</x:v>
      </x:c>
      <x:c r="L999" s="15" t="str">
        <x:v>港口发展度达到D1（≥100点）；不要求武装度。</x:v>
      </x:c>
    </x:row>
    <x:row r="1000" ht="42" customHeight="1">
      <x:c r="A1000" s="13" t="str">
        <x:v>P111</x:v>
      </x:c>
      <x:c r="B1000" s="13" t="str">
        <x:v>瓦尔帕莱索</x:v>
      </x:c>
      <x:c r="C1000" s="13" t="str">
        <x:v>G059</x:v>
      </x:c>
      <x:c r="D1000" s="13" t="str">
        <x:v>铜锭</x:v>
      </x:c>
      <x:c r="E1000" s="27" t="n">
        <x:v>2</x:v>
      </x:c>
      <x:c r="F1000" s="27" t="n">
        <x:v>185</x:v>
      </x:c>
      <x:c r="G1000" s="27" t="n">
        <x:v>34</x:v>
      </x:c>
      <x:c r="H1000" s="27" t="n">
        <x:v>102</x:v>
      </x:c>
      <x:c r="I1000" s="52" t="n">
        <x:v>0.8</x:v>
      </x:c>
      <x:c r="J1000" s="13" t="str">
        <x:v>本港生产/腹地集散/港内加工</x:v>
      </x:c>
      <x:c r="K1000" s="13" t="str">
        <x:v>每7个游戏日补充34货载单位。本地、所属岛链或相连腹地供货；成品由港内工坊加工，贸易规模是本作设计。</x:v>
      </x:c>
      <x:c r="L1000" s="13" t="str">
        <x:v>港口发展度达到D2（≥250点）；不要求武装度。</x:v>
      </x:c>
    </x:row>
    <x:row r="1001" ht="42" customHeight="1">
      <x:c r="A1001" s="15" t="str">
        <x:v>P111</x:v>
      </x:c>
      <x:c r="B1001" s="15" t="str">
        <x:v>瓦尔帕莱索</x:v>
      </x:c>
      <x:c r="C1001" s="15" t="str">
        <x:v>G039</x:v>
      </x:c>
      <x:c r="D1001" s="15" t="str">
        <x:v>羊毛</x:v>
      </x:c>
      <x:c r="E1001" s="30" t="n">
        <x:v>3</x:v>
      </x:c>
      <x:c r="F1001" s="30" t="n">
        <x:v>100</x:v>
      </x:c>
      <x:c r="G1001" s="30" t="n">
        <x:v>87</x:v>
      </x:c>
      <x:c r="H1001" s="30" t="n">
        <x:v>261</x:v>
      </x:c>
      <x:c r="I1001" s="54" t="n">
        <x:v>0.8</x:v>
      </x:c>
      <x:c r="J1001" s="15" t="str">
        <x:v>本港生产/腹地集散/港内加工</x:v>
      </x:c>
      <x:c r="K1001" s="15" t="str">
        <x:v>每7个游戏日补充87货载单位。本地、所属岛链或相连腹地供货；成品由港内工坊加工，贸易规模是本作设计。</x:v>
      </x:c>
      <x:c r="L1001" s="15" t="str">
        <x:v>港口发展度达到D3（≥450点）；不要求武装度。</x:v>
      </x:c>
    </x:row>
    <x:row r="1002" ht="42" customHeight="1">
      <x:c r="A1002" s="13" t="str">
        <x:v>P111</x:v>
      </x:c>
      <x:c r="B1002" s="13" t="str">
        <x:v>瓦尔帕莱索</x:v>
      </x:c>
      <x:c r="C1002" s="13" t="str">
        <x:v>G093</x:v>
      </x:c>
      <x:c r="D1002" s="13" t="str">
        <x:v>干果</x:v>
      </x:c>
      <x:c r="E1002" s="27" t="n">
        <x:v>4</x:v>
      </x:c>
      <x:c r="F1002" s="27" t="n">
        <x:v>85</x:v>
      </x:c>
      <x:c r="G1002" s="27" t="n">
        <x:v>88</x:v>
      </x:c>
      <x:c r="H1002" s="27" t="n">
        <x:v>264</x:v>
      </x:c>
      <x:c r="I1002" s="52" t="n">
        <x:v>0.87</x:v>
      </x:c>
      <x:c r="J1002" s="13" t="str">
        <x:v>本港生产/腹地集散/港内加工</x:v>
      </x:c>
      <x:c r="K1002" s="13" t="str">
        <x:v>每7个游戏日补充88货载单位。本地、所属岛链或相连腹地供货；成品由港内工坊加工，贸易规模是本作设计。</x:v>
      </x:c>
      <x:c r="L1002" s="13" t="str">
        <x:v>港口发展度达到D4（≥700点）；不要求武装度。</x:v>
      </x:c>
    </x:row>
    <x:row r="1003" ht="42" customHeight="1">
      <x:c r="A1003" s="15" t="str">
        <x:v>P111</x:v>
      </x:c>
      <x:c r="B1003" s="15" t="str">
        <x:v>瓦尔帕莱索</x:v>
      </x:c>
      <x:c r="C1003" s="15" t="str">
        <x:v>G073</x:v>
      </x:c>
      <x:c r="D1003" s="15" t="str">
        <x:v>珠宝</x:v>
      </x:c>
      <x:c r="E1003" s="30" t="n">
        <x:v>5</x:v>
      </x:c>
      <x:c r="F1003" s="30" t="n">
        <x:v>760</x:v>
      </x:c>
      <x:c r="G1003" s="30" t="n">
        <x:v>3</x:v>
      </x:c>
      <x:c r="H1003" s="30" t="n">
        <x:v>9</x:v>
      </x:c>
      <x:c r="I1003" s="54" t="n">
        <x:v>1.14</x:v>
      </x:c>
      <x:c r="J1003" s="15" t="str">
        <x:v>进口/区域转口</x:v>
      </x:c>
      <x:c r="K1003" s="15" t="str">
        <x:v>每7个游戏日补充3货载单位。由区域商队或NPC货船带入；为港口转售供货，不改变商品的原产地区。</x:v>
      </x:c>
      <x:c r="L1003" s="15" t="str">
        <x:v>港口发展度达到D5（≥1000点）；不要求武装度。</x:v>
      </x:c>
    </x:row>
    <x:row r="1004" ht="42" customHeight="1">
      <x:c r="A1004" s="13" t="str">
        <x:v>P111</x:v>
      </x:c>
      <x:c r="B1004" s="13" t="str">
        <x:v>瓦尔帕莱索</x:v>
      </x:c>
      <x:c r="C1004" s="13" t="str">
        <x:v>SP111</x:v>
      </x:c>
      <x:c r="D1004" s="13" t="str">
        <x:v>安第斯风弦铜铃</x:v>
      </x:c>
      <x:c r="E1004" s="27" t="n">
        <x:v>3</x:v>
      </x:c>
      <x:c r="F1004" s="27" t="n">
        <x:v>750</x:v>
      </x:c>
      <x:c r="G1004" s="27" t="n">
        <x:v>8</x:v>
      </x:c>
      <x:c r="H1004" s="27" t="n">
        <x:v>16</x:v>
      </x:c>
      <x:c r="I1004" s="52" t="n">
        <x:v>0.78</x:v>
      </x:c>
      <x:c r="J1004" s="13" t="str">
        <x:v>港口独占原创工坊特产</x:v>
      </x:c>
      <x:c r="K1004" s="13" t="str">
        <x:v>每7个游戏日由「风弦铜作坊」交货8货载；只在本港形成稳定产源。</x:v>
      </x:c>
      <x:c r="L1004" s="13" t="str">
        <x:v>港口发展度达到D3（≥450点）时，投资项目「风弦铜作坊」自动完工；不要求武装度。</x:v>
      </x:c>
    </x:row>
    <x:row r="1005" ht="42" customHeight="1">
      <x:c r="A1005" s="15" t="str">
        <x:v>P112</x:v>
      </x:c>
      <x:c r="B1005" s="15" t="str">
        <x:v>卡亚俄</x:v>
      </x:c>
      <x:c r="C1005" s="15" t="str">
        <x:v>G007</x:v>
      </x:c>
      <x:c r="D1005" s="15" t="str">
        <x:v>马铃薯</x:v>
      </x:c>
      <x:c r="E1005" s="30" t="n">
        <x:v>0</x:v>
      </x:c>
      <x:c r="F1005" s="30" t="n">
        <x:v>32</x:v>
      </x:c>
      <x:c r="G1005" s="30" t="n">
        <x:v>225</x:v>
      </x:c>
      <x:c r="H1005" s="30" t="n">
        <x:v>675</x:v>
      </x:c>
      <x:c r="I1005" s="54" t="n">
        <x:v>0.74</x:v>
      </x:c>
      <x:c r="J1005" s="15" t="str">
        <x:v>本港生产/腹地集散/港内加工</x:v>
      </x:c>
      <x:c r="K1005" s="15" t="str">
        <x:v>每7个游戏日补充225货载单位。本地、所属岛链或相连腹地供货；成品由港内工坊加工，贸易规模是本作设计。</x:v>
      </x:c>
      <x:c r="L1005" s="15" t="str">
        <x:v>港口发展度达到D0（≥0点）；不要求武装度。</x:v>
      </x:c>
    </x:row>
    <x:row r="1006" ht="42" customHeight="1">
      <x:c r="A1006" s="13" t="str">
        <x:v>P112</x:v>
      </x:c>
      <x:c r="B1006" s="13" t="str">
        <x:v>卡亚俄</x:v>
      </x:c>
      <x:c r="C1006" s="13" t="str">
        <x:v>G005</x:v>
      </x:c>
      <x:c r="D1006" s="13" t="str">
        <x:v>玉米</x:v>
      </x:c>
      <x:c r="E1006" s="27" t="n">
        <x:v>0</x:v>
      </x:c>
      <x:c r="F1006" s="27" t="n">
        <x:v>42</x:v>
      </x:c>
      <x:c r="G1006" s="27" t="n">
        <x:v>225</x:v>
      </x:c>
      <x:c r="H1006" s="27" t="n">
        <x:v>675</x:v>
      </x:c>
      <x:c r="I1006" s="52" t="n">
        <x:v>0.74</x:v>
      </x:c>
      <x:c r="J1006" s="13" t="str">
        <x:v>本港生产/腹地集散/港内加工</x:v>
      </x:c>
      <x:c r="K1006" s="13" t="str">
        <x:v>每7个游戏日补充225货载单位。本地、所属岛链或相连腹地供货；成品由港内工坊加工，贸易规模是本作设计。</x:v>
      </x:c>
      <x:c r="L1006" s="13" t="str">
        <x:v>港口发展度达到D0（≥0点）；不要求武装度。</x:v>
      </x:c>
    </x:row>
    <x:row r="1007" ht="42" customHeight="1">
      <x:c r="A1007" s="15" t="str">
        <x:v>P112</x:v>
      </x:c>
      <x:c r="B1007" s="15" t="str">
        <x:v>卡亚俄</x:v>
      </x:c>
      <x:c r="C1007" s="15" t="str">
        <x:v>G015</x:v>
      </x:c>
      <x:c r="D1007" s="15" t="str">
        <x:v>咸鱼</x:v>
      </x:c>
      <x:c r="E1007" s="30" t="n">
        <x:v>1</x:v>
      </x:c>
      <x:c r="F1007" s="30" t="n">
        <x:v>65</x:v>
      </x:c>
      <x:c r="G1007" s="30" t="n">
        <x:v>166</x:v>
      </x:c>
      <x:c r="H1007" s="30" t="n">
        <x:v>498</x:v>
      </x:c>
      <x:c r="I1007" s="54" t="n">
        <x:v>0.74</x:v>
      </x:c>
      <x:c r="J1007" s="15" t="str">
        <x:v>本港生产/腹地集散/港内加工</x:v>
      </x:c>
      <x:c r="K1007" s="15" t="str">
        <x:v>每7个游戏日补充166货载单位。本地、所属岛链或相连腹地供货；成品由港内工坊加工，贸易规模是本作设计。</x:v>
      </x:c>
      <x:c r="L1007" s="15" t="str">
        <x:v>港口发展度达到D1（≥100点）；不要求武装度。</x:v>
      </x:c>
    </x:row>
    <x:row r="1008" ht="42" customHeight="1">
      <x:c r="A1008" s="13" t="str">
        <x:v>P112</x:v>
      </x:c>
      <x:c r="B1008" s="13" t="str">
        <x:v>卡亚俄</x:v>
      </x:c>
      <x:c r="C1008" s="13" t="str">
        <x:v>G039</x:v>
      </x:c>
      <x:c r="D1008" s="13" t="str">
        <x:v>羊毛</x:v>
      </x:c>
      <x:c r="E1008" s="27" t="n">
        <x:v>1</x:v>
      </x:c>
      <x:c r="F1008" s="27" t="n">
        <x:v>100</x:v>
      </x:c>
      <x:c r="G1008" s="27" t="n">
        <x:v>142</x:v>
      </x:c>
      <x:c r="H1008" s="27" t="n">
        <x:v>426</x:v>
      </x:c>
      <x:c r="I1008" s="52" t="n">
        <x:v>0.74</x:v>
      </x:c>
      <x:c r="J1008" s="13" t="str">
        <x:v>本港生产/腹地集散/港内加工</x:v>
      </x:c>
      <x:c r="K1008" s="13" t="str">
        <x:v>每7个游戏日补充142货载单位。本地、所属岛链或相连腹地供货；成品由港内工坊加工，贸易规模是本作设计。</x:v>
      </x:c>
      <x:c r="L1008" s="13" t="str">
        <x:v>港口发展度达到D1（≥100点）；不要求武装度。</x:v>
      </x:c>
    </x:row>
    <x:row r="1009" ht="42" customHeight="1">
      <x:c r="A1009" s="15" t="str">
        <x:v>P112</x:v>
      </x:c>
      <x:c r="B1009" s="15" t="str">
        <x:v>卡亚俄</x:v>
      </x:c>
      <x:c r="C1009" s="15" t="str">
        <x:v>G062</x:v>
      </x:c>
      <x:c r="D1009" s="15" t="str">
        <x:v>白银</x:v>
      </x:c>
      <x:c r="E1009" s="30" t="n">
        <x:v>2</x:v>
      </x:c>
      <x:c r="F1009" s="30" t="n">
        <x:v>850</x:v>
      </x:c>
      <x:c r="G1009" s="30" t="n">
        <x:v>15</x:v>
      </x:c>
      <x:c r="H1009" s="30" t="n">
        <x:v>45</x:v>
      </x:c>
      <x:c r="I1009" s="54" t="n">
        <x:v>0.8</x:v>
      </x:c>
      <x:c r="J1009" s="15" t="str">
        <x:v>本港生产/腹地集散/港内加工</x:v>
      </x:c>
      <x:c r="K1009" s="15" t="str">
        <x:v>每7个游戏日补充15货载单位。本地、所属岛链或相连腹地供货；成品由港内工坊加工，贸易规模是本作设计。</x:v>
      </x:c>
      <x:c r="L1009" s="15" t="str">
        <x:v>港口发展度达到D2（≥250点）；不要求武装度。</x:v>
      </x:c>
    </x:row>
    <x:row r="1010" ht="42" customHeight="1">
      <x:c r="A1010" s="13" t="str">
        <x:v>P112</x:v>
      </x:c>
      <x:c r="B1010" s="13" t="str">
        <x:v>卡亚俄</x:v>
      </x:c>
      <x:c r="C1010" s="13" t="str">
        <x:v>G051</x:v>
      </x:c>
      <x:c r="D1010" s="13" t="str">
        <x:v>胭脂虫红</x:v>
      </x:c>
      <x:c r="E1010" s="27" t="n">
        <x:v>3</x:v>
      </x:c>
      <x:c r="F1010" s="27" t="n">
        <x:v>750</x:v>
      </x:c>
      <x:c r="G1010" s="27" t="n">
        <x:v>29</x:v>
      </x:c>
      <x:c r="H1010" s="27" t="n">
        <x:v>87</x:v>
      </x:c>
      <x:c r="I1010" s="52" t="n">
        <x:v>0.8</x:v>
      </x:c>
      <x:c r="J1010" s="13" t="str">
        <x:v>本港生产/腹地集散/港内加工</x:v>
      </x:c>
      <x:c r="K1010" s="13" t="str">
        <x:v>每7个游戏日补充29货载单位。本地、所属岛链或相连腹地供货；成品由港内工坊加工，贸易规模是本作设计。</x:v>
      </x:c>
      <x:c r="L1010" s="13" t="str">
        <x:v>港口发展度达到D3（≥450点）；不要求武装度。</x:v>
      </x:c>
    </x:row>
    <x:row r="1011" ht="42" customHeight="1">
      <x:c r="A1011" s="15" t="str">
        <x:v>P112</x:v>
      </x:c>
      <x:c r="B1011" s="15" t="str">
        <x:v>卡亚俄</x:v>
      </x:c>
      <x:c r="C1011" s="15" t="str">
        <x:v>G023</x:v>
      </x:c>
      <x:c r="D1011" s="15" t="str">
        <x:v>葡萄酒</x:v>
      </x:c>
      <x:c r="E1011" s="30" t="n">
        <x:v>4</x:v>
      </x:c>
      <x:c r="F1011" s="30" t="n">
        <x:v>115</x:v>
      </x:c>
      <x:c r="G1011" s="30" t="n">
        <x:v>56</x:v>
      </x:c>
      <x:c r="H1011" s="30" t="n">
        <x:v>168</x:v>
      </x:c>
      <x:c r="I1011" s="54" t="n">
        <x:v>0.87</x:v>
      </x:c>
      <x:c r="J1011" s="15" t="str">
        <x:v>本港生产/腹地集散/港内加工</x:v>
      </x:c>
      <x:c r="K1011" s="15" t="str">
        <x:v>每7个游戏日补充56货载单位。本地、所属岛链或相连腹地供货；成品由港内工坊加工，贸易规模是本作设计。</x:v>
      </x:c>
      <x:c r="L1011" s="15" t="str">
        <x:v>港口发展度达到D4（≥700点）；不要求武装度。</x:v>
      </x:c>
    </x:row>
    <x:row r="1012" ht="42" customHeight="1">
      <x:c r="A1012" s="13" t="str">
        <x:v>P112</x:v>
      </x:c>
      <x:c r="B1012" s="13" t="str">
        <x:v>卡亚俄</x:v>
      </x:c>
      <x:c r="C1012" s="13" t="str">
        <x:v>G073</x:v>
      </x:c>
      <x:c r="D1012" s="13" t="str">
        <x:v>珠宝</x:v>
      </x:c>
      <x:c r="E1012" s="27" t="n">
        <x:v>5</x:v>
      </x:c>
      <x:c r="F1012" s="27" t="n">
        <x:v>760</x:v>
      </x:c>
      <x:c r="G1012" s="27" t="n">
        <x:v>8</x:v>
      </x:c>
      <x:c r="H1012" s="27" t="n">
        <x:v>24</x:v>
      </x:c>
      <x:c r="I1012" s="52" t="n">
        <x:v>0.87</x:v>
      </x:c>
      <x:c r="J1012" s="13" t="str">
        <x:v>本港生产/腹地集散/港内加工</x:v>
      </x:c>
      <x:c r="K1012" s="13" t="str">
        <x:v>每7个游戏日补充8货载单位。本地、所属岛链或相连腹地供货；成品由港内工坊加工，贸易规模是本作设计。</x:v>
      </x:c>
      <x:c r="L1012" s="13" t="str">
        <x:v>港口发展度达到D5（≥1000点）；不要求武装度。</x:v>
      </x:c>
    </x:row>
    <x:row r="1013" ht="42" customHeight="1">
      <x:c r="A1013" s="15" t="str">
        <x:v>P112</x:v>
      </x:c>
      <x:c r="B1013" s="15" t="str">
        <x:v>卡亚俄</x:v>
      </x:c>
      <x:c r="C1013" s="15" t="str">
        <x:v>SP112</x:v>
      </x:c>
      <x:c r="D1013" s="15" t="str">
        <x:v>银山潮纹茶盏</x:v>
      </x:c>
      <x:c r="E1013" s="30" t="n">
        <x:v>4</x:v>
      </x:c>
      <x:c r="F1013" s="30" t="n">
        <x:v>1450</x:v>
      </x:c>
      <x:c r="G1013" s="30" t="n">
        <x:v>8</x:v>
      </x:c>
      <x:c r="H1013" s="30" t="n">
        <x:v>16</x:v>
      </x:c>
      <x:c r="I1013" s="54" t="n">
        <x:v>0.78</x:v>
      </x:c>
      <x:c r="J1013" s="15" t="str">
        <x:v>港口独占原创工坊特产</x:v>
      </x:c>
      <x:c r="K1013" s="15" t="str">
        <x:v>每7个游戏日由「银山锤纹工坊」交货8货载；只在本港形成稳定产源。</x:v>
      </x:c>
      <x:c r="L1013" s="15" t="str">
        <x:v>港口发展度达到D4（≥700点）时，投资项目「银山锤纹工坊」自动完工；不要求武装度。</x:v>
      </x:c>
    </x:row>
    <x:row r="1014" ht="42" customHeight="1">
      <x:c r="A1014" s="13" t="str">
        <x:v>P113</x:v>
      </x:c>
      <x:c r="B1014" s="13" t="str">
        <x:v>帝力</x:v>
      </x:c>
      <x:c r="C1014" s="13" t="str">
        <x:v>G004</x:v>
      </x:c>
      <x:c r="D1014" s="13" t="str">
        <x:v>稻米</x:v>
      </x:c>
      <x:c r="E1014" s="27" t="n">
        <x:v>0</x:v>
      </x:c>
      <x:c r="F1014" s="27" t="n">
        <x:v>55</x:v>
      </x:c>
      <x:c r="G1014" s="27" t="n">
        <x:v>80</x:v>
      </x:c>
      <x:c r="H1014" s="27" t="n">
        <x:v>240</x:v>
      </x:c>
      <x:c r="I1014" s="52" t="n">
        <x:v>1.08</x:v>
      </x:c>
      <x:c r="J1014" s="13" t="str">
        <x:v>进口/区域转口</x:v>
      </x:c>
      <x:c r="K1014" s="13" t="str">
        <x:v>每7个游戏日补充80货载单位。由区域商队或NPC货船带入；为港口转售供货，不改变商品的原产地区。</x:v>
      </x:c>
      <x:c r="L1014" s="13" t="str">
        <x:v>港口发展度达到D0（≥0点）；不要求武装度。</x:v>
      </x:c>
    </x:row>
    <x:row r="1015" ht="42" customHeight="1">
      <x:c r="A1015" s="15" t="str">
        <x:v>P113</x:v>
      </x:c>
      <x:c r="B1015" s="15" t="str">
        <x:v>帝力</x:v>
      </x:c>
      <x:c r="C1015" s="15" t="str">
        <x:v>G015</x:v>
      </x:c>
      <x:c r="D1015" s="15" t="str">
        <x:v>咸鱼</x:v>
      </x:c>
      <x:c r="E1015" s="30" t="n">
        <x:v>0</x:v>
      </x:c>
      <x:c r="F1015" s="30" t="n">
        <x:v>65</x:v>
      </x:c>
      <x:c r="G1015" s="30" t="n">
        <x:v>119</x:v>
      </x:c>
      <x:c r="H1015" s="30" t="n">
        <x:v>357</x:v>
      </x:c>
      <x:c r="I1015" s="54" t="n">
        <x:v>0.74</x:v>
      </x:c>
      <x:c r="J1015" s="15" t="str">
        <x:v>本港生产/腹地集散/港内加工</x:v>
      </x:c>
      <x:c r="K1015" s="15" t="str">
        <x:v>每7个游戏日补充119货载单位。本地、所属岛链或相连腹地供货；成品由港内工坊加工，贸易规模是本作设计。</x:v>
      </x:c>
      <x:c r="L1015" s="15" t="str">
        <x:v>港口发展度达到D0（≥0点）；不要求武装度。</x:v>
      </x:c>
    </x:row>
    <x:row r="1016" ht="42" customHeight="1">
      <x:c r="A1016" s="13" t="str">
        <x:v>P113</x:v>
      </x:c>
      <x:c r="B1016" s="13" t="str">
        <x:v>帝力</x:v>
      </x:c>
      <x:c r="C1016" s="13" t="str">
        <x:v>G104</x:v>
      </x:c>
      <x:c r="D1016" s="13" t="str">
        <x:v>芋头</x:v>
      </x:c>
      <x:c r="E1016" s="27" t="n">
        <x:v>1</x:v>
      </x:c>
      <x:c r="F1016" s="27" t="n">
        <x:v>40</x:v>
      </x:c>
      <x:c r="G1016" s="27" t="n">
        <x:v>145</x:v>
      </x:c>
      <x:c r="H1016" s="27" t="n">
        <x:v>435</x:v>
      </x:c>
      <x:c r="I1016" s="52" t="n">
        <x:v>0.74</x:v>
      </x:c>
      <x:c r="J1016" s="13" t="str">
        <x:v>本港生产/腹地集散/港内加工</x:v>
      </x:c>
      <x:c r="K1016" s="13" t="str">
        <x:v>每7个游戏日补充145货载单位。本地、所属岛链或相连腹地供货；成品由港内工坊加工，贸易规模是本作设计。</x:v>
      </x:c>
      <x:c r="L1016" s="13" t="str">
        <x:v>港口发展度达到D1（≥100点）；不要求武装度。</x:v>
      </x:c>
    </x:row>
    <x:row r="1017" ht="42" customHeight="1">
      <x:c r="A1017" s="15" t="str">
        <x:v>P113</x:v>
      </x:c>
      <x:c r="B1017" s="15" t="str">
        <x:v>帝力</x:v>
      </x:c>
      <x:c r="C1017" s="15" t="str">
        <x:v>G095</x:v>
      </x:c>
      <x:c r="D1017" s="15" t="str">
        <x:v>干椰肉</x:v>
      </x:c>
      <x:c r="E1017" s="30" t="n">
        <x:v>1</x:v>
      </x:c>
      <x:c r="F1017" s="30" t="n">
        <x:v>60</x:v>
      </x:c>
      <x:c r="G1017" s="30" t="n">
        <x:v>113</x:v>
      </x:c>
      <x:c r="H1017" s="30" t="n">
        <x:v>339</x:v>
      </x:c>
      <x:c r="I1017" s="54" t="n">
        <x:v>0.74</x:v>
      </x:c>
      <x:c r="J1017" s="15" t="str">
        <x:v>本港生产/腹地集散/港内加工</x:v>
      </x:c>
      <x:c r="K1017" s="15" t="str">
        <x:v>每7个游戏日补充113货载单位。本地、所属岛链或相连腹地供货；成品由港内工坊加工，贸易规模是本作设计。</x:v>
      </x:c>
      <x:c r="L1017" s="15" t="str">
        <x:v>港口发展度达到D1（≥100点）；不要求武装度。</x:v>
      </x:c>
    </x:row>
    <x:row r="1018" ht="42" customHeight="1">
      <x:c r="A1018" s="13" t="str">
        <x:v>P113</x:v>
      </x:c>
      <x:c r="B1018" s="13" t="str">
        <x:v>帝力</x:v>
      </x:c>
      <x:c r="C1018" s="13" t="str">
        <x:v>G054</x:v>
      </x:c>
      <x:c r="D1018" s="13" t="str">
        <x:v>檀香木</x:v>
      </x:c>
      <x:c r="E1018" s="27" t="n">
        <x:v>2</x:v>
      </x:c>
      <x:c r="F1018" s="27" t="n">
        <x:v>480</x:v>
      </x:c>
      <x:c r="G1018" s="27" t="n">
        <x:v>79</x:v>
      </x:c>
      <x:c r="H1018" s="27" t="n">
        <x:v>237</x:v>
      </x:c>
      <x:c r="I1018" s="52" t="n">
        <x:v>0.8</x:v>
      </x:c>
      <x:c r="J1018" s="13" t="str">
        <x:v>本港生产/腹地集散/港内加工</x:v>
      </x:c>
      <x:c r="K1018" s="13" t="str">
        <x:v>每7个游戏日补充79货载单位。本地、所属岛链或相连腹地供货；成品由港内工坊加工，贸易规模是本作设计。</x:v>
      </x:c>
      <x:c r="L1018" s="13" t="str">
        <x:v>港口发展度达到D2（≥250点）；不要求武装度。</x:v>
      </x:c>
    </x:row>
    <x:row r="1019" ht="42" customHeight="1">
      <x:c r="A1019" s="15" t="str">
        <x:v>P113</x:v>
      </x:c>
      <x:c r="B1019" s="15" t="str">
        <x:v>帝力</x:v>
      </x:c>
      <x:c r="C1019" s="15" t="str">
        <x:v>G107</x:v>
      </x:c>
      <x:c r="D1019" s="15" t="str">
        <x:v>藤材</x:v>
      </x:c>
      <x:c r="E1019" s="30" t="n">
        <x:v>3</x:v>
      </x:c>
      <x:c r="F1019" s="30" t="n">
        <x:v>75</x:v>
      </x:c>
      <x:c r="G1019" s="30" t="n">
        <x:v>67</x:v>
      </x:c>
      <x:c r="H1019" s="30" t="n">
        <x:v>201</x:v>
      </x:c>
      <x:c r="I1019" s="54" t="n">
        <x:v>0.8</x:v>
      </x:c>
      <x:c r="J1019" s="15" t="str">
        <x:v>本港生产/腹地集散/港内加工</x:v>
      </x:c>
      <x:c r="K1019" s="15" t="str">
        <x:v>每7个游戏日补充67货载单位。本地、所属岛链或相连腹地供货；成品由港内工坊加工，贸易规模是本作设计。</x:v>
      </x:c>
      <x:c r="L1019" s="15" t="str">
        <x:v>港口发展度达到D3（≥450点）；不要求武装度。</x:v>
      </x:c>
    </x:row>
    <x:row r="1020" ht="42" customHeight="1">
      <x:c r="A1020" s="13" t="str">
        <x:v>P113</x:v>
      </x:c>
      <x:c r="B1020" s="13" t="str">
        <x:v>帝力</x:v>
      </x:c>
      <x:c r="C1020" s="13" t="str">
        <x:v>G109</x:v>
      </x:c>
      <x:c r="D1020" s="13" t="str">
        <x:v>树皮布</x:v>
      </x:c>
      <x:c r="E1020" s="27" t="n">
        <x:v>4</x:v>
      </x:c>
      <x:c r="F1020" s="27" t="n">
        <x:v>195</x:v>
      </x:c>
      <x:c r="G1020" s="27" t="n">
        <x:v>37</x:v>
      </x:c>
      <x:c r="H1020" s="27" t="n">
        <x:v>111</x:v>
      </x:c>
      <x:c r="I1020" s="52" t="n">
        <x:v>0.87</x:v>
      </x:c>
      <x:c r="J1020" s="13" t="str">
        <x:v>本港生产/腹地集散/港内加工</x:v>
      </x:c>
      <x:c r="K1020" s="13" t="str">
        <x:v>每7个游戏日补充37货载单位。本地、所属岛链或相连腹地供货；成品由港内工坊加工，贸易规模是本作设计。</x:v>
      </x:c>
      <x:c r="L1020" s="13" t="str">
        <x:v>港口发展度达到D4（≥700点）；不要求武装度。</x:v>
      </x:c>
    </x:row>
    <x:row r="1021" ht="42" customHeight="1">
      <x:c r="A1021" s="15" t="str">
        <x:v>P113</x:v>
      </x:c>
      <x:c r="B1021" s="15" t="str">
        <x:v>帝力</x:v>
      </x:c>
      <x:c r="C1021" s="15" t="str">
        <x:v>G096</x:v>
      </x:c>
      <x:c r="D1021" s="15" t="str">
        <x:v>贝壳工艺品</x:v>
      </x:c>
      <x:c r="E1021" s="30" t="n">
        <x:v>5</x:v>
      </x:c>
      <x:c r="F1021" s="30" t="n">
        <x:v>210</x:v>
      </x:c>
      <x:c r="G1021" s="30" t="n">
        <x:v>13</x:v>
      </x:c>
      <x:c r="H1021" s="30" t="n">
        <x:v>39</x:v>
      </x:c>
      <x:c r="I1021" s="54" t="n">
        <x:v>0.87</x:v>
      </x:c>
      <x:c r="J1021" s="15" t="str">
        <x:v>本港生产/腹地集散/港内加工</x:v>
      </x:c>
      <x:c r="K1021" s="15" t="str">
        <x:v>每7个游戏日补充13货载单位。本地、所属岛链或相连腹地供货；成品由港内工坊加工，贸易规模是本作设计。</x:v>
      </x:c>
      <x:c r="L1021" s="15" t="str">
        <x:v>港口发展度达到D5（≥1000点）；不要求武装度。</x:v>
      </x:c>
    </x:row>
    <x:row r="1022" ht="42" customHeight="1">
      <x:c r="A1022" s="13" t="str">
        <x:v>P113</x:v>
      </x:c>
      <x:c r="B1022" s="13" t="str">
        <x:v>帝力</x:v>
      </x:c>
      <x:c r="C1022" s="13" t="str">
        <x:v>SP113</x:v>
      </x:c>
      <x:c r="D1022" s="13" t="str">
        <x:v>帝汶暮金檀香绳</x:v>
      </x:c>
      <x:c r="E1022" s="27" t="n">
        <x:v>4</x:v>
      </x:c>
      <x:c r="F1022" s="27" t="n">
        <x:v>860</x:v>
      </x:c>
      <x:c r="G1022" s="27" t="n">
        <x:v>5</x:v>
      </x:c>
      <x:c r="H1022" s="27" t="n">
        <x:v>10</x:v>
      </x:c>
      <x:c r="I1022" s="52" t="n">
        <x:v>0.78</x:v>
      </x:c>
      <x:c r="J1022" s="13" t="str">
        <x:v>港口独占原创工坊特产</x:v>
      </x:c>
      <x:c r="K1022" s="13" t="str">
        <x:v>每7个游戏日由「暮金香绳工坊」交货5货载；只在本港形成稳定产源。</x:v>
      </x:c>
      <x:c r="L1022" s="13" t="str">
        <x:v>港口发展度达到D4（≥700点）时，投资项目「暮金香绳工坊」自动完工；不要求武装度。</x:v>
      </x:c>
    </x:row>
    <x:row r="1023" ht="42" customHeight="1">
      <x:c r="A1023" s="15" t="str">
        <x:v>P114</x:v>
      </x:c>
      <x:c r="B1023" s="15" t="str">
        <x:v>古邦</x:v>
      </x:c>
      <x:c r="C1023" s="15" t="str">
        <x:v>G015</x:v>
      </x:c>
      <x:c r="D1023" s="15" t="str">
        <x:v>咸鱼</x:v>
      </x:c>
      <x:c r="E1023" s="30" t="n">
        <x:v>0</x:v>
      </x:c>
      <x:c r="F1023" s="30" t="n">
        <x:v>65</x:v>
      </x:c>
      <x:c r="G1023" s="30" t="n">
        <x:v>116</x:v>
      </x:c>
      <x:c r="H1023" s="30" t="n">
        <x:v>348</x:v>
      </x:c>
      <x:c r="I1023" s="54" t="n">
        <x:v>0.74</x:v>
      </x:c>
      <x:c r="J1023" s="15" t="str">
        <x:v>本港生产/腹地集散/港内加工</x:v>
      </x:c>
      <x:c r="K1023" s="15" t="str">
        <x:v>每7个游戏日补充116货载单位。本地、所属岛链或相连腹地供货；成品由港内工坊加工，贸易规模是本作设计。</x:v>
      </x:c>
      <x:c r="L1023" s="15" t="str">
        <x:v>港口发展度达到D0（≥0点）；不要求武装度。</x:v>
      </x:c>
    </x:row>
    <x:row r="1024" ht="42" customHeight="1">
      <x:c r="A1024" s="13" t="str">
        <x:v>P114</x:v>
      </x:c>
      <x:c r="B1024" s="13" t="str">
        <x:v>古邦</x:v>
      </x:c>
      <x:c r="C1024" s="13" t="str">
        <x:v>G106</x:v>
      </x:c>
      <x:c r="D1024" s="13" t="str">
        <x:v>西谷米</x:v>
      </x:c>
      <x:c r="E1024" s="27" t="n">
        <x:v>0</x:v>
      </x:c>
      <x:c r="F1024" s="27" t="n">
        <x:v>43</x:v>
      </x:c>
      <x:c r="G1024" s="27" t="n">
        <x:v>78</x:v>
      </x:c>
      <x:c r="H1024" s="27" t="n">
        <x:v>234</x:v>
      </x:c>
      <x:c r="I1024" s="52" t="n">
        <x:v>1.08</x:v>
      </x:c>
      <x:c r="J1024" s="13" t="str">
        <x:v>进口/区域转口</x:v>
      </x:c>
      <x:c r="K1024" s="13" t="str">
        <x:v>每7个游戏日补充78货载单位。由区域商队或NPC货船带入；为港口转售供货，不改变商品的原产地区。</x:v>
      </x:c>
      <x:c r="L1024" s="13" t="str">
        <x:v>港口发展度达到D0（≥0点）；不要求武装度。</x:v>
      </x:c>
    </x:row>
    <x:row r="1025" ht="42" customHeight="1">
      <x:c r="A1025" s="15" t="str">
        <x:v>P114</x:v>
      </x:c>
      <x:c r="B1025" s="15" t="str">
        <x:v>古邦</x:v>
      </x:c>
      <x:c r="C1025" s="15" t="str">
        <x:v>G095</x:v>
      </x:c>
      <x:c r="D1025" s="15" t="str">
        <x:v>干椰肉</x:v>
      </x:c>
      <x:c r="E1025" s="30" t="n">
        <x:v>1</x:v>
      </x:c>
      <x:c r="F1025" s="30" t="n">
        <x:v>60</x:v>
      </x:c>
      <x:c r="G1025" s="30" t="n">
        <x:v>110</x:v>
      </x:c>
      <x:c r="H1025" s="30" t="n">
        <x:v>330</x:v>
      </x:c>
      <x:c r="I1025" s="54" t="n">
        <x:v>0.74</x:v>
      </x:c>
      <x:c r="J1025" s="15" t="str">
        <x:v>本港生产/腹地集散/港内加工</x:v>
      </x:c>
      <x:c r="K1025" s="15" t="str">
        <x:v>每7个游戏日补充110货载单位。本地、所属岛链或相连腹地供货；成品由港内工坊加工，贸易规模是本作设计。</x:v>
      </x:c>
      <x:c r="L1025" s="15" t="str">
        <x:v>港口发展度达到D1（≥100点）；不要求武装度。</x:v>
      </x:c>
    </x:row>
    <x:row r="1026" ht="42" customHeight="1">
      <x:c r="A1026" s="13" t="str">
        <x:v>P114</x:v>
      </x:c>
      <x:c r="B1026" s="13" t="str">
        <x:v>古邦</x:v>
      </x:c>
      <x:c r="C1026" s="13" t="str">
        <x:v>G104</x:v>
      </x:c>
      <x:c r="D1026" s="13" t="str">
        <x:v>芋头</x:v>
      </x:c>
      <x:c r="E1026" s="27" t="n">
        <x:v>1</x:v>
      </x:c>
      <x:c r="F1026" s="27" t="n">
        <x:v>40</x:v>
      </x:c>
      <x:c r="G1026" s="27" t="n">
        <x:v>142</x:v>
      </x:c>
      <x:c r="H1026" s="27" t="n">
        <x:v>426</x:v>
      </x:c>
      <x:c r="I1026" s="52" t="n">
        <x:v>0.74</x:v>
      </x:c>
      <x:c r="J1026" s="13" t="str">
        <x:v>本港生产/腹地集散/港内加工</x:v>
      </x:c>
      <x:c r="K1026" s="13" t="str">
        <x:v>每7个游戏日补充142货载单位。本地、所属岛链或相连腹地供货；成品由港内工坊加工，贸易规模是本作设计。</x:v>
      </x:c>
      <x:c r="L1026" s="13" t="str">
        <x:v>港口发展度达到D1（≥100点）；不要求武装度。</x:v>
      </x:c>
    </x:row>
    <x:row r="1027" ht="42" customHeight="1">
      <x:c r="A1027" s="15" t="str">
        <x:v>P114</x:v>
      </x:c>
      <x:c r="B1027" s="15" t="str">
        <x:v>古邦</x:v>
      </x:c>
      <x:c r="C1027" s="15" t="str">
        <x:v>G054</x:v>
      </x:c>
      <x:c r="D1027" s="15" t="str">
        <x:v>檀香木</x:v>
      </x:c>
      <x:c r="E1027" s="30" t="n">
        <x:v>2</x:v>
      </x:c>
      <x:c r="F1027" s="30" t="n">
        <x:v>480</x:v>
      </x:c>
      <x:c r="G1027" s="30" t="n">
        <x:v>78</x:v>
      </x:c>
      <x:c r="H1027" s="30" t="n">
        <x:v>234</x:v>
      </x:c>
      <x:c r="I1027" s="54" t="n">
        <x:v>0.8</x:v>
      </x:c>
      <x:c r="J1027" s="15" t="str">
        <x:v>本港生产/腹地集散/港内加工</x:v>
      </x:c>
      <x:c r="K1027" s="15" t="str">
        <x:v>每7个游戏日补充78货载单位。本地、所属岛链或相连腹地供货；成品由港内工坊加工，贸易规模是本作设计。</x:v>
      </x:c>
      <x:c r="L1027" s="15" t="str">
        <x:v>港口发展度达到D2（≥250点）；不要求武装度。</x:v>
      </x:c>
    </x:row>
    <x:row r="1028" ht="42" customHeight="1">
      <x:c r="A1028" s="13" t="str">
        <x:v>P114</x:v>
      </x:c>
      <x:c r="B1028" s="13" t="str">
        <x:v>古邦</x:v>
      </x:c>
      <x:c r="C1028" s="13" t="str">
        <x:v>G110</x:v>
      </x:c>
      <x:c r="D1028" s="13" t="str">
        <x:v>硬木</x:v>
      </x:c>
      <x:c r="E1028" s="27" t="n">
        <x:v>3</x:v>
      </x:c>
      <x:c r="F1028" s="27" t="n">
        <x:v>135</x:v>
      </x:c>
      <x:c r="G1028" s="27" t="n">
        <x:v>66</x:v>
      </x:c>
      <x:c r="H1028" s="27" t="n">
        <x:v>198</x:v>
      </x:c>
      <x:c r="I1028" s="52" t="n">
        <x:v>0.8</x:v>
      </x:c>
      <x:c r="J1028" s="13" t="str">
        <x:v>本港生产/腹地集散/港内加工</x:v>
      </x:c>
      <x:c r="K1028" s="13" t="str">
        <x:v>每7个游戏日补充66货载单位。本地、所属岛链或相连腹地供货；成品由港内工坊加工，贸易规模是本作设计。</x:v>
      </x:c>
      <x:c r="L1028" s="13" t="str">
        <x:v>港口发展度达到D3（≥450点）；不要求武装度。</x:v>
      </x:c>
    </x:row>
    <x:row r="1029" ht="42" customHeight="1">
      <x:c r="A1029" s="15" t="str">
        <x:v>P114</x:v>
      </x:c>
      <x:c r="B1029" s="15" t="str">
        <x:v>古邦</x:v>
      </x:c>
      <x:c r="C1029" s="15" t="str">
        <x:v>G043</x:v>
      </x:c>
      <x:c r="D1029" s="15" t="str">
        <x:v>棉布</x:v>
      </x:c>
      <x:c r="E1029" s="30" t="n">
        <x:v>4</x:v>
      </x:c>
      <x:c r="F1029" s="30" t="n">
        <x:v>160</x:v>
      </x:c>
      <x:c r="G1029" s="30" t="n">
        <x:v>19</x:v>
      </x:c>
      <x:c r="H1029" s="30" t="n">
        <x:v>57</x:v>
      </x:c>
      <x:c r="I1029" s="54" t="n">
        <x:v>1.14</x:v>
      </x:c>
      <x:c r="J1029" s="15" t="str">
        <x:v>进口/区域转口</x:v>
      </x:c>
      <x:c r="K1029" s="15" t="str">
        <x:v>每7个游戏日补充19货载单位。由区域商队或NPC货船带入；为港口转售供货，不改变商品的原产地区。</x:v>
      </x:c>
      <x:c r="L1029" s="15" t="str">
        <x:v>港口发展度达到D4（≥700点）；不要求武装度。</x:v>
      </x:c>
    </x:row>
    <x:row r="1030" ht="42" customHeight="1">
      <x:c r="A1030" s="13" t="str">
        <x:v>P114</x:v>
      </x:c>
      <x:c r="B1030" s="13" t="str">
        <x:v>古邦</x:v>
      </x:c>
      <x:c r="C1030" s="13" t="str">
        <x:v>G109</x:v>
      </x:c>
      <x:c r="D1030" s="13" t="str">
        <x:v>树皮布</x:v>
      </x:c>
      <x:c r="E1030" s="27" t="n">
        <x:v>5</x:v>
      </x:c>
      <x:c r="F1030" s="27" t="n">
        <x:v>195</x:v>
      </x:c>
      <x:c r="G1030" s="27" t="n">
        <x:v>30</x:v>
      </x:c>
      <x:c r="H1030" s="27" t="n">
        <x:v>90</x:v>
      </x:c>
      <x:c r="I1030" s="52" t="n">
        <x:v>0.87</x:v>
      </x:c>
      <x:c r="J1030" s="13" t="str">
        <x:v>本港生产/腹地集散/港内加工</x:v>
      </x:c>
      <x:c r="K1030" s="13" t="str">
        <x:v>每7个游戏日补充30货载单位。本地、所属岛链或相连腹地供货；成品由港内工坊加工，贸易规模是本作设计。</x:v>
      </x:c>
      <x:c r="L1030" s="13" t="str">
        <x:v>港口发展度达到D5（≥1000点）；不要求武装度。</x:v>
      </x:c>
    </x:row>
    <x:row r="1031" ht="42" customHeight="1">
      <x:c r="A1031" s="15" t="str">
        <x:v>P114</x:v>
      </x:c>
      <x:c r="B1031" s="15" t="str">
        <x:v>古邦</x:v>
      </x:c>
      <x:c r="C1031" s="15" t="str">
        <x:v>SP114</x:v>
      </x:c>
      <x:c r="D1031" s="15" t="str">
        <x:v>古邦海阶伊卡特布</x:v>
      </x:c>
      <x:c r="E1031" s="30" t="n">
        <x:v>3</x:v>
      </x:c>
      <x:c r="F1031" s="30" t="n">
        <x:v>710</x:v>
      </x:c>
      <x:c r="G1031" s="30" t="n">
        <x:v>7</x:v>
      </x:c>
      <x:c r="H1031" s="30" t="n">
        <x:v>14</x:v>
      </x:c>
      <x:c r="I1031" s="54" t="n">
        <x:v>0.78</x:v>
      </x:c>
      <x:c r="J1031" s="15" t="str">
        <x:v>港口独占原创工坊特产</x:v>
      </x:c>
      <x:c r="K1031" s="15" t="str">
        <x:v>每7个游戏日由「海阶扎经织坊」交货7货载；只在本港形成稳定产源。</x:v>
      </x:c>
      <x:c r="L1031" s="15" t="str">
        <x:v>港口发展度达到D3（≥450点）时，投资项目「海阶扎经织坊」自动完工；不要求武装度。</x:v>
      </x:c>
    </x:row>
    <x:row r="1032" ht="42" customHeight="1">
      <x:c r="A1032" s="13" t="str">
        <x:v>P115</x:v>
      </x:c>
      <x:c r="B1032" s="13" t="str">
        <x:v>杰克逊湾</x:v>
      </x:c>
      <x:c r="C1032" s="13" t="str">
        <x:v>G015</x:v>
      </x:c>
      <x:c r="D1032" s="13" t="str">
        <x:v>咸鱼</x:v>
      </x:c>
      <x:c r="E1032" s="27" t="n">
        <x:v>0</x:v>
      </x:c>
      <x:c r="F1032" s="27" t="n">
        <x:v>65</x:v>
      </x:c>
      <x:c r="G1032" s="27" t="n">
        <x:v>97</x:v>
      </x:c>
      <x:c r="H1032" s="27" t="n">
        <x:v>291</x:v>
      </x:c>
      <x:c r="I1032" s="52" t="n">
        <x:v>0.74</x:v>
      </x:c>
      <x:c r="J1032" s="13" t="str">
        <x:v>本港生产/腹地集散/港内加工</x:v>
      </x:c>
      <x:c r="K1032" s="13" t="str">
        <x:v>每7个游戏日补充97货载单位。本地、所属岛链或相连腹地供货；成品由港内工坊加工，贸易规模是本作设计。</x:v>
      </x:c>
      <x:c r="L1032" s="13" t="str">
        <x:v>港口发展度达到D0（≥0点）；不要求武装度。</x:v>
      </x:c>
    </x:row>
    <x:row r="1033" ht="42" customHeight="1">
      <x:c r="A1033" s="15" t="str">
        <x:v>P115</x:v>
      </x:c>
      <x:c r="B1033" s="15" t="str">
        <x:v>杰克逊湾</x:v>
      </x:c>
      <x:c r="C1033" s="15" t="str">
        <x:v>G092</x:v>
      </x:c>
      <x:c r="D1033" s="15" t="str">
        <x:v>海藻</x:v>
      </x:c>
      <x:c r="E1033" s="30" t="n">
        <x:v>0</x:v>
      </x:c>
      <x:c r="F1033" s="30" t="n">
        <x:v>45</x:v>
      </x:c>
      <x:c r="G1033" s="30" t="n">
        <x:v>97</x:v>
      </x:c>
      <x:c r="H1033" s="30" t="n">
        <x:v>291</x:v>
      </x:c>
      <x:c r="I1033" s="54" t="n">
        <x:v>0.74</x:v>
      </x:c>
      <x:c r="J1033" s="15" t="str">
        <x:v>本港生产/腹地集散/港内加工</x:v>
      </x:c>
      <x:c r="K1033" s="15" t="str">
        <x:v>每7个游戏日补充97货载单位。本地、所属岛链或相连腹地供货；成品由港内工坊加工，贸易规模是本作设计。</x:v>
      </x:c>
      <x:c r="L1033" s="15" t="str">
        <x:v>港口发展度达到D0（≥0点）；不要求武装度。</x:v>
      </x:c>
    </x:row>
    <x:row r="1034" ht="42" customHeight="1">
      <x:c r="A1034" s="13" t="str">
        <x:v>P115</x:v>
      </x:c>
      <x:c r="B1034" s="13" t="str">
        <x:v>杰克逊湾</x:v>
      </x:c>
      <x:c r="C1034" s="13" t="str">
        <x:v>G101</x:v>
      </x:c>
      <x:c r="D1034" s="13" t="str">
        <x:v>药草</x:v>
      </x:c>
      <x:c r="E1034" s="27" t="n">
        <x:v>1</x:v>
      </x:c>
      <x:c r="F1034" s="27" t="n">
        <x:v>130</x:v>
      </x:c>
      <x:c r="G1034" s="27" t="n">
        <x:v>21</x:v>
      </x:c>
      <x:c r="H1034" s="27" t="n">
        <x:v>63</x:v>
      </x:c>
      <x:c r="I1034" s="52" t="n">
        <x:v>0.74</x:v>
      </x:c>
      <x:c r="J1034" s="13" t="str">
        <x:v>本港生产/腹地集散/港内加工</x:v>
      </x:c>
      <x:c r="K1034" s="13" t="str">
        <x:v>每7个游戏日补充21货载单位。本地、所属岛链或相连腹地供货；成品由港内工坊加工，贸易规模是本作设计。</x:v>
      </x:c>
      <x:c r="L1034" s="13" t="str">
        <x:v>港口发展度达到D1（≥100点）；不要求武装度。</x:v>
      </x:c>
    </x:row>
    <x:row r="1035" ht="42" customHeight="1">
      <x:c r="A1035" s="15" t="str">
        <x:v>P115</x:v>
      </x:c>
      <x:c r="B1035" s="15" t="str">
        <x:v>杰克逊湾</x:v>
      </x:c>
      <x:c r="C1035" s="15" t="str">
        <x:v>G110</x:v>
      </x:c>
      <x:c r="D1035" s="15" t="str">
        <x:v>硬木</x:v>
      </x:c>
      <x:c r="E1035" s="30" t="n">
        <x:v>1</x:v>
      </x:c>
      <x:c r="F1035" s="30" t="n">
        <x:v>135</x:v>
      </x:c>
      <x:c r="G1035" s="30" t="n">
        <x:v>72</x:v>
      </x:c>
      <x:c r="H1035" s="30" t="n">
        <x:v>216</x:v>
      </x:c>
      <x:c r="I1035" s="54" t="n">
        <x:v>0.74</x:v>
      </x:c>
      <x:c r="J1035" s="15" t="str">
        <x:v>本港生产/腹地集散/港内加工</x:v>
      </x:c>
      <x:c r="K1035" s="15" t="str">
        <x:v>每7个游戏日补充72货载单位。本地、所属岛链或相连腹地供货；成品由港内工坊加工，贸易规模是本作设计。</x:v>
      </x:c>
      <x:c r="L1035" s="15" t="str">
        <x:v>港口发展度达到D1（≥100点）；不要求武装度。</x:v>
      </x:c>
    </x:row>
    <x:row r="1036" ht="42" customHeight="1">
      <x:c r="A1036" s="13" t="str">
        <x:v>P115</x:v>
      </x:c>
      <x:c r="B1036" s="13" t="str">
        <x:v>杰克逊湾</x:v>
      </x:c>
      <x:c r="C1036" s="13" t="str">
        <x:v>G090</x:v>
      </x:c>
      <x:c r="D1036" s="13" t="str">
        <x:v>树脂</x:v>
      </x:c>
      <x:c r="E1036" s="27" t="n">
        <x:v>2</x:v>
      </x:c>
      <x:c r="F1036" s="27" t="n">
        <x:v>95</x:v>
      </x:c>
      <x:c r="G1036" s="27" t="n">
        <x:v>41</x:v>
      </x:c>
      <x:c r="H1036" s="27" t="n">
        <x:v>123</x:v>
      </x:c>
      <x:c r="I1036" s="52" t="n">
        <x:v>0.8</x:v>
      </x:c>
      <x:c r="J1036" s="13" t="str">
        <x:v>本港生产/腹地集散/港内加工</x:v>
      </x:c>
      <x:c r="K1036" s="13" t="str">
        <x:v>每7个游戏日补充41货载单位。本地、所属岛链或相连腹地供货；成品由港内工坊加工，贸易规模是本作设计。</x:v>
      </x:c>
      <x:c r="L1036" s="13" t="str">
        <x:v>港口发展度达到D2（≥250点）；不要求武装度。</x:v>
      </x:c>
    </x:row>
    <x:row r="1037" ht="42" customHeight="1">
      <x:c r="A1037" s="15" t="str">
        <x:v>P115</x:v>
      </x:c>
      <x:c r="B1037" s="15" t="str">
        <x:v>杰克逊湾</x:v>
      </x:c>
      <x:c r="C1037" s="15" t="str">
        <x:v>G043</x:v>
      </x:c>
      <x:c r="D1037" s="15" t="str">
        <x:v>棉布</x:v>
      </x:c>
      <x:c r="E1037" s="30" t="n">
        <x:v>3</x:v>
      </x:c>
      <x:c r="F1037" s="30" t="n">
        <x:v>160</x:v>
      </x:c>
      <x:c r="G1037" s="30" t="n">
        <x:v>18</x:v>
      </x:c>
      <x:c r="H1037" s="30" t="n">
        <x:v>54</x:v>
      </x:c>
      <x:c r="I1037" s="54" t="n">
        <x:v>1.14</x:v>
      </x:c>
      <x:c r="J1037" s="15" t="str">
        <x:v>进口/区域转口</x:v>
      </x:c>
      <x:c r="K1037" s="15" t="str">
        <x:v>每7个游戏日补充18货载单位。由区域商队或NPC货船带入；为港口转售供货，不改变商品的原产地区。</x:v>
      </x:c>
      <x:c r="L1037" s="15" t="str">
        <x:v>港口发展度达到D3（≥450点）；不要求武装度。</x:v>
      </x:c>
    </x:row>
    <x:row r="1038" ht="42" customHeight="1">
      <x:c r="A1038" s="13" t="str">
        <x:v>P115</x:v>
      </x:c>
      <x:c r="B1038" s="13" t="str">
        <x:v>杰克逊湾</x:v>
      </x:c>
      <x:c r="C1038" s="13" t="str">
        <x:v>G068</x:v>
      </x:c>
      <x:c r="D1038" s="13" t="str">
        <x:v>铁工具</x:v>
      </x:c>
      <x:c r="E1038" s="27" t="n">
        <x:v>4</x:v>
      </x:c>
      <x:c r="F1038" s="27" t="n">
        <x:v>190</x:v>
      </x:c>
      <x:c r="G1038" s="27" t="n">
        <x:v>16</x:v>
      </x:c>
      <x:c r="H1038" s="27" t="n">
        <x:v>48</x:v>
      </x:c>
      <x:c r="I1038" s="52" t="n">
        <x:v>1.14</x:v>
      </x:c>
      <x:c r="J1038" s="13" t="str">
        <x:v>进口/区域转口</x:v>
      </x:c>
      <x:c r="K1038" s="13" t="str">
        <x:v>每7个游戏日补充16货载单位。由区域商队或NPC货船带入；为港口转售供货，不改变商品的原产地区。</x:v>
      </x:c>
      <x:c r="L1038" s="13" t="str">
        <x:v>港口发展度达到D4（≥700点）；不要求武装度。</x:v>
      </x:c>
    </x:row>
    <x:row r="1039" ht="42" customHeight="1">
      <x:c r="A1039" s="15" t="str">
        <x:v>P115</x:v>
      </x:c>
      <x:c r="B1039" s="15" t="str">
        <x:v>杰克逊湾</x:v>
      </x:c>
      <x:c r="C1039" s="15" t="str">
        <x:v>G096</x:v>
      </x:c>
      <x:c r="D1039" s="15" t="str">
        <x:v>贝壳工艺品</x:v>
      </x:c>
      <x:c r="E1039" s="30" t="n">
        <x:v>5</x:v>
      </x:c>
      <x:c r="F1039" s="30" t="n">
        <x:v>210</x:v>
      </x:c>
      <x:c r="G1039" s="30" t="n">
        <x:v>11</x:v>
      </x:c>
      <x:c r="H1039" s="30" t="n">
        <x:v>33</x:v>
      </x:c>
      <x:c r="I1039" s="54" t="n">
        <x:v>0.87</x:v>
      </x:c>
      <x:c r="J1039" s="15" t="str">
        <x:v>本港生产/腹地集散/港内加工</x:v>
      </x:c>
      <x:c r="K1039" s="15" t="str">
        <x:v>每7个游戏日补充11货载单位。本地、所属岛链或相连腹地供货；成品由港内工坊加工，贸易规模是本作设计。</x:v>
      </x:c>
      <x:c r="L1039" s="15" t="str">
        <x:v>港口发展度达到D5（≥1000点）；不要求武装度。</x:v>
      </x:c>
    </x:row>
    <x:row r="1040" ht="42" customHeight="1">
      <x:c r="A1040" s="13" t="str">
        <x:v>P115</x:v>
      </x:c>
      <x:c r="B1040" s="13" t="str">
        <x:v>杰克逊湾</x:v>
      </x:c>
      <x:c r="C1040" s="13" t="str">
        <x:v>SP115</x:v>
      </x:c>
      <x:c r="D1040" s="13" t="str">
        <x:v>桉影赤金树脂漆</x:v>
      </x:c>
      <x:c r="E1040" s="27" t="n">
        <x:v>3</x:v>
      </x:c>
      <x:c r="F1040" s="27" t="n">
        <x:v>610</x:v>
      </x:c>
      <x:c r="G1040" s="27" t="n">
        <x:v>6</x:v>
      </x:c>
      <x:c r="H1040" s="27" t="n">
        <x:v>12</x:v>
      </x:c>
      <x:c r="I1040" s="52" t="n">
        <x:v>0.78</x:v>
      </x:c>
      <x:c r="J1040" s="13" t="str">
        <x:v>港口独占原创工坊特产</x:v>
      </x:c>
      <x:c r="K1040" s="13" t="str">
        <x:v>每7个游戏日由「桉影合匠漆坊」交货6货载；只在本港形成稳定产源。</x:v>
      </x:c>
      <x:c r="L1040" s="13" t="str">
        <x:v>港口发展度达到D3（≥450点）时，投资项目「桉影合匠漆坊」自动完工；不要求武装度。</x:v>
      </x:c>
    </x:row>
    <x:row r="1041" ht="42" customHeight="1">
      <x:c r="A1041" s="15" t="str">
        <x:v>P116</x:v>
      </x:c>
      <x:c r="B1041" s="15" t="str">
        <x:v>怀特马塔湾</x:v>
      </x:c>
      <x:c r="C1041" s="15" t="str">
        <x:v>G015</x:v>
      </x:c>
      <x:c r="D1041" s="15" t="str">
        <x:v>咸鱼</x:v>
      </x:c>
      <x:c r="E1041" s="30" t="n">
        <x:v>0</x:v>
      </x:c>
      <x:c r="F1041" s="30" t="n">
        <x:v>65</x:v>
      </x:c>
      <x:c r="G1041" s="30" t="n">
        <x:v>99</x:v>
      </x:c>
      <x:c r="H1041" s="30" t="n">
        <x:v>297</x:v>
      </x:c>
      <x:c r="I1041" s="54" t="n">
        <x:v>0.74</x:v>
      </x:c>
      <x:c r="J1041" s="15" t="str">
        <x:v>本港生产/腹地集散/港内加工</x:v>
      </x:c>
      <x:c r="K1041" s="15" t="str">
        <x:v>每7个游戏日补充99货载单位。本地、所属岛链或相连腹地供货；成品由港内工坊加工，贸易规模是本作设计。</x:v>
      </x:c>
      <x:c r="L1041" s="15" t="str">
        <x:v>港口发展度达到D0（≥0点）；不要求武装度。</x:v>
      </x:c>
    </x:row>
    <x:row r="1042" ht="42" customHeight="1">
      <x:c r="A1042" s="13" t="str">
        <x:v>P116</x:v>
      </x:c>
      <x:c r="B1042" s="13" t="str">
        <x:v>怀特马塔湾</x:v>
      </x:c>
      <x:c r="C1042" s="13" t="str">
        <x:v>G092</x:v>
      </x:c>
      <x:c r="D1042" s="13" t="str">
        <x:v>海藻</x:v>
      </x:c>
      <x:c r="E1042" s="27" t="n">
        <x:v>0</x:v>
      </x:c>
      <x:c r="F1042" s="27" t="n">
        <x:v>45</x:v>
      </x:c>
      <x:c r="G1042" s="27" t="n">
        <x:v>99</x:v>
      </x:c>
      <x:c r="H1042" s="27" t="n">
        <x:v>297</x:v>
      </x:c>
      <x:c r="I1042" s="52" t="n">
        <x:v>0.74</x:v>
      </x:c>
      <x:c r="J1042" s="13" t="str">
        <x:v>本港生产/腹地集散/港内加工</x:v>
      </x:c>
      <x:c r="K1042" s="13" t="str">
        <x:v>每7个游戏日补充99货载单位。本地、所属岛链或相连腹地供货；成品由港内工坊加工，贸易规模是本作设计。</x:v>
      </x:c>
      <x:c r="L1042" s="13" t="str">
        <x:v>港口发展度达到D0（≥0点）；不要求武装度。</x:v>
      </x:c>
    </x:row>
    <x:row r="1043" ht="42" customHeight="1">
      <x:c r="A1043" s="15" t="str">
        <x:v>P116</x:v>
      </x:c>
      <x:c r="B1043" s="15" t="str">
        <x:v>怀特马塔湾</x:v>
      </x:c>
      <x:c r="C1043" s="15" t="str">
        <x:v>G101</x:v>
      </x:c>
      <x:c r="D1043" s="15" t="str">
        <x:v>药草</x:v>
      </x:c>
      <x:c r="E1043" s="30" t="n">
        <x:v>1</x:v>
      </x:c>
      <x:c r="F1043" s="30" t="n">
        <x:v>130</x:v>
      </x:c>
      <x:c r="G1043" s="30" t="n">
        <x:v>22</x:v>
      </x:c>
      <x:c r="H1043" s="30" t="n">
        <x:v>66</x:v>
      </x:c>
      <x:c r="I1043" s="54" t="n">
        <x:v>0.74</x:v>
      </x:c>
      <x:c r="J1043" s="15" t="str">
        <x:v>本港生产/腹地集散/港内加工</x:v>
      </x:c>
      <x:c r="K1043" s="15" t="str">
        <x:v>每7个游戏日补充22货载单位。本地、所属岛链或相连腹地供货；成品由港内工坊加工，贸易规模是本作设计。</x:v>
      </x:c>
      <x:c r="L1043" s="15" t="str">
        <x:v>港口发展度达到D1（≥100点）；不要求武装度。</x:v>
      </x:c>
    </x:row>
    <x:row r="1044" ht="42" customHeight="1">
      <x:c r="A1044" s="13" t="str">
        <x:v>P116</x:v>
      </x:c>
      <x:c r="B1044" s="13" t="str">
        <x:v>怀特马塔湾</x:v>
      </x:c>
      <x:c r="C1044" s="13" t="str">
        <x:v>G110</x:v>
      </x:c>
      <x:c r="D1044" s="13" t="str">
        <x:v>硬木</x:v>
      </x:c>
      <x:c r="E1044" s="27" t="n">
        <x:v>1</x:v>
      </x:c>
      <x:c r="F1044" s="27" t="n">
        <x:v>135</x:v>
      </x:c>
      <x:c r="G1044" s="27" t="n">
        <x:v>74</x:v>
      </x:c>
      <x:c r="H1044" s="27" t="n">
        <x:v>222</x:v>
      </x:c>
      <x:c r="I1044" s="52" t="n">
        <x:v>0.74</x:v>
      </x:c>
      <x:c r="J1044" s="13" t="str">
        <x:v>本港生产/腹地集散/港内加工</x:v>
      </x:c>
      <x:c r="K1044" s="13" t="str">
        <x:v>每7个游戏日补充74货载单位。本地、所属岛链或相连腹地供货；成品由港内工坊加工，贸易规模是本作设计。</x:v>
      </x:c>
      <x:c r="L1044" s="13" t="str">
        <x:v>港口发展度达到D1（≥100点）；不要求武装度。</x:v>
      </x:c>
    </x:row>
    <x:row r="1045" ht="42" customHeight="1">
      <x:c r="A1045" s="15" t="str">
        <x:v>P116</x:v>
      </x:c>
      <x:c r="B1045" s="15" t="str">
        <x:v>怀特马塔湾</x:v>
      </x:c>
      <x:c r="C1045" s="15" t="str">
        <x:v>G090</x:v>
      </x:c>
      <x:c r="D1045" s="15" t="str">
        <x:v>树脂</x:v>
      </x:c>
      <x:c r="E1045" s="30" t="n">
        <x:v>2</x:v>
      </x:c>
      <x:c r="F1045" s="30" t="n">
        <x:v>95</x:v>
      </x:c>
      <x:c r="G1045" s="30" t="n">
        <x:v>42</x:v>
      </x:c>
      <x:c r="H1045" s="30" t="n">
        <x:v>126</x:v>
      </x:c>
      <x:c r="I1045" s="54" t="n">
        <x:v>0.8</x:v>
      </x:c>
      <x:c r="J1045" s="15" t="str">
        <x:v>本港生产/腹地集散/港内加工</x:v>
      </x:c>
      <x:c r="K1045" s="15" t="str">
        <x:v>每7个游戏日补充42货载单位。本地、所属岛链或相连腹地供货；成品由港内工坊加工，贸易规模是本作设计。</x:v>
      </x:c>
      <x:c r="L1045" s="15" t="str">
        <x:v>港口发展度达到D2（≥250点）；不要求武装度。</x:v>
      </x:c>
    </x:row>
    <x:row r="1046" ht="42" customHeight="1">
      <x:c r="A1046" s="13" t="str">
        <x:v>P116</x:v>
      </x:c>
      <x:c r="B1046" s="13" t="str">
        <x:v>怀特马塔湾</x:v>
      </x:c>
      <x:c r="C1046" s="13" t="str">
        <x:v>G109</x:v>
      </x:c>
      <x:c r="D1046" s="13" t="str">
        <x:v>树皮布</x:v>
      </x:c>
      <x:c r="E1046" s="27" t="n">
        <x:v>3</x:v>
      </x:c>
      <x:c r="F1046" s="27" t="n">
        <x:v>195</x:v>
      </x:c>
      <x:c r="G1046" s="27" t="n">
        <x:v>36</x:v>
      </x:c>
      <x:c r="H1046" s="27" t="n">
        <x:v>108</x:v>
      </x:c>
      <x:c r="I1046" s="52" t="n">
        <x:v>0.8</x:v>
      </x:c>
      <x:c r="J1046" s="13" t="str">
        <x:v>本港生产/腹地集散/港内加工</x:v>
      </x:c>
      <x:c r="K1046" s="13" t="str">
        <x:v>每7个游戏日补充36货载单位。本地、所属岛链或相连腹地供货；成品由港内工坊加工，贸易规模是本作设计。</x:v>
      </x:c>
      <x:c r="L1046" s="13" t="str">
        <x:v>港口发展度达到D3（≥450点）；不要求武装度。</x:v>
      </x:c>
    </x:row>
    <x:row r="1047" ht="42" customHeight="1">
      <x:c r="A1047" s="15" t="str">
        <x:v>P116</x:v>
      </x:c>
      <x:c r="B1047" s="15" t="str">
        <x:v>怀特马塔湾</x:v>
      </x:c>
      <x:c r="C1047" s="15" t="str">
        <x:v>G068</x:v>
      </x:c>
      <x:c r="D1047" s="15" t="str">
        <x:v>铁工具</x:v>
      </x:c>
      <x:c r="E1047" s="30" t="n">
        <x:v>4</x:v>
      </x:c>
      <x:c r="F1047" s="30" t="n">
        <x:v>190</x:v>
      </x:c>
      <x:c r="G1047" s="30" t="n">
        <x:v>16</x:v>
      </x:c>
      <x:c r="H1047" s="30" t="n">
        <x:v>48</x:v>
      </x:c>
      <x:c r="I1047" s="54" t="n">
        <x:v>1.14</x:v>
      </x:c>
      <x:c r="J1047" s="15" t="str">
        <x:v>进口/区域转口</x:v>
      </x:c>
      <x:c r="K1047" s="15" t="str">
        <x:v>每7个游戏日补充16货载单位。由区域商队或NPC货船带入；为港口转售供货，不改变商品的原产地区。</x:v>
      </x:c>
      <x:c r="L1047" s="15" t="str">
        <x:v>港口发展度达到D4（≥700点）；不要求武装度。</x:v>
      </x:c>
    </x:row>
    <x:row r="1048" ht="42" customHeight="1">
      <x:c r="A1048" s="13" t="str">
        <x:v>P116</x:v>
      </x:c>
      <x:c r="B1048" s="13" t="str">
        <x:v>怀特马塔湾</x:v>
      </x:c>
      <x:c r="C1048" s="13" t="str">
        <x:v>G096</x:v>
      </x:c>
      <x:c r="D1048" s="13" t="str">
        <x:v>贝壳工艺品</x:v>
      </x:c>
      <x:c r="E1048" s="27" t="n">
        <x:v>5</x:v>
      </x:c>
      <x:c r="F1048" s="27" t="n">
        <x:v>210</x:v>
      </x:c>
      <x:c r="G1048" s="27" t="n">
        <x:v>11</x:v>
      </x:c>
      <x:c r="H1048" s="27" t="n">
        <x:v>33</x:v>
      </x:c>
      <x:c r="I1048" s="52" t="n">
        <x:v>0.87</x:v>
      </x:c>
      <x:c r="J1048" s="13" t="str">
        <x:v>本港生产/腹地集散/港内加工</x:v>
      </x:c>
      <x:c r="K1048" s="13" t="str">
        <x:v>每7个游戏日补充11货载单位。本地、所属岛链或相连腹地供货；成品由港内工坊加工，贸易规模是本作设计。</x:v>
      </x:c>
      <x:c r="L1048" s="13" t="str">
        <x:v>港口发展度达到D5（≥1000点）；不要求武装度。</x:v>
      </x:c>
    </x:row>
    <x:row r="1049" ht="42" customHeight="1">
      <x:c r="A1049" s="15" t="str">
        <x:v>P116</x:v>
      </x:c>
      <x:c r="B1049" s="15" t="str">
        <x:v>怀特马塔湾</x:v>
      </x:c>
      <x:c r="C1049" s="15" t="str">
        <x:v>SP116</x:v>
      </x:c>
      <x:c r="D1049" s="15" t="str">
        <x:v>双湾青石浪坠</x:v>
      </x:c>
      <x:c r="E1049" s="30" t="n">
        <x:v>4</x:v>
      </x:c>
      <x:c r="F1049" s="30" t="n">
        <x:v>1180</x:v>
      </x:c>
      <x:c r="G1049" s="30" t="n">
        <x:v>5</x:v>
      </x:c>
      <x:c r="H1049" s="30" t="n">
        <x:v>10</x:v>
      </x:c>
      <x:c r="I1049" s="54" t="n">
        <x:v>0.78</x:v>
      </x:c>
      <x:c r="J1049" s="15" t="str">
        <x:v>港口独占原创工坊特产</x:v>
      </x:c>
      <x:c r="K1049" s="15" t="str">
        <x:v>每7个游戏日由「双湾新作玉石工坊」交货5货载；只在本港形成稳定产源。</x:v>
      </x:c>
      <x:c r="L1049" s="15" t="str">
        <x:v>港口发展度达到D4（≥700点）时，投资项目「双湾新作玉石工坊」自动完工；不要求武装度。</x:v>
      </x:c>
    </x:row>
    <x:row r="1050" ht="42" customHeight="1">
      <x:c r="A1050" s="13" t="str">
        <x:v>P117</x:v>
      </x:c>
      <x:c r="B1050" s="13" t="str">
        <x:v>马塔瓦伊湾</x:v>
      </x:c>
      <x:c r="C1050" s="13" t="str">
        <x:v>G103</x:v>
      </x:c>
      <x:c r="D1050" s="13" t="str">
        <x:v>面包果</x:v>
      </x:c>
      <x:c r="E1050" s="27" t="n">
        <x:v>0</x:v>
      </x:c>
      <x:c r="F1050" s="27" t="n">
        <x:v>44</x:v>
      </x:c>
      <x:c r="G1050" s="27" t="n">
        <x:v>131</x:v>
      </x:c>
      <x:c r="H1050" s="27" t="n">
        <x:v>393</x:v>
      </x:c>
      <x:c r="I1050" s="52" t="n">
        <x:v>0.74</x:v>
      </x:c>
      <x:c r="J1050" s="13" t="str">
        <x:v>本港生产/腹地集散/港内加工</x:v>
      </x:c>
      <x:c r="K1050" s="13" t="str">
        <x:v>每7个游戏日补充131货载单位。本地、所属岛链或相连腹地供货；成品由港内工坊加工，贸易规模是本作设计。</x:v>
      </x:c>
      <x:c r="L1050" s="13" t="str">
        <x:v>港口发展度达到D0（≥0点）；不要求武装度。</x:v>
      </x:c>
    </x:row>
    <x:row r="1051" ht="42" customHeight="1">
      <x:c r="A1051" s="15" t="str">
        <x:v>P117</x:v>
      </x:c>
      <x:c r="B1051" s="15" t="str">
        <x:v>马塔瓦伊湾</x:v>
      </x:c>
      <x:c r="C1051" s="15" t="str">
        <x:v>G104</x:v>
      </x:c>
      <x:c r="D1051" s="15" t="str">
        <x:v>芋头</x:v>
      </x:c>
      <x:c r="E1051" s="30" t="n">
        <x:v>0</x:v>
      </x:c>
      <x:c r="F1051" s="30" t="n">
        <x:v>40</x:v>
      </x:c>
      <x:c r="G1051" s="30" t="n">
        <x:v>131</x:v>
      </x:c>
      <x:c r="H1051" s="30" t="n">
        <x:v>393</x:v>
      </x:c>
      <x:c r="I1051" s="54" t="n">
        <x:v>0.74</x:v>
      </x:c>
      <x:c r="J1051" s="15" t="str">
        <x:v>本港生产/腹地集散/港内加工</x:v>
      </x:c>
      <x:c r="K1051" s="15" t="str">
        <x:v>每7个游戏日补充131货载单位。本地、所属岛链或相连腹地供货；成品由港内工坊加工，贸易规模是本作设计。</x:v>
      </x:c>
      <x:c r="L1051" s="15" t="str">
        <x:v>港口发展度达到D0（≥0点）；不要求武装度。</x:v>
      </x:c>
    </x:row>
    <x:row r="1052" ht="42" customHeight="1">
      <x:c r="A1052" s="13" t="str">
        <x:v>P117</x:v>
      </x:c>
      <x:c r="B1052" s="13" t="str">
        <x:v>马塔瓦伊湾</x:v>
      </x:c>
      <x:c r="C1052" s="13" t="str">
        <x:v>G015</x:v>
      </x:c>
      <x:c r="D1052" s="13" t="str">
        <x:v>咸鱼</x:v>
      </x:c>
      <x:c r="E1052" s="27" t="n">
        <x:v>1</x:v>
      </x:c>
      <x:c r="F1052" s="27" t="n">
        <x:v>65</x:v>
      </x:c>
      <x:c r="G1052" s="27" t="n">
        <x:v>97</x:v>
      </x:c>
      <x:c r="H1052" s="27" t="n">
        <x:v>291</x:v>
      </x:c>
      <x:c r="I1052" s="52" t="n">
        <x:v>0.74</x:v>
      </x:c>
      <x:c r="J1052" s="13" t="str">
        <x:v>本港生产/腹地集散/港内加工</x:v>
      </x:c>
      <x:c r="K1052" s="13" t="str">
        <x:v>每7个游戏日补充97货载单位。本地、所属岛链或相连腹地供货；成品由港内工坊加工，贸易规模是本作设计。</x:v>
      </x:c>
      <x:c r="L1052" s="13" t="str">
        <x:v>港口发展度达到D1（≥100点）；不要求武装度。</x:v>
      </x:c>
    </x:row>
    <x:row r="1053" ht="42" customHeight="1">
      <x:c r="A1053" s="15" t="str">
        <x:v>P117</x:v>
      </x:c>
      <x:c r="B1053" s="15" t="str">
        <x:v>马塔瓦伊湾</x:v>
      </x:c>
      <x:c r="C1053" s="15" t="str">
        <x:v>G095</x:v>
      </x:c>
      <x:c r="D1053" s="15" t="str">
        <x:v>干椰肉</x:v>
      </x:c>
      <x:c r="E1053" s="30" t="n">
        <x:v>1</x:v>
      </x:c>
      <x:c r="F1053" s="30" t="n">
        <x:v>60</x:v>
      </x:c>
      <x:c r="G1053" s="30" t="n">
        <x:v>97</x:v>
      </x:c>
      <x:c r="H1053" s="30" t="n">
        <x:v>291</x:v>
      </x:c>
      <x:c r="I1053" s="54" t="n">
        <x:v>0.74</x:v>
      </x:c>
      <x:c r="J1053" s="15" t="str">
        <x:v>本港生产/腹地集散/港内加工</x:v>
      </x:c>
      <x:c r="K1053" s="15" t="str">
        <x:v>每7个游戏日补充97货载单位。本地、所属岛链或相连腹地供货；成品由港内工坊加工，贸易规模是本作设计。</x:v>
      </x:c>
      <x:c r="L1053" s="15" t="str">
        <x:v>港口发展度达到D1（≥100点）；不要求武装度。</x:v>
      </x:c>
    </x:row>
    <x:row r="1054" ht="42" customHeight="1">
      <x:c r="A1054" s="13" t="str">
        <x:v>P117</x:v>
      </x:c>
      <x:c r="B1054" s="13" t="str">
        <x:v>马塔瓦伊湾</x:v>
      </x:c>
      <x:c r="C1054" s="13" t="str">
        <x:v>G014</x:v>
      </x:c>
      <x:c r="D1054" s="13" t="str">
        <x:v>椰子油</x:v>
      </x:c>
      <x:c r="E1054" s="27" t="n">
        <x:v>2</x:v>
      </x:c>
      <x:c r="F1054" s="27" t="n">
        <x:v>88</x:v>
      </x:c>
      <x:c r="G1054" s="27" t="n">
        <x:v>87</x:v>
      </x:c>
      <x:c r="H1054" s="27" t="n">
        <x:v>261</x:v>
      </x:c>
      <x:c r="I1054" s="52" t="n">
        <x:v>0.8</x:v>
      </x:c>
      <x:c r="J1054" s="13" t="str">
        <x:v>本港生产/腹地集散/港内加工</x:v>
      </x:c>
      <x:c r="K1054" s="13" t="str">
        <x:v>每7个游戏日补充87货载单位。本地、所属岛链或相连腹地供货；成品由港内工坊加工，贸易规模是本作设计。</x:v>
      </x:c>
      <x:c r="L1054" s="13" t="str">
        <x:v>港口发展度达到D2（≥250点）；不要求武装度。</x:v>
      </x:c>
    </x:row>
    <x:row r="1055" ht="42" customHeight="1">
      <x:c r="A1055" s="15" t="str">
        <x:v>P117</x:v>
      </x:c>
      <x:c r="B1055" s="15" t="str">
        <x:v>马塔瓦伊湾</x:v>
      </x:c>
      <x:c r="C1055" s="15" t="str">
        <x:v>G109</x:v>
      </x:c>
      <x:c r="D1055" s="15" t="str">
        <x:v>树皮布</x:v>
      </x:c>
      <x:c r="E1055" s="30" t="n">
        <x:v>3</x:v>
      </x:c>
      <x:c r="F1055" s="30" t="n">
        <x:v>195</x:v>
      </x:c>
      <x:c r="G1055" s="30" t="n">
        <x:v>37</x:v>
      </x:c>
      <x:c r="H1055" s="30" t="n">
        <x:v>111</x:v>
      </x:c>
      <x:c r="I1055" s="54" t="n">
        <x:v>0.8</x:v>
      </x:c>
      <x:c r="J1055" s="15" t="str">
        <x:v>本港生产/腹地集散/港内加工</x:v>
      </x:c>
      <x:c r="K1055" s="15" t="str">
        <x:v>每7个游戏日补充37货载单位。本地、所属岛链或相连腹地供货；成品由港内工坊加工，贸易规模是本作设计。</x:v>
      </x:c>
      <x:c r="L1055" s="15" t="str">
        <x:v>港口发展度达到D3（≥450点）；不要求武装度。</x:v>
      </x:c>
    </x:row>
    <x:row r="1056" ht="42" customHeight="1">
      <x:c r="A1056" s="13" t="str">
        <x:v>P117</x:v>
      </x:c>
      <x:c r="B1056" s="13" t="str">
        <x:v>马塔瓦伊湾</x:v>
      </x:c>
      <x:c r="C1056" s="13" t="str">
        <x:v>G074</x:v>
      </x:c>
      <x:c r="D1056" s="13" t="str">
        <x:v>珍珠</x:v>
      </x:c>
      <x:c r="E1056" s="27" t="n">
        <x:v>4</x:v>
      </x:c>
      <x:c r="F1056" s="27" t="n">
        <x:v>680</x:v>
      </x:c>
      <x:c r="G1056" s="27" t="n">
        <x:v>4</x:v>
      </x:c>
      <x:c r="H1056" s="27" t="n">
        <x:v>12</x:v>
      </x:c>
      <x:c r="I1056" s="52" t="n">
        <x:v>0.87</x:v>
      </x:c>
      <x:c r="J1056" s="13" t="str">
        <x:v>本港生产/腹地集散/港内加工</x:v>
      </x:c>
      <x:c r="K1056" s="13" t="str">
        <x:v>每7个游戏日补充4货载单位。本地、所属岛链或相连腹地供货；成品由港内工坊加工，贸易规模是本作设计。</x:v>
      </x:c>
      <x:c r="L1056" s="13" t="str">
        <x:v>港口发展度达到D4（≥700点）；不要求武装度。</x:v>
      </x:c>
    </x:row>
    <x:row r="1057" ht="42" customHeight="1">
      <x:c r="A1057" s="15" t="str">
        <x:v>P117</x:v>
      </x:c>
      <x:c r="B1057" s="15" t="str">
        <x:v>马塔瓦伊湾</x:v>
      </x:c>
      <x:c r="C1057" s="15" t="str">
        <x:v>G096</x:v>
      </x:c>
      <x:c r="D1057" s="15" t="str">
        <x:v>贝壳工艺品</x:v>
      </x:c>
      <x:c r="E1057" s="30" t="n">
        <x:v>5</x:v>
      </x:c>
      <x:c r="F1057" s="30" t="n">
        <x:v>210</x:v>
      </x:c>
      <x:c r="G1057" s="30" t="n">
        <x:v>11</x:v>
      </x:c>
      <x:c r="H1057" s="30" t="n">
        <x:v>33</x:v>
      </x:c>
      <x:c r="I1057" s="54" t="n">
        <x:v>0.87</x:v>
      </x:c>
      <x:c r="J1057" s="15" t="str">
        <x:v>本港生产/腹地集散/港内加工</x:v>
      </x:c>
      <x:c r="K1057" s="15" t="str">
        <x:v>每7个游戏日补充11货载单位。本地、所属岛链或相连腹地供货；成品由港内工坊加工，贸易规模是本作设计。</x:v>
      </x:c>
      <x:c r="L1057" s="15" t="str">
        <x:v>港口发展度达到D5（≥1000点）；不要求武装度。</x:v>
      </x:c>
    </x:row>
    <x:row r="1058" ht="42" customHeight="1">
      <x:c r="A1058" s="13" t="str">
        <x:v>P117</x:v>
      </x:c>
      <x:c r="B1058" s="13" t="str">
        <x:v>马塔瓦伊湾</x:v>
      </x:c>
      <x:c r="C1058" s="13" t="str">
        <x:v>SP117</x:v>
      </x:c>
      <x:c r="D1058" s="13" t="str">
        <x:v>白浪晨星树皮绢</x:v>
      </x:c>
      <x:c r="E1058" s="27" t="n">
        <x:v>3</x:v>
      </x:c>
      <x:c r="F1058" s="27" t="n">
        <x:v>960</x:v>
      </x:c>
      <x:c r="G1058" s="27" t="n">
        <x:v>6</x:v>
      </x:c>
      <x:c r="H1058" s="27" t="n">
        <x:v>12</x:v>
      </x:c>
      <x:c r="I1058" s="52" t="n">
        <x:v>0.78</x:v>
      </x:c>
      <x:c r="J1058" s="13" t="str">
        <x:v>港口独占原创工坊特产</x:v>
      </x:c>
      <x:c r="K1058" s="13" t="str">
        <x:v>每7个游戏日由「晨星树皮布工坊」交货6货载；只在本港形成稳定产源。</x:v>
      </x:c>
      <x:c r="L1058" s="13" t="str">
        <x:v>港口发展度达到D3（≥450点）时，投资项目「晨星树皮布工坊」自动完工；不要求武装度。</x:v>
      </x:c>
    </x:row>
    <x:row r="1059" ht="42" customHeight="1">
      <x:c r="A1059" s="15" t="str">
        <x:v>P118</x:v>
      </x:c>
      <x:c r="B1059" s="15" t="str">
        <x:v>科乌港</x:v>
      </x:c>
      <x:c r="C1059" s="15" t="str">
        <x:v>G104</x:v>
      </x:c>
      <x:c r="D1059" s="15" t="str">
        <x:v>芋头</x:v>
      </x:c>
      <x:c r="E1059" s="30" t="n">
        <x:v>0</x:v>
      </x:c>
      <x:c r="F1059" s="30" t="n">
        <x:v>40</x:v>
      </x:c>
      <x:c r="G1059" s="30" t="n">
        <x:v>135</x:v>
      </x:c>
      <x:c r="H1059" s="30" t="n">
        <x:v>405</x:v>
      </x:c>
      <x:c r="I1059" s="54" t="n">
        <x:v>0.74</x:v>
      </x:c>
      <x:c r="J1059" s="15" t="str">
        <x:v>本港生产/腹地集散/港内加工</x:v>
      </x:c>
      <x:c r="K1059" s="15" t="str">
        <x:v>每7个游戏日补充135货载单位。本地、所属岛链或相连腹地供货；成品由港内工坊加工，贸易规模是本作设计。</x:v>
      </x:c>
      <x:c r="L1059" s="15" t="str">
        <x:v>港口发展度达到D0（≥0点）；不要求武装度。</x:v>
      </x:c>
    </x:row>
    <x:row r="1060" ht="42" customHeight="1">
      <x:c r="A1060" s="13" t="str">
        <x:v>P118</x:v>
      </x:c>
      <x:c r="B1060" s="13" t="str">
        <x:v>科乌港</x:v>
      </x:c>
      <x:c r="C1060" s="13" t="str">
        <x:v>G103</x:v>
      </x:c>
      <x:c r="D1060" s="13" t="str">
        <x:v>面包果</x:v>
      </x:c>
      <x:c r="E1060" s="27" t="n">
        <x:v>0</x:v>
      </x:c>
      <x:c r="F1060" s="27" t="n">
        <x:v>44</x:v>
      </x:c>
      <x:c r="G1060" s="27" t="n">
        <x:v>135</x:v>
      </x:c>
      <x:c r="H1060" s="27" t="n">
        <x:v>405</x:v>
      </x:c>
      <x:c r="I1060" s="52" t="n">
        <x:v>0.74</x:v>
      </x:c>
      <x:c r="J1060" s="13" t="str">
        <x:v>本港生产/腹地集散/港内加工</x:v>
      </x:c>
      <x:c r="K1060" s="13" t="str">
        <x:v>每7个游戏日补充135货载单位。本地、所属岛链或相连腹地供货；成品由港内工坊加工，贸易规模是本作设计。</x:v>
      </x:c>
      <x:c r="L1060" s="13" t="str">
        <x:v>港口发展度达到D0（≥0点）；不要求武装度。</x:v>
      </x:c>
    </x:row>
    <x:row r="1061" ht="42" customHeight="1">
      <x:c r="A1061" s="15" t="str">
        <x:v>P118</x:v>
      </x:c>
      <x:c r="B1061" s="15" t="str">
        <x:v>科乌港</x:v>
      </x:c>
      <x:c r="C1061" s="15" t="str">
        <x:v>G015</x:v>
      </x:c>
      <x:c r="D1061" s="15" t="str">
        <x:v>咸鱼</x:v>
      </x:c>
      <x:c r="E1061" s="30" t="n">
        <x:v>1</x:v>
      </x:c>
      <x:c r="F1061" s="30" t="n">
        <x:v>65</x:v>
      </x:c>
      <x:c r="G1061" s="30" t="n">
        <x:v>100</x:v>
      </x:c>
      <x:c r="H1061" s="30" t="n">
        <x:v>300</x:v>
      </x:c>
      <x:c r="I1061" s="54" t="n">
        <x:v>0.74</x:v>
      </x:c>
      <x:c r="J1061" s="15" t="str">
        <x:v>本港生产/腹地集散/港内加工</x:v>
      </x:c>
      <x:c r="K1061" s="15" t="str">
        <x:v>每7个游戏日补充100货载单位。本地、所属岛链或相连腹地供货；成品由港内工坊加工，贸易规模是本作设计。</x:v>
      </x:c>
      <x:c r="L1061" s="15" t="str">
        <x:v>港口发展度达到D1（≥100点）；不要求武装度。</x:v>
      </x:c>
    </x:row>
    <x:row r="1062" ht="42" customHeight="1">
      <x:c r="A1062" s="13" t="str">
        <x:v>P118</x:v>
      </x:c>
      <x:c r="B1062" s="13" t="str">
        <x:v>科乌港</x:v>
      </x:c>
      <x:c r="C1062" s="13" t="str">
        <x:v>G095</x:v>
      </x:c>
      <x:c r="D1062" s="13" t="str">
        <x:v>干椰肉</x:v>
      </x:c>
      <x:c r="E1062" s="27" t="n">
        <x:v>1</x:v>
      </x:c>
      <x:c r="F1062" s="27" t="n">
        <x:v>60</x:v>
      </x:c>
      <x:c r="G1062" s="27" t="n">
        <x:v>100</x:v>
      </x:c>
      <x:c r="H1062" s="27" t="n">
        <x:v>300</x:v>
      </x:c>
      <x:c r="I1062" s="52" t="n">
        <x:v>0.74</x:v>
      </x:c>
      <x:c r="J1062" s="13" t="str">
        <x:v>本港生产/腹地集散/港内加工</x:v>
      </x:c>
      <x:c r="K1062" s="13" t="str">
        <x:v>每7个游戏日补充100货载单位。本地、所属岛链或相连腹地供货；成品由港内工坊加工，贸易规模是本作设计。</x:v>
      </x:c>
      <x:c r="L1062" s="13" t="str">
        <x:v>港口发展度达到D1（≥100点）；不要求武装度。</x:v>
      </x:c>
    </x:row>
    <x:row r="1063" ht="42" customHeight="1">
      <x:c r="A1063" s="15" t="str">
        <x:v>P118</x:v>
      </x:c>
      <x:c r="B1063" s="15" t="str">
        <x:v>科乌港</x:v>
      </x:c>
      <x:c r="C1063" s="15" t="str">
        <x:v>G109</x:v>
      </x:c>
      <x:c r="D1063" s="15" t="str">
        <x:v>树皮布</x:v>
      </x:c>
      <x:c r="E1063" s="30" t="n">
        <x:v>2</x:v>
      </x:c>
      <x:c r="F1063" s="30" t="n">
        <x:v>195</x:v>
      </x:c>
      <x:c r="G1063" s="30" t="n">
        <x:v>45</x:v>
      </x:c>
      <x:c r="H1063" s="30" t="n">
        <x:v>135</x:v>
      </x:c>
      <x:c r="I1063" s="54" t="n">
        <x:v>0.8</x:v>
      </x:c>
      <x:c r="J1063" s="15" t="str">
        <x:v>本港生产/腹地集散/港内加工</x:v>
      </x:c>
      <x:c r="K1063" s="15" t="str">
        <x:v>每7个游戏日补充45货载单位。本地、所属岛链或相连腹地供货；成品由港内工坊加工，贸易规模是本作设计。</x:v>
      </x:c>
      <x:c r="L1063" s="15" t="str">
        <x:v>港口发展度达到D2（≥250点）；不要求武装度。</x:v>
      </x:c>
    </x:row>
    <x:row r="1064" ht="42" customHeight="1">
      <x:c r="A1064" s="13" t="str">
        <x:v>P118</x:v>
      </x:c>
      <x:c r="B1064" s="13" t="str">
        <x:v>科乌港</x:v>
      </x:c>
      <x:c r="C1064" s="13" t="str">
        <x:v>G110</x:v>
      </x:c>
      <x:c r="D1064" s="13" t="str">
        <x:v>硬木</x:v>
      </x:c>
      <x:c r="E1064" s="27" t="n">
        <x:v>3</x:v>
      </x:c>
      <x:c r="F1064" s="27" t="n">
        <x:v>135</x:v>
      </x:c>
      <x:c r="G1064" s="27" t="n">
        <x:v>59</x:v>
      </x:c>
      <x:c r="H1064" s="27" t="n">
        <x:v>177</x:v>
      </x:c>
      <x:c r="I1064" s="52" t="n">
        <x:v>0.8</x:v>
      </x:c>
      <x:c r="J1064" s="13" t="str">
        <x:v>本港生产/腹地集散/港内加工</x:v>
      </x:c>
      <x:c r="K1064" s="13" t="str">
        <x:v>每7个游戏日补充59货载单位。本地、所属岛链或相连腹地供货；成品由港内工坊加工，贸易规模是本作设计。</x:v>
      </x:c>
      <x:c r="L1064" s="13" t="str">
        <x:v>港口发展度达到D3（≥450点）；不要求武装度。</x:v>
      </x:c>
    </x:row>
    <x:row r="1065" ht="42" customHeight="1">
      <x:c r="A1065" s="15" t="str">
        <x:v>P118</x:v>
      </x:c>
      <x:c r="B1065" s="15" t="str">
        <x:v>科乌港</x:v>
      </x:c>
      <x:c r="C1065" s="15" t="str">
        <x:v>G081</x:v>
      </x:c>
      <x:c r="D1065" s="15" t="str">
        <x:v>羽饰</x:v>
      </x:c>
      <x:c r="E1065" s="30" t="n">
        <x:v>4</x:v>
      </x:c>
      <x:c r="F1065" s="30" t="n">
        <x:v>420</x:v>
      </x:c>
      <x:c r="G1065" s="30" t="n">
        <x:v>14</x:v>
      </x:c>
      <x:c r="H1065" s="30" t="n">
        <x:v>42</x:v>
      </x:c>
      <x:c r="I1065" s="54" t="n">
        <x:v>0.87</x:v>
      </x:c>
      <x:c r="J1065" s="15" t="str">
        <x:v>本港生产/腹地集散/港内加工</x:v>
      </x:c>
      <x:c r="K1065" s="15" t="str">
        <x:v>每7个游戏日补充14货载单位。本地、所属岛链或相连腹地供货；成品由港内工坊加工，贸易规模是本作设计。</x:v>
      </x:c>
      <x:c r="L1065" s="15" t="str">
        <x:v>港口发展度达到D4（≥700点）；不要求武装度。</x:v>
      </x:c>
    </x:row>
    <x:row r="1066" ht="42" customHeight="1">
      <x:c r="A1066" s="13" t="str">
        <x:v>P118</x:v>
      </x:c>
      <x:c r="B1066" s="13" t="str">
        <x:v>科乌港</x:v>
      </x:c>
      <x:c r="C1066" s="13" t="str">
        <x:v>G096</x:v>
      </x:c>
      <x:c r="D1066" s="13" t="str">
        <x:v>贝壳工艺品</x:v>
      </x:c>
      <x:c r="E1066" s="27" t="n">
        <x:v>5</x:v>
      </x:c>
      <x:c r="F1066" s="27" t="n">
        <x:v>210</x:v>
      </x:c>
      <x:c r="G1066" s="27" t="n">
        <x:v>12</x:v>
      </x:c>
      <x:c r="H1066" s="27" t="n">
        <x:v>36</x:v>
      </x:c>
      <x:c r="I1066" s="52" t="n">
        <x:v>0.87</x:v>
      </x:c>
      <x:c r="J1066" s="13" t="str">
        <x:v>本港生产/腹地集散/港内加工</x:v>
      </x:c>
      <x:c r="K1066" s="13" t="str">
        <x:v>每7个游戏日补充12货载单位。本地、所属岛链或相连腹地供货；成品由港内工坊加工，贸易规模是本作设计。</x:v>
      </x:c>
      <x:c r="L1066" s="13" t="str">
        <x:v>港口发展度达到D5（≥1000点）；不要求武装度。</x:v>
      </x:c>
    </x:row>
    <x:row r="1067" ht="42" customHeight="1">
      <x:c r="A1067" s="15" t="str">
        <x:v>P118</x:v>
      </x:c>
      <x:c r="B1067" s="15" t="str">
        <x:v>科乌港</x:v>
      </x:c>
      <x:c r="C1067" s="15" t="str">
        <x:v>SP118</x:v>
      </x:c>
      <x:c r="D1067" s="15" t="str">
        <x:v>金羽航星肩饰</x:v>
      </x:c>
      <x:c r="E1067" s="30" t="n">
        <x:v>4</x:v>
      </x:c>
      <x:c r="F1067" s="30" t="n">
        <x:v>1370</x:v>
      </x:c>
      <x:c r="G1067" s="30" t="n">
        <x:v>5</x:v>
      </x:c>
      <x:c r="H1067" s="30" t="n">
        <x:v>10</x:v>
      </x:c>
      <x:c r="I1067" s="54" t="n">
        <x:v>0.78</x:v>
      </x:c>
      <x:c r="J1067" s="15" t="str">
        <x:v>港口独占原创工坊特产</x:v>
      </x:c>
      <x:c r="K1067" s="15" t="str">
        <x:v>每7个游戏日由「金羽新作工艺棚」交货5货载；只在本港形成稳定产源。</x:v>
      </x:c>
      <x:c r="L1067" s="15" t="str">
        <x:v>港口发展度达到D4（≥700点）时，投资项目「金羽新作工艺棚」自动完工；不要求武装度。</x:v>
      </x:c>
    </x:row>
    <x:row r="1068" ht="42" customHeight="1">
      <x:c r="A1068" s="13" t="str">
        <x:v>P119</x:v>
      </x:c>
      <x:c r="B1068" s="13" t="str">
        <x:v>哈加特纳</x:v>
      </x:c>
      <x:c r="C1068" s="13" t="str">
        <x:v>G103</x:v>
      </x:c>
      <x:c r="D1068" s="13" t="str">
        <x:v>面包果</x:v>
      </x:c>
      <x:c r="E1068" s="27" t="n">
        <x:v>0</x:v>
      </x:c>
      <x:c r="F1068" s="27" t="n">
        <x:v>44</x:v>
      </x:c>
      <x:c r="G1068" s="27" t="n">
        <x:v>142</x:v>
      </x:c>
      <x:c r="H1068" s="27" t="n">
        <x:v>426</x:v>
      </x:c>
      <x:c r="I1068" s="52" t="n">
        <x:v>0.74</x:v>
      </x:c>
      <x:c r="J1068" s="13" t="str">
        <x:v>本港生产/腹地集散/港内加工</x:v>
      </x:c>
      <x:c r="K1068" s="13" t="str">
        <x:v>每7个游戏日补充142货载单位。本地、所属岛链或相连腹地供货；成品由港内工坊加工，贸易规模是本作设计。</x:v>
      </x:c>
      <x:c r="L1068" s="13" t="str">
        <x:v>港口发展度达到D0（≥0点）；不要求武装度。</x:v>
      </x:c>
    </x:row>
    <x:row r="1069" ht="42" customHeight="1">
      <x:c r="A1069" s="15" t="str">
        <x:v>P119</x:v>
      </x:c>
      <x:c r="B1069" s="15" t="str">
        <x:v>哈加特纳</x:v>
      </x:c>
      <x:c r="C1069" s="15" t="str">
        <x:v>G104</x:v>
      </x:c>
      <x:c r="D1069" s="15" t="str">
        <x:v>芋头</x:v>
      </x:c>
      <x:c r="E1069" s="30" t="n">
        <x:v>0</x:v>
      </x:c>
      <x:c r="F1069" s="30" t="n">
        <x:v>40</x:v>
      </x:c>
      <x:c r="G1069" s="30" t="n">
        <x:v>142</x:v>
      </x:c>
      <x:c r="H1069" s="30" t="n">
        <x:v>426</x:v>
      </x:c>
      <x:c r="I1069" s="54" t="n">
        <x:v>0.74</x:v>
      </x:c>
      <x:c r="J1069" s="15" t="str">
        <x:v>本港生产/腹地集散/港内加工</x:v>
      </x:c>
      <x:c r="K1069" s="15" t="str">
        <x:v>每7个游戏日补充142货载单位。本地、所属岛链或相连腹地供货；成品由港内工坊加工，贸易规模是本作设计。</x:v>
      </x:c>
      <x:c r="L1069" s="15" t="str">
        <x:v>港口发展度达到D0（≥0点）；不要求武装度。</x:v>
      </x:c>
    </x:row>
    <x:row r="1070" ht="42" customHeight="1">
      <x:c r="A1070" s="13" t="str">
        <x:v>P119</x:v>
      </x:c>
      <x:c r="B1070" s="13" t="str">
        <x:v>哈加特纳</x:v>
      </x:c>
      <x:c r="C1070" s="13" t="str">
        <x:v>G015</x:v>
      </x:c>
      <x:c r="D1070" s="13" t="str">
        <x:v>咸鱼</x:v>
      </x:c>
      <x:c r="E1070" s="27" t="n">
        <x:v>1</x:v>
      </x:c>
      <x:c r="F1070" s="27" t="n">
        <x:v>65</x:v>
      </x:c>
      <x:c r="G1070" s="27" t="n">
        <x:v>105</x:v>
      </x:c>
      <x:c r="H1070" s="27" t="n">
        <x:v>315</x:v>
      </x:c>
      <x:c r="I1070" s="52" t="n">
        <x:v>0.74</x:v>
      </x:c>
      <x:c r="J1070" s="13" t="str">
        <x:v>本港生产/腹地集散/港内加工</x:v>
      </x:c>
      <x:c r="K1070" s="13" t="str">
        <x:v>每7个游戏日补充105货载单位。本地、所属岛链或相连腹地供货；成品由港内工坊加工，贸易规模是本作设计。</x:v>
      </x:c>
      <x:c r="L1070" s="13" t="str">
        <x:v>港口发展度达到D1（≥100点）；不要求武装度。</x:v>
      </x:c>
    </x:row>
    <x:row r="1071" ht="42" customHeight="1">
      <x:c r="A1071" s="15" t="str">
        <x:v>P119</x:v>
      </x:c>
      <x:c r="B1071" s="15" t="str">
        <x:v>哈加特纳</x:v>
      </x:c>
      <x:c r="C1071" s="15" t="str">
        <x:v>G095</x:v>
      </x:c>
      <x:c r="D1071" s="15" t="str">
        <x:v>干椰肉</x:v>
      </x:c>
      <x:c r="E1071" s="30" t="n">
        <x:v>1</x:v>
      </x:c>
      <x:c r="F1071" s="30" t="n">
        <x:v>60</x:v>
      </x:c>
      <x:c r="G1071" s="30" t="n">
        <x:v>105</x:v>
      </x:c>
      <x:c r="H1071" s="30" t="n">
        <x:v>315</x:v>
      </x:c>
      <x:c r="I1071" s="54" t="n">
        <x:v>0.74</x:v>
      </x:c>
      <x:c r="J1071" s="15" t="str">
        <x:v>本港生产/腹地集散/港内加工</x:v>
      </x:c>
      <x:c r="K1071" s="15" t="str">
        <x:v>每7个游戏日补充105货载单位。本地、所属岛链或相连腹地供货；成品由港内工坊加工，贸易规模是本作设计。</x:v>
      </x:c>
      <x:c r="L1071" s="15" t="str">
        <x:v>港口发展度达到D1（≥100点）；不要求武装度。</x:v>
      </x:c>
    </x:row>
    <x:row r="1072" ht="42" customHeight="1">
      <x:c r="A1072" s="13" t="str">
        <x:v>P119</x:v>
      </x:c>
      <x:c r="B1072" s="13" t="str">
        <x:v>哈加特纳</x:v>
      </x:c>
      <x:c r="C1072" s="13" t="str">
        <x:v>G014</x:v>
      </x:c>
      <x:c r="D1072" s="13" t="str">
        <x:v>椰子油</x:v>
      </x:c>
      <x:c r="E1072" s="27" t="n">
        <x:v>2</x:v>
      </x:c>
      <x:c r="F1072" s="27" t="n">
        <x:v>88</x:v>
      </x:c>
      <x:c r="G1072" s="27" t="n">
        <x:v>94</x:v>
      </x:c>
      <x:c r="H1072" s="27" t="n">
        <x:v>282</x:v>
      </x:c>
      <x:c r="I1072" s="52" t="n">
        <x:v>0.8</x:v>
      </x:c>
      <x:c r="J1072" s="13" t="str">
        <x:v>本港生产/腹地集散/港内加工</x:v>
      </x:c>
      <x:c r="K1072" s="13" t="str">
        <x:v>每7个游戏日补充94货载单位。本地、所属岛链或相连腹地供货；成品由港内工坊加工，贸易规模是本作设计。</x:v>
      </x:c>
      <x:c r="L1072" s="13" t="str">
        <x:v>港口发展度达到D2（≥250点）；不要求武装度。</x:v>
      </x:c>
    </x:row>
    <x:row r="1073" ht="42" customHeight="1">
      <x:c r="A1073" s="15" t="str">
        <x:v>P119</x:v>
      </x:c>
      <x:c r="B1073" s="15" t="str">
        <x:v>哈加特纳</x:v>
      </x:c>
      <x:c r="C1073" s="15" t="str">
        <x:v>G109</x:v>
      </x:c>
      <x:c r="D1073" s="15" t="str">
        <x:v>树皮布</x:v>
      </x:c>
      <x:c r="E1073" s="30" t="n">
        <x:v>3</x:v>
      </x:c>
      <x:c r="F1073" s="30" t="n">
        <x:v>195</x:v>
      </x:c>
      <x:c r="G1073" s="30" t="n">
        <x:v>40</x:v>
      </x:c>
      <x:c r="H1073" s="30" t="n">
        <x:v>120</x:v>
      </x:c>
      <x:c r="I1073" s="54" t="n">
        <x:v>0.8</x:v>
      </x:c>
      <x:c r="J1073" s="15" t="str">
        <x:v>本港生产/腹地集散/港内加工</x:v>
      </x:c>
      <x:c r="K1073" s="15" t="str">
        <x:v>每7个游戏日补充40货载单位。本地、所属岛链或相连腹地供货；成品由港内工坊加工，贸易规模是本作设计。</x:v>
      </x:c>
      <x:c r="L1073" s="15" t="str">
        <x:v>港口发展度达到D3（≥450点）；不要求武装度。</x:v>
      </x:c>
    </x:row>
    <x:row r="1074" ht="42" customHeight="1">
      <x:c r="A1074" s="13" t="str">
        <x:v>P119</x:v>
      </x:c>
      <x:c r="B1074" s="13" t="str">
        <x:v>哈加特纳</x:v>
      </x:c>
      <x:c r="C1074" s="13" t="str">
        <x:v>G083</x:v>
      </x:c>
      <x:c r="D1074" s="13" t="str">
        <x:v>玳瑁片</x:v>
      </x:c>
      <x:c r="E1074" s="27" t="n">
        <x:v>4</x:v>
      </x:c>
      <x:c r="F1074" s="27" t="n">
        <x:v>350</x:v>
      </x:c>
      <x:c r="G1074" s="27" t="n">
        <x:v>15</x:v>
      </x:c>
      <x:c r="H1074" s="27" t="n">
        <x:v>45</x:v>
      </x:c>
      <x:c r="I1074" s="52" t="n">
        <x:v>0.87</x:v>
      </x:c>
      <x:c r="J1074" s="13" t="str">
        <x:v>本港生产/腹地集散/港内加工</x:v>
      </x:c>
      <x:c r="K1074" s="13" t="str">
        <x:v>每7个游戏日补充15货载单位。本地、所属岛链或相连腹地供货；成品由港内工坊加工，贸易规模是本作设计。</x:v>
      </x:c>
      <x:c r="L1074" s="13" t="str">
        <x:v>港口发展度达到D4（≥700点）；不要求武装度。</x:v>
      </x:c>
    </x:row>
    <x:row r="1075" ht="42" customHeight="1">
      <x:c r="A1075" s="15" t="str">
        <x:v>P119</x:v>
      </x:c>
      <x:c r="B1075" s="15" t="str">
        <x:v>哈加特纳</x:v>
      </x:c>
      <x:c r="C1075" s="15" t="str">
        <x:v>G096</x:v>
      </x:c>
      <x:c r="D1075" s="15" t="str">
        <x:v>贝壳工艺品</x:v>
      </x:c>
      <x:c r="E1075" s="30" t="n">
        <x:v>5</x:v>
      </x:c>
      <x:c r="F1075" s="30" t="n">
        <x:v>210</x:v>
      </x:c>
      <x:c r="G1075" s="30" t="n">
        <x:v>12</x:v>
      </x:c>
      <x:c r="H1075" s="30" t="n">
        <x:v>36</x:v>
      </x:c>
      <x:c r="I1075" s="54" t="n">
        <x:v>0.87</x:v>
      </x:c>
      <x:c r="J1075" s="15" t="str">
        <x:v>本港生产/腹地集散/港内加工</x:v>
      </x:c>
      <x:c r="K1075" s="15" t="str">
        <x:v>每7个游戏日补充12货载单位。本地、所属岛链或相连腹地供货；成品由港内工坊加工，贸易规模是本作设计。</x:v>
      </x:c>
      <x:c r="L1075" s="15" t="str">
        <x:v>港口发展度达到D5（≥1000点）；不要求武装度。</x:v>
      </x:c>
    </x:row>
    <x:row r="1076" ht="42" customHeight="1">
      <x:c r="A1076" s="13" t="str">
        <x:v>P119</x:v>
      </x:c>
      <x:c r="B1076" s="13" t="str">
        <x:v>哈加特纳</x:v>
      </x:c>
      <x:c r="C1076" s="13" t="str">
        <x:v>SP119</x:v>
      </x:c>
      <x:c r="D1076" s="13" t="str">
        <x:v>飞帆月贝耳坠</x:v>
      </x:c>
      <x:c r="E1076" s="27" t="n">
        <x:v>3</x:v>
      </x:c>
      <x:c r="F1076" s="27" t="n">
        <x:v>790</x:v>
      </x:c>
      <x:c r="G1076" s="27" t="n">
        <x:v>7</x:v>
      </x:c>
      <x:c r="H1076" s="27" t="n">
        <x:v>14</x:v>
      </x:c>
      <x:c r="I1076" s="52" t="n">
        <x:v>0.78</x:v>
      </x:c>
      <x:c r="J1076" s="13" t="str">
        <x:v>港口独占原创工坊特产</x:v>
      </x:c>
      <x:c r="K1076" s="13" t="str">
        <x:v>每7个游戏日由「飞帆月贝工坊」交货7货载；只在本港形成稳定产源。</x:v>
      </x:c>
      <x:c r="L1076" s="13" t="str">
        <x:v>港口发展度达到D3（≥450点）时，投资项目「飞帆月贝工坊」自动完工；不要求武装度。</x:v>
      </x:c>
    </x:row>
    <x:row r="1077" ht="42" customHeight="1">
      <x:c r="A1077" s="15" t="str">
        <x:v>P120</x:v>
      </x:c>
      <x:c r="B1077" s="15" t="str">
        <x:v>汉加罗阿</x:v>
      </x:c>
      <x:c r="C1077" s="15" t="str">
        <x:v>G104</x:v>
      </x:c>
      <x:c r="D1077" s="15" t="str">
        <x:v>芋头</x:v>
      </x:c>
      <x:c r="E1077" s="30" t="n">
        <x:v>0</x:v>
      </x:c>
      <x:c r="F1077" s="30" t="n">
        <x:v>40</x:v>
      </x:c>
      <x:c r="G1077" s="30" t="n">
        <x:v>117</x:v>
      </x:c>
      <x:c r="H1077" s="30" t="n">
        <x:v>351</x:v>
      </x:c>
      <x:c r="I1077" s="54" t="n">
        <x:v>0.74</x:v>
      </x:c>
      <x:c r="J1077" s="15" t="str">
        <x:v>本港生产/腹地集散/港内加工</x:v>
      </x:c>
      <x:c r="K1077" s="15" t="str">
        <x:v>每7个游戏日补充117货载单位。本地、所属岛链或相连腹地供货；成品由港内工坊加工，贸易规模是本作设计。</x:v>
      </x:c>
      <x:c r="L1077" s="15" t="str">
        <x:v>港口发展度达到D0（≥0点）；不要求武装度。</x:v>
      </x:c>
    </x:row>
    <x:row r="1078" ht="42" customHeight="1">
      <x:c r="A1078" s="13" t="str">
        <x:v>P120</x:v>
      </x:c>
      <x:c r="B1078" s="13" t="str">
        <x:v>汉加罗阿</x:v>
      </x:c>
      <x:c r="C1078" s="13" t="str">
        <x:v>G015</x:v>
      </x:c>
      <x:c r="D1078" s="13" t="str">
        <x:v>咸鱼</x:v>
      </x:c>
      <x:c r="E1078" s="27" t="n">
        <x:v>0</x:v>
      </x:c>
      <x:c r="F1078" s="27" t="n">
        <x:v>65</x:v>
      </x:c>
      <x:c r="G1078" s="27" t="n">
        <x:v>91</x:v>
      </x:c>
      <x:c r="H1078" s="27" t="n">
        <x:v>273</x:v>
      </x:c>
      <x:c r="I1078" s="52" t="n">
        <x:v>0.74</x:v>
      </x:c>
      <x:c r="J1078" s="13" t="str">
        <x:v>本港生产/腹地集散/港内加工</x:v>
      </x:c>
      <x:c r="K1078" s="13" t="str">
        <x:v>每7个游戏日补充91货载单位。本地、所属岛链或相连腹地供货；成品由港内工坊加工，贸易规模是本作设计。</x:v>
      </x:c>
      <x:c r="L1078" s="13" t="str">
        <x:v>港口发展度达到D0（≥0点）；不要求武装度。</x:v>
      </x:c>
    </x:row>
    <x:row r="1079" ht="42" customHeight="1">
      <x:c r="A1079" s="15" t="str">
        <x:v>P120</x:v>
      </x:c>
      <x:c r="B1079" s="15" t="str">
        <x:v>汉加罗阿</x:v>
      </x:c>
      <x:c r="C1079" s="15" t="str">
        <x:v>G101</x:v>
      </x:c>
      <x:c r="D1079" s="15" t="str">
        <x:v>药草</x:v>
      </x:c>
      <x:c r="E1079" s="30" t="n">
        <x:v>1</x:v>
      </x:c>
      <x:c r="F1079" s="30" t="n">
        <x:v>130</x:v>
      </x:c>
      <x:c r="G1079" s="30" t="n">
        <x:v>20</x:v>
      </x:c>
      <x:c r="H1079" s="30" t="n">
        <x:v>60</x:v>
      </x:c>
      <x:c r="I1079" s="54" t="n">
        <x:v>0.74</x:v>
      </x:c>
      <x:c r="J1079" s="15" t="str">
        <x:v>本港生产/腹地集散/港内加工</x:v>
      </x:c>
      <x:c r="K1079" s="15" t="str">
        <x:v>每7个游戏日补充20货载单位。本地、所属岛链或相连腹地供货；成品由港内工坊加工，贸易规模是本作设计。</x:v>
      </x:c>
      <x:c r="L1079" s="15" t="str">
        <x:v>港口发展度达到D1（≥100点）；不要求武装度。</x:v>
      </x:c>
    </x:row>
    <x:row r="1080" ht="42" customHeight="1">
      <x:c r="A1080" s="13" t="str">
        <x:v>P120</x:v>
      </x:c>
      <x:c r="B1080" s="13" t="str">
        <x:v>汉加罗阿</x:v>
      </x:c>
      <x:c r="C1080" s="13" t="str">
        <x:v>G109</x:v>
      </x:c>
      <x:c r="D1080" s="13" t="str">
        <x:v>树皮布</x:v>
      </x:c>
      <x:c r="E1080" s="27" t="n">
        <x:v>1</x:v>
      </x:c>
      <x:c r="F1080" s="27" t="n">
        <x:v>195</x:v>
      </x:c>
      <x:c r="G1080" s="27" t="n">
        <x:v>43</x:v>
      </x:c>
      <x:c r="H1080" s="27" t="n">
        <x:v>129</x:v>
      </x:c>
      <x:c r="I1080" s="52" t="n">
        <x:v>0.74</x:v>
      </x:c>
      <x:c r="J1080" s="13" t="str">
        <x:v>本港生产/腹地集散/港内加工</x:v>
      </x:c>
      <x:c r="K1080" s="13" t="str">
        <x:v>每7个游戏日补充43货载单位。本地、所属岛链或相连腹地供货；成品由港内工坊加工，贸易规模是本作设计。</x:v>
      </x:c>
      <x:c r="L1080" s="13" t="str">
        <x:v>港口发展度达到D1（≥100点）；不要求武装度。</x:v>
      </x:c>
    </x:row>
    <x:row r="1081" ht="42" customHeight="1">
      <x:c r="A1081" s="15" t="str">
        <x:v>P120</x:v>
      </x:c>
      <x:c r="B1081" s="15" t="str">
        <x:v>汉加罗阿</x:v>
      </x:c>
      <x:c r="C1081" s="15" t="str">
        <x:v>G110</x:v>
      </x:c>
      <x:c r="D1081" s="15" t="str">
        <x:v>硬木</x:v>
      </x:c>
      <x:c r="E1081" s="30" t="n">
        <x:v>2</x:v>
      </x:c>
      <x:c r="F1081" s="30" t="n">
        <x:v>135</x:v>
      </x:c>
      <x:c r="G1081" s="30" t="n">
        <x:v>32</x:v>
      </x:c>
      <x:c r="H1081" s="30" t="n">
        <x:v>96</x:v>
      </x:c>
      <x:c r="I1081" s="54" t="n">
        <x:v>1.08</x:v>
      </x:c>
      <x:c r="J1081" s="15" t="str">
        <x:v>进口/区域转口</x:v>
      </x:c>
      <x:c r="K1081" s="15" t="str">
        <x:v>每7个游戏日补充32货载单位。由区域商队或NPC货船带入；为港口转售供货，不改变商品的原产地区。</x:v>
      </x:c>
      <x:c r="L1081" s="15" t="str">
        <x:v>港口发展度达到D2（≥250点）；不要求武装度。</x:v>
      </x:c>
    </x:row>
    <x:row r="1082" ht="42" customHeight="1">
      <x:c r="A1082" s="13" t="str">
        <x:v>P120</x:v>
      </x:c>
      <x:c r="B1082" s="13" t="str">
        <x:v>汉加罗阿</x:v>
      </x:c>
      <x:c r="C1082" s="13" t="str">
        <x:v>G043</x:v>
      </x:c>
      <x:c r="D1082" s="13" t="str">
        <x:v>棉布</x:v>
      </x:c>
      <x:c r="E1082" s="27" t="n">
        <x:v>3</x:v>
      </x:c>
      <x:c r="F1082" s="27" t="n">
        <x:v>160</x:v>
      </x:c>
      <x:c r="G1082" s="27" t="n">
        <x:v>17</x:v>
      </x:c>
      <x:c r="H1082" s="27" t="n">
        <x:v>51</x:v>
      </x:c>
      <x:c r="I1082" s="52" t="n">
        <x:v>1.14</x:v>
      </x:c>
      <x:c r="J1082" s="13" t="str">
        <x:v>进口/区域转口</x:v>
      </x:c>
      <x:c r="K1082" s="13" t="str">
        <x:v>每7个游戏日补充17货载单位。由区域商队或NPC货船带入；为港口转售供货，不改变商品的原产地区。</x:v>
      </x:c>
      <x:c r="L1082" s="13" t="str">
        <x:v>港口发展度达到D3（≥450点）；不要求武装度。</x:v>
      </x:c>
    </x:row>
    <x:row r="1083" ht="42" customHeight="1">
      <x:c r="A1083" s="15" t="str">
        <x:v>P120</x:v>
      </x:c>
      <x:c r="B1083" s="15" t="str">
        <x:v>汉加罗阿</x:v>
      </x:c>
      <x:c r="C1083" s="15" t="str">
        <x:v>G068</x:v>
      </x:c>
      <x:c r="D1083" s="15" t="str">
        <x:v>铁工具</x:v>
      </x:c>
      <x:c r="E1083" s="30" t="n">
        <x:v>4</x:v>
      </x:c>
      <x:c r="F1083" s="30" t="n">
        <x:v>190</x:v>
      </x:c>
      <x:c r="G1083" s="30" t="n">
        <x:v>15</x:v>
      </x:c>
      <x:c r="H1083" s="30" t="n">
        <x:v>45</x:v>
      </x:c>
      <x:c r="I1083" s="54" t="n">
        <x:v>1.14</x:v>
      </x:c>
      <x:c r="J1083" s="15" t="str">
        <x:v>进口/区域转口</x:v>
      </x:c>
      <x:c r="K1083" s="15" t="str">
        <x:v>每7个游戏日补充15货载单位。由区域商队或NPC货船带入；为港口转售供货，不改变商品的原产地区。</x:v>
      </x:c>
      <x:c r="L1083" s="15" t="str">
        <x:v>港口发展度达到D4（≥700点）；不要求武装度。</x:v>
      </x:c>
    </x:row>
    <x:row r="1084" ht="42" customHeight="1">
      <x:c r="A1084" s="13" t="str">
        <x:v>P120</x:v>
      </x:c>
      <x:c r="B1084" s="13" t="str">
        <x:v>汉加罗阿</x:v>
      </x:c>
      <x:c r="C1084" s="13" t="str">
        <x:v>G096</x:v>
      </x:c>
      <x:c r="D1084" s="13" t="str">
        <x:v>贝壳工艺品</x:v>
      </x:c>
      <x:c r="E1084" s="27" t="n">
        <x:v>5</x:v>
      </x:c>
      <x:c r="F1084" s="27" t="n">
        <x:v>210</x:v>
      </x:c>
      <x:c r="G1084" s="27" t="n">
        <x:v>10</x:v>
      </x:c>
      <x:c r="H1084" s="27" t="n">
        <x:v>30</x:v>
      </x:c>
      <x:c r="I1084" s="52" t="n">
        <x:v>0.87</x:v>
      </x:c>
      <x:c r="J1084" s="13" t="str">
        <x:v>本港生产/腹地集散/港内加工</x:v>
      </x:c>
      <x:c r="K1084" s="13" t="str">
        <x:v>每7个游戏日补充10货载单位。本地、所属岛链或相连腹地供货；成品由港内工坊加工，贸易规模是本作设计。</x:v>
      </x:c>
      <x:c r="L1084" s="13" t="str">
        <x:v>港口发展度达到D5（≥1000点）；不要求武装度。</x:v>
      </x:c>
    </x:row>
    <x:row r="1085" ht="42" customHeight="1">
      <x:c r="A1085" s="15" t="str">
        <x:v>P120</x:v>
      </x:c>
      <x:c r="B1085" s="15" t="str">
        <x:v>汉加罗阿</x:v>
      </x:c>
      <x:c r="C1085" s="15" t="str">
        <x:v>SP120</x:v>
      </x:c>
      <x:c r="D1085" s="15" t="str">
        <x:v>黑海鸟纹石印</x:v>
      </x:c>
      <x:c r="E1085" s="30" t="n">
        <x:v>3</x:v>
      </x:c>
      <x:c r="F1085" s="30" t="n">
        <x:v>940</x:v>
      </x:c>
      <x:c r="G1085" s="30" t="n">
        <x:v>6</x:v>
      </x:c>
      <x:c r="H1085" s="30" t="n">
        <x:v>12</x:v>
      </x:c>
      <x:c r="I1085" s="54" t="n">
        <x:v>0.78</x:v>
      </x:c>
      <x:c r="J1085" s="15" t="str">
        <x:v>港口独占原创工坊特产</x:v>
      </x:c>
      <x:c r="K1085" s="15" t="str">
        <x:v>每7个游戏日由「黑海石印工坊」交货6货载；只在本港形成稳定产源。</x:v>
      </x:c>
      <x:c r="L1085" s="15" t="str">
        <x:v>港口发展度达到D3（≥450点）时，投资项目「黑海石印工坊」自动完工；不要求武装度。</x:v>
      </x:c>
    </x:row>
    <x:row r="1086" ht="31" customHeight="1">
      <x:c r="A1086" s="13" t="str">
        <x:v>P011</x:v>
      </x:c>
      <x:c r="B1086" s="13" t="str">
        <x:v>里斯本</x:v>
      </x:c>
      <x:c r="C1086" s="13" t="str">
        <x:v>G006</x:v>
      </x:c>
      <x:c r="D1086" s="13" t="str">
        <x:v>豆类</x:v>
      </x:c>
      <x:c r="E1086" s="27" t="n">
        <x:v>0</x:v>
      </x:c>
      <x:c r="F1086" s="27" t="n">
        <x:v>48</x:v>
      </x:c>
      <x:c r="G1086" s="27" t="n">
        <x:v>257</x:v>
      </x:c>
      <x:c r="H1086" s="27" t="n">
        <x:v>771</x:v>
      </x:c>
      <x:c r="I1086" s="52" t="n">
        <x:v>0.8</x:v>
      </x:c>
      <x:c r="J1086" s="13" t="str">
        <x:v>本港生产/腹地集散/港内加工</x:v>
      </x:c>
      <x:c r="K1086" s="13" t="str">
        <x:v>每7个游戏日补充257货载。特茹河流域豆类，经乡村集市汇到港口。</x:v>
      </x:c>
      <x:c r="L1086" s="13" t="str">
        <x:v>港口发展度达到D0（≥0点）；不要求武装度。</x:v>
      </x:c>
    </x:row>
    <x:row r="1087" ht="31" customHeight="1">
      <x:c r="A1087" s="15" t="str">
        <x:v>P016</x:v>
      </x:c>
      <x:c r="B1087" s="15" t="str">
        <x:v>毕尔巴鄂</x:v>
      </x:c>
      <x:c r="C1087" s="15" t="str">
        <x:v>G061</x:v>
      </x:c>
      <x:c r="D1087" s="15" t="str">
        <x:v>铅锭</x:v>
      </x:c>
      <x:c r="E1087" s="30" t="n">
        <x:v>2</x:v>
      </x:c>
      <x:c r="F1087" s="30" t="n">
        <x:v>105</x:v>
      </x:c>
      <x:c r="G1087" s="30" t="n">
        <x:v>40</x:v>
      </x:c>
      <x:c r="H1087" s="30" t="n">
        <x:v>120</x:v>
      </x:c>
      <x:c r="I1087" s="54" t="n">
        <x:v>0.8</x:v>
      </x:c>
      <x:c r="J1087" s="15" t="str">
        <x:v>本港生产/腹地集散/港内加工</x:v>
      </x:c>
      <x:c r="K1087" s="15" t="str">
        <x:v>每7个游戏日补充40货载。伊比利亚矿业腹地铅料送入巴斯克金属集市。</x:v>
      </x:c>
      <x:c r="L1087" s="15" t="str">
        <x:v>港口发展度达到D2（≥250点）；不要求武装度。</x:v>
      </x:c>
    </x:row>
    <x:row r="1088" ht="31" customHeight="1">
      <x:c r="A1088" s="13" t="str">
        <x:v>P001</x:v>
      </x:c>
      <x:c r="B1088" s="13" t="str">
        <x:v>伦敦</x:v>
      </x:c>
      <x:c r="C1088" s="13" t="str">
        <x:v>G064</x:v>
      </x:c>
      <x:c r="D1088" s="13" t="str">
        <x:v>煤炭</x:v>
      </x:c>
      <x:c r="E1088" s="27" t="n">
        <x:v>1</x:v>
      </x:c>
      <x:c r="F1088" s="27" t="n">
        <x:v>65</x:v>
      </x:c>
      <x:c r="G1088" s="27" t="n">
        <x:v>112</x:v>
      </x:c>
      <x:c r="H1088" s="27" t="n">
        <x:v>336</x:v>
      </x:c>
      <x:c r="I1088" s="52" t="n">
        <x:v>0.8</x:v>
      </x:c>
      <x:c r="J1088" s="13" t="str">
        <x:v>本港生产/腹地集散/港内加工</x:v>
      </x:c>
      <x:c r="K1088" s="13" t="str">
        <x:v>每7个游戏日补充112货载。英格兰沿岸煤船把矿区燃料送至伦敦工坊。</x:v>
      </x:c>
      <x:c r="L1088" s="13" t="str">
        <x:v>港口发展度达到D1（≥100点）；不要求武装度。</x:v>
      </x:c>
    </x:row>
    <x:row r="1089" ht="31" customHeight="1">
      <x:c r="A1089" s="15" t="str">
        <x:v>P064</x:v>
      </x:c>
      <x:c r="B1089" s="15" t="str">
        <x:v>科伦坡</x:v>
      </x:c>
      <x:c r="C1089" s="15" t="str">
        <x:v>G077</x:v>
      </x:c>
      <x:c r="D1089" s="15" t="str">
        <x:v>水晶</x:v>
      </x:c>
      <x:c r="E1089" s="30" t="n">
        <x:v>2</x:v>
      </x:c>
      <x:c r="F1089" s="30" t="n">
        <x:v>240</x:v>
      </x:c>
      <x:c r="G1089" s="30" t="n">
        <x:v>8</x:v>
      </x:c>
      <x:c r="H1089" s="30" t="n">
        <x:v>24</x:v>
      </x:c>
      <x:c r="I1089" s="54" t="n">
        <x:v>0.8</x:v>
      </x:c>
      <x:c r="J1089" s="15" t="str">
        <x:v>本港生产/腹地集散/港内加工</x:v>
      </x:c>
      <x:c r="K1089" s="15" t="str">
        <x:v>每7个游戏日补充8货载。斯里兰卡内陆矿料经宝石商汇集，水晶与彩宝分开出售。</x:v>
      </x:c>
      <x:c r="L1089" s="15" t="str">
        <x:v>港口发展度达到D2（≥250点）；不要求武装度。</x:v>
      </x:c>
    </x:row>
    <x:row r="1090" ht="31" customHeight="1">
      <x:c r="A1090" s="14" t="str">
        <x:v>P044</x:v>
      </x:c>
      <x:c r="B1090" s="14" t="str">
        <x:v>莫桑比克岛</x:v>
      </x:c>
      <x:c r="C1090" s="14" t="str">
        <x:v>G086</x:v>
      </x:c>
      <x:c r="D1090" s="14" t="str">
        <x:v>龙涎香</x:v>
      </x:c>
      <x:c r="E1090" s="28" t="n">
        <x:v>4</x:v>
      </x:c>
      <x:c r="F1090" s="28" t="n">
        <x:v>1100</x:v>
      </x:c>
      <x:c r="G1090" s="28" t="n">
        <x:v>11</x:v>
      </x:c>
      <x:c r="H1090" s="28" t="n">
        <x:v>33</x:v>
      </x:c>
      <x:c r="I1090" s="53" t="n">
        <x:v>0.8</x:v>
      </x:c>
      <x:c r="J1090" s="14" t="str">
        <x:v>本港生产/腹地集散/港内加工</x:v>
      </x:c>
      <x:c r="K1090" s="14" t="str">
        <x:v>每7个游戏日补充11货载。当地沿岸与附近岛链收集的小批海漂香料，经香商分级。</x:v>
      </x:c>
      <x:c r="L1090" s="14" t="str">
        <x:v>港口发展度达到D4（≥700点）；不要求武装度。</x:v>
      </x:c>
    </x:row>
    <x:row r="1091">
      <x:c r="A1091" s="2"/>
      <x:c r="B1091" s="2"/>
      <x:c r="C1091" s="2"/>
      <x:c r="D1091" s="2"/>
      <x:c r="E1091" s="2"/>
      <x:c r="F1091" s="2"/>
      <x:c r="G1091" s="2"/>
      <x:c r="H1091" s="2"/>
      <x:c r="I1091" s="2"/>
      <x:c r="J1091" s="2"/>
      <x:c r="K1091" s="2"/>
      <x:c r="L1091" s="2"/>
    </x:row>
  </x:sheetData>
  <x:pageMargins left="0.7" right="0.7" top="0.75" bottom="0.75" header="0.3" footer="0.3"/>
  <x:tableParts count="1">
    <x:tablePart xmlns:r="http://schemas.openxmlformats.org/officeDocument/2006/relationships" r:id="R1ce02c8188174cf8"/>
  </x:tableParts>
</x:worksheet>
</file>

<file path=xl/worksheets/sheet6.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19" hidden="0" customWidth="1"/>
    <x:col min="3" max="3" width="13" hidden="0" customWidth="1"/>
    <x:col min="4" max="4" width="32" hidden="0" customWidth="1"/>
    <x:col min="5" max="5" width="18" hidden="0" customWidth="1"/>
    <x:col min="6" max="6" width="16" hidden="0" customWidth="1"/>
    <x:col min="7" max="7" width="16" hidden="0" customWidth="1"/>
    <x:col min="8" max="8" width="30" hidden="0" customWidth="1"/>
    <x:col min="9" max="9" width="65" hidden="0" customWidth="1"/>
    <x:col min="10" max="10" width="60" hidden="0" customWidth="1"/>
    <x:col min="11" max="11" width="60" hidden="0" customWidth="1"/>
  </x:cols>
  <x:sheetData>
    <x:row r="1">
      <x:c r="A1" s="2"/>
      <x:c r="B1" s="2"/>
      <x:c r="C1" s="2"/>
      <x:c r="D1" s="2"/>
      <x:c r="E1" s="2"/>
      <x:c r="F1" s="2"/>
      <x:c r="G1" s="2"/>
      <x:c r="H1" s="2"/>
      <x:c r="I1" s="2"/>
      <x:c r="J1" s="2"/>
      <x:c r="K1" s="2"/>
    </x:row>
    <x:row r="2" ht="28" customHeight="1">
      <x:c r="A2" s="3" t="str">
        <x:v>每座港口值得专程购买的特产</x:v>
      </x:c>
      <x:c r="B2" s="2"/>
      <x:c r="C2" s="2"/>
      <x:c r="D2" s="2"/>
      <x:c r="E2" s="2"/>
      <x:c r="F2" s="2"/>
      <x:c r="G2" s="2"/>
      <x:c r="H2" s="2"/>
      <x:c r="I2" s="2"/>
      <x:c r="J2" s="2"/>
      <x:c r="K2" s="2"/>
    </x:row>
    <x:row r="3">
      <x:c r="A3" s="2"/>
      <x:c r="B3" s="2"/>
      <x:c r="C3" s="2"/>
      <x:c r="D3" s="2"/>
      <x:c r="E3" s="2"/>
      <x:c r="F3" s="2"/>
      <x:c r="G3" s="2"/>
      <x:c r="H3" s="2"/>
      <x:c r="I3" s="2"/>
      <x:c r="J3" s="2"/>
      <x:c r="K3" s="2"/>
    </x:row>
    <x:row r="4">
      <x:c r="A4" s="2"/>
      <x:c r="B4" s="2"/>
      <x:c r="C4" s="2"/>
      <x:c r="D4" s="2"/>
      <x:c r="E4" s="2"/>
      <x:c r="F4" s="2"/>
      <x:c r="G4" s="2"/>
      <x:c r="H4" s="2"/>
      <x:c r="I4" s="2"/>
      <x:c r="J4" s="2"/>
      <x:c r="K4" s="2"/>
    </x:row>
    <x:row r="5" ht="34" customHeight="1">
      <x:c r="A5" s="10" t="str">
        <x:v>港口ID</x:v>
      </x:c>
      <x:c r="B5" s="10" t="str">
        <x:v>港口</x:v>
      </x:c>
      <x:c r="C5" s="10" t="str">
        <x:v>特产ID</x:v>
      </x:c>
      <x:c r="D5" s="10" t="str">
        <x:v>独特特产</x:v>
      </x:c>
      <x:c r="E5" s="10" t="str">
        <x:v>分类</x:v>
      </x:c>
      <x:c r="F5" s="10" t="str">
        <x:v>基础价</x:v>
      </x:c>
      <x:c r="G5" s="10" t="str">
        <x:v>D解锁等级</x:v>
      </x:c>
      <x:c r="H5" s="10" t="str">
        <x:v>特色项目</x:v>
      </x:c>
      <x:c r="I5" s="10" t="str">
        <x:v>外观与辨识</x:v>
      </x:c>
      <x:c r="J5" s="10" t="str">
        <x:v>用途</x:v>
      </x:c>
      <x:c r="K5" s="10" t="str">
        <x:v>独特解锁</x:v>
      </x:c>
    </x:row>
    <x:row r="6" ht="42" customHeight="1">
      <x:c r="A6" s="12" t="str">
        <x:v>P001</x:v>
      </x:c>
      <x:c r="B6" s="12" t="str">
        <x:v>伦敦</x:v>
      </x:c>
      <x:c r="C6" s="12" t="str">
        <x:v>SP001</x:v>
      </x:c>
      <x:c r="D6" s="12" t="str">
        <x:v>雾钟双盘航海表</x:v>
      </x:c>
      <x:c r="E6" s="12" t="str">
        <x:v>奢侈品</x:v>
      </x:c>
      <x:c r="F6" s="26" t="n">
        <x:v>1680</x:v>
      </x:c>
      <x:c r="G6" s="26" t="n">
        <x:v>4</x:v>
      </x:c>
      <x:c r="H6" s="12" t="str">
        <x:v>河岸计时工坊</x:v>
      </x:c>
      <x:c r="I6" s="12" t="str">
        <x:v>银壳内并列沙漏与星时刻盘，工坊把阴天航行的焦虑做成一件精密礼物</x:v>
      </x:c>
      <x:c r="J6" s="12" t="str">
        <x:v>伦敦专属贸易品牌；适用于宫廷、收藏、礼品订单与海员礼赠。</x:v>
      </x:c>
      <x:c r="K6" s="12" t="str">
        <x:v>港口发展度达到D4（≥700点）时，投资项目「河岸计时工坊」自动完工；不要求武装度。</x:v>
      </x:c>
    </x:row>
    <x:row r="7" ht="42" customHeight="1">
      <x:c r="A7" s="15" t="str">
        <x:v>P002</x:v>
      </x:c>
      <x:c r="B7" s="15" t="str">
        <x:v>阿姆斯特丹</x:v>
      </x:c>
      <x:c r="C7" s="15" t="str">
        <x:v>SP002</x:v>
      </x:c>
      <x:c r="D7" s="15" t="str">
        <x:v>蓝釉远洋药柜</x:v>
      </x:c>
      <x:c r="E7" s="15" t="str">
        <x:v>工艺品</x:v>
      </x:c>
      <x:c r="F7" s="30" t="n">
        <x:v>890</x:v>
      </x:c>
      <x:c r="G7" s="30" t="n">
        <x:v>3</x:v>
      </x:c>
      <x:c r="H7" s="15" t="str">
        <x:v>蓝釉与箱匠联合作坊</x:v>
      </x:c>
      <x:c r="I7" s="15" t="str">
        <x:v>可拆格木柜嵌钴蓝陶抽屉，以百港花草绘制原创标签图案</x:v>
      </x:c>
      <x:c r="J7" s="15" t="str">
        <x:v>阿姆斯特丹专属贸易品牌；适用于收藏、礼品、宴会订单与海员礼赠。</x:v>
      </x:c>
      <x:c r="K7" s="15" t="str">
        <x:v>港口发展度达到D3（≥450点）时，投资项目「蓝釉与箱匠联合作坊」自动完工；不要求武装度。</x:v>
      </x:c>
    </x:row>
    <x:row r="8" ht="42" customHeight="1">
      <x:c r="A8" s="13" t="str">
        <x:v>P003</x:v>
      </x:c>
      <x:c r="B8" s="13" t="str">
        <x:v>汉堡</x:v>
      </x:c>
      <x:c r="C8" s="13" t="str">
        <x:v>SP003</x:v>
      </x:c>
      <x:c r="D8" s="13" t="str">
        <x:v>易北铜箍航海桶</x:v>
      </x:c>
      <x:c r="E8" s="13" t="str">
        <x:v>工业品</x:v>
      </x:c>
      <x:c r="F8" s="27" t="n">
        <x:v>360</x:v>
      </x:c>
      <x:c r="G8" s="27" t="n">
        <x:v>3</x:v>
      </x:c>
      <x:c r="H8" s="13" t="str">
        <x:v>河闸桶匠公所</x:v>
      </x:c>
      <x:c r="I8" s="13" t="str">
        <x:v>蒸弯橡木桶配可拆铜箍，适用于淡水、酒与精细货物的港口订单</x:v>
      </x:c>
      <x:c r="J8" s="13" t="str">
        <x:v>汉堡专属贸易品牌；适用于船厂、工具工坊、工坊建设订单与海员礼赠。</x:v>
      </x:c>
      <x:c r="K8" s="13" t="str">
        <x:v>港口发展度达到D3（≥450点）时，投资项目「河闸桶匠公所」自动完工；不要求武装度。</x:v>
      </x:c>
    </x:row>
    <x:row r="9" ht="42" customHeight="1">
      <x:c r="A9" s="15" t="str">
        <x:v>P004</x:v>
      </x:c>
      <x:c r="B9" s="15" t="str">
        <x:v>吕贝克</x:v>
      </x:c>
      <x:c r="C9" s="15" t="str">
        <x:v>SP004</x:v>
      </x:c>
      <x:c r="D9" s="15" t="str">
        <x:v>七港封蜡匣</x:v>
      </x:c>
      <x:c r="E9" s="15" t="str">
        <x:v>工艺品</x:v>
      </x:c>
      <x:c r="F9" s="30" t="n">
        <x:v>420</x:v>
      </x:c>
      <x:c r="G9" s="30" t="n">
        <x:v>3</x:v>
      </x:c>
      <x:c r="H9" s="15" t="str">
        <x:v>商印与蜂蜡工坊</x:v>
      </x:c>
      <x:c r="I9" s="15" t="str">
        <x:v>七种颜色的蜂蜡与黄铜印柄成套出售，图纹对应虚构商会而非现实官印</x:v>
      </x:c>
      <x:c r="J9" s="15" t="str">
        <x:v>吕贝克专属贸易品牌；适用于收藏、礼品、宴会订单与海员礼赠。</x:v>
      </x:c>
      <x:c r="K9" s="15" t="str">
        <x:v>港口发展度达到D3（≥450点）时，投资项目「商印与蜂蜡工坊」自动完工；不要求武装度。</x:v>
      </x:c>
    </x:row>
    <x:row r="10" ht="42" customHeight="1">
      <x:c r="A10" s="13" t="str">
        <x:v>P005</x:v>
      </x:c>
      <x:c r="B10" s="13" t="str">
        <x:v>卑尔根</x:v>
      </x:c>
      <x:c r="C10" s="13" t="str">
        <x:v>SP005</x:v>
      </x:c>
      <x:c r="D10" s="13" t="str">
        <x:v>极昼白鳕礼匣</x:v>
      </x:c>
      <x:c r="E10" s="13" t="str">
        <x:v>食品</x:v>
      </x:c>
      <x:c r="F10" s="27" t="n">
        <x:v>285</x:v>
      </x:c>
      <x:c r="G10" s="27" t="n">
        <x:v>3</x:v>
      </x:c>
      <x:c r="H10" s="13" t="str">
        <x:v>高架风干场</x:v>
      </x:c>
      <x:c r="I10" s="13" t="str">
        <x:v>精选薄切干鳕配盐纸与树皮绳，开箱可见鱼肉近乎珠白的纹理</x:v>
      </x:c>
      <x:c r="J10" s="13" t="str">
        <x:v>卑尔根专属贸易品牌；适用于宴会、远航补给、礼品订单与海员礼赠。</x:v>
      </x:c>
      <x:c r="K10" s="13" t="str">
        <x:v>港口发展度达到D3（≥450点）时，投资项目「高架风干场」自动完工；不要求武装度。</x:v>
      </x:c>
    </x:row>
    <x:row r="11" ht="42" customHeight="1">
      <x:c r="A11" s="15" t="str">
        <x:v>P006</x:v>
      </x:c>
      <x:c r="B11" s="15" t="str">
        <x:v>哥本哈根</x:v>
      </x:c>
      <x:c r="C11" s="15" t="str">
        <x:v>SP006</x:v>
      </x:c>
      <x:c r="D11" s="15" t="str">
        <x:v>双狮黄铜分规</x:v>
      </x:c>
      <x:c r="E11" s="15" t="str">
        <x:v>奢侈品</x:v>
      </x:c>
      <x:c r="F11" s="30" t="n">
        <x:v>840</x:v>
      </x:c>
      <x:c r="G11" s="30" t="n">
        <x:v>4</x:v>
      </x:c>
      <x:c r="H11" s="15" t="str">
        <x:v>海峡量具工坊</x:v>
      </x:c>
      <x:c r="I11" s="15" t="str">
        <x:v>分规握柄以两只相向海狮构形，可折入皮革海图筒</x:v>
      </x:c>
      <x:c r="J11" s="15" t="str">
        <x:v>哥本哈根专属贸易品牌；适用于宫廷、收藏、礼品订单与海员礼赠。</x:v>
      </x:c>
      <x:c r="K11" s="15" t="str">
        <x:v>港口发展度达到D4（≥700点）时，投资项目「海峡量具工坊」自动完工；不要求武装度。</x:v>
      </x:c>
    </x:row>
    <x:row r="12" ht="42" customHeight="1">
      <x:c r="A12" s="13" t="str">
        <x:v>P007</x:v>
      </x:c>
      <x:c r="B12" s="13" t="str">
        <x:v>斯德哥尔摩</x:v>
      </x:c>
      <x:c r="C12" s="13" t="str">
        <x:v>SP007</x:v>
      </x:c>
      <x:c r="D12" s="13" t="str">
        <x:v>铜冠折影烛台</x:v>
      </x:c>
      <x:c r="E12" s="13" t="str">
        <x:v>工艺品</x:v>
      </x:c>
      <x:c r="F12" s="27" t="n">
        <x:v>620</x:v>
      </x:c>
      <x:c r="G12" s="27" t="n">
        <x:v>3</x:v>
      </x:c>
      <x:c r="H12" s="13" t="str">
        <x:v>群岛铜器工坊</x:v>
      </x:c>
      <x:c r="I12" s="13" t="str">
        <x:v>薄铜反光翼可展开，把一簇烛火铺成温暖船舱灯墙</x:v>
      </x:c>
      <x:c r="J12" s="13" t="str">
        <x:v>斯德哥尔摩专属贸易品牌；适用于收藏、礼品、宴会订单与海员礼赠。</x:v>
      </x:c>
      <x:c r="K12" s="13" t="str">
        <x:v>港口发展度达到D3（≥450点）时，投资项目「群岛铜器工坊」自动完工；不要求武装度。</x:v>
      </x:c>
    </x:row>
    <x:row r="13" ht="42" customHeight="1">
      <x:c r="A13" s="15" t="str">
        <x:v>P008</x:v>
      </x:c>
      <x:c r="B13" s="15" t="str">
        <x:v>但泽</x:v>
      </x:c>
      <x:c r="C13" s="15" t="str">
        <x:v>SP008</x:v>
      </x:c>
      <x:c r="D13" s="15" t="str">
        <x:v>潮封琥珀玫瑰</x:v>
      </x:c>
      <x:c r="E13" s="15" t="str">
        <x:v>宝石</x:v>
      </x:c>
      <x:c r="F13" s="30" t="n">
        <x:v>1120</x:v>
      </x:c>
      <x:c r="G13" s="30" t="n">
        <x:v>4</x:v>
      </x:c>
      <x:c r="H13" s="15" t="str">
        <x:v>琥珀雕刻师行会</x:v>
      </x:c>
      <x:c r="I13" s="15" t="str">
        <x:v>以原产琥珀雕出半透明海浪花，内含植物碎屑的外观随品质变化</x:v>
      </x:c>
      <x:c r="J13" s="15" t="str">
        <x:v>但泽专属贸易品牌；适用于珠宝工坊、宫廷、收藏订单与海员礼赠。</x:v>
      </x:c>
      <x:c r="K13" s="15" t="str">
        <x:v>港口发展度达到D4（≥700点）时，投资项目「琥珀雕刻师行会」自动完工；不要求武装度。</x:v>
      </x:c>
    </x:row>
    <x:row r="14" ht="42" customHeight="1">
      <x:c r="A14" s="13" t="str">
        <x:v>P009</x:v>
      </x:c>
      <x:c r="B14" s="13" t="str">
        <x:v>里加</x:v>
      </x:c>
      <x:c r="C14" s="13" t="str">
        <x:v>SP009</x:v>
      </x:c>
      <x:c r="D14" s="13" t="str">
        <x:v>里加长纤帆布</x:v>
      </x:c>
      <x:c r="E14" s="13" t="str">
        <x:v>织物</x:v>
      </x:c>
      <x:c r="F14" s="27" t="n">
        <x:v>345</x:v>
      </x:c>
      <x:c r="G14" s="27" t="n">
        <x:v>3</x:v>
      </x:c>
      <x:c r="H14" s="13" t="str">
        <x:v>双织密帆布工坊</x:v>
      </x:c>
      <x:c r="I14" s="13" t="str">
        <x:v>以不同织密分成迎风与背风两区，织边缝上蓝灰航线花纹</x:v>
      </x:c>
      <x:c r="J14" s="13" t="str">
        <x:v>里加专属贸易品牌；适用于奢华衣料、礼品、收藏订单与海员礼赠。</x:v>
      </x:c>
      <x:c r="K14" s="13" t="str">
        <x:v>港口发展度达到D3（≥450点）时，投资项目「双织密帆布工坊」自动完工；不要求武装度。</x:v>
      </x:c>
    </x:row>
    <x:row r="15" ht="42" customHeight="1">
      <x:c r="A15" s="15" t="str">
        <x:v>P010</x:v>
      </x:c>
      <x:c r="B15" s="15" t="str">
        <x:v>雷克雅未克</x:v>
      </x:c>
      <x:c r="C15" s="15" t="str">
        <x:v>SP010</x:v>
      </x:c>
      <x:c r="D15" s="15" t="str">
        <x:v>火山盐烟鱼皮册</x:v>
      </x:c>
      <x:c r="E15" s="15" t="str">
        <x:v>工艺品</x:v>
      </x:c>
      <x:c r="F15" s="30" t="n">
        <x:v>430</x:v>
      </x:c>
      <x:c r="G15" s="30" t="n">
        <x:v>3</x:v>
      </x:c>
      <x:c r="H15" s="15" t="str">
        <x:v>鱼皮装帧小屋</x:v>
      </x:c>
      <x:c r="I15" s="15" t="str">
        <x:v>以烟熏鱼皮装帧空白航海册，封面嵌细粒黑曜色火山玻璃；为原创工艺组合</x:v>
      </x:c>
      <x:c r="J15" s="15" t="str">
        <x:v>雷克雅未克专属贸易品牌；适用于收藏、礼品、宴会订单与海员礼赠。</x:v>
      </x:c>
      <x:c r="K15" s="15" t="str">
        <x:v>港口发展度达到D3（≥450点）时，投资项目「鱼皮装帧小屋」自动完工；不要求武装度。</x:v>
      </x:c>
    </x:row>
    <x:row r="16" ht="42" customHeight="1">
      <x:c r="A16" s="13" t="str">
        <x:v>P011</x:v>
      </x:c>
      <x:c r="B16" s="13" t="str">
        <x:v>里斯本</x:v>
      </x:c>
      <x:c r="C16" s="13" t="str">
        <x:v>SP011</x:v>
      </x:c>
      <x:c r="D16" s="13" t="str">
        <x:v>蓝海星盘瓷盘</x:v>
      </x:c>
      <x:c r="E16" s="13" t="str">
        <x:v>工艺品</x:v>
      </x:c>
      <x:c r="F16" s="27" t="n">
        <x:v>780</x:v>
      </x:c>
      <x:c r="G16" s="27" t="n">
        <x:v>3</x:v>
      </x:c>
      <x:c r="H16" s="13" t="str">
        <x:v>蓝瓷星图窑</x:v>
      </x:c>
      <x:c r="I16" s="13" t="str">
        <x:v>白釉蓝绘把南北星图拼为装饰图，盘沿刻有虚构航程纪念章</x:v>
      </x:c>
      <x:c r="J16" s="13" t="str">
        <x:v>里斯本专属贸易品牌；适用于收藏、礼品、宴会订单与海员礼赠。</x:v>
      </x:c>
      <x:c r="K16" s="13" t="str">
        <x:v>港口发展度达到D3（≥450点）时，投资项目「蓝瓷星图窑」自动完工；不要求武装度。</x:v>
      </x:c>
    </x:row>
    <x:row r="17" ht="42" customHeight="1">
      <x:c r="A17" s="15" t="str">
        <x:v>P012</x:v>
      </x:c>
      <x:c r="B17" s="15" t="str">
        <x:v>波尔图</x:v>
      </x:c>
      <x:c r="C17" s="15" t="str">
        <x:v>SP012</x:v>
      </x:c>
      <x:c r="D17" s="15" t="str">
        <x:v>暮金杜罗陈酿</x:v>
      </x:c>
      <x:c r="E17" s="15" t="str">
        <x:v>酒类</x:v>
      </x:c>
      <x:c r="F17" s="30" t="n">
        <x:v>480</x:v>
      </x:c>
      <x:c r="G17" s="30" t="n">
        <x:v>3</x:v>
      </x:c>
      <x:c r="H17" s="15" t="str">
        <x:v>山坡恒温酒窖</x:v>
      </x:c>
      <x:c r="I17" s="15" t="str">
        <x:v>红宝石色强化酒装入细长肩瓶，酒封上写满原创船名</x:v>
      </x:c>
      <x:c r="J17" s="15" t="str">
        <x:v>波尔图专属贸易品牌；适用于酒馆、宴会、礼品订单与海员礼赠。</x:v>
      </x:c>
      <x:c r="K17" s="15" t="str">
        <x:v>港口发展度达到D3（≥450点）时，投资项目「山坡恒温酒窖」自动完工；不要求武装度。</x:v>
      </x:c>
    </x:row>
    <x:row r="18" ht="42" customHeight="1">
      <x:c r="A18" s="13" t="str">
        <x:v>P013</x:v>
      </x:c>
      <x:c r="B18" s="13" t="str">
        <x:v>塞维利亚</x:v>
      </x:c>
      <x:c r="C18" s="13" t="str">
        <x:v>SP013</x:v>
      </x:c>
      <x:c r="D18" s="13" t="str">
        <x:v>橙花银线披肩</x:v>
      </x:c>
      <x:c r="E18" s="13" t="str">
        <x:v>织物</x:v>
      </x:c>
      <x:c r="F18" s="27" t="n">
        <x:v>950</x:v>
      </x:c>
      <x:c r="G18" s="27" t="n">
        <x:v>3</x:v>
      </x:c>
      <x:c r="H18" s="13" t="str">
        <x:v>橙园银线织坊</x:v>
      </x:c>
      <x:c r="I18" s="13" t="str">
        <x:v>丝棉地织入银亮橙花纹，结合河港染坊与珠宝匠的原创款式</x:v>
      </x:c>
      <x:c r="J18" s="13" t="str">
        <x:v>塞维利亚专属贸易品牌；适用于奢华衣料、礼品、收藏订单与海员礼赠。</x:v>
      </x:c>
      <x:c r="K18" s="13" t="str">
        <x:v>港口发展度达到D3（≥450点）时，投资项目「橙园银线织坊」自动完工；不要求武装度。</x:v>
      </x:c>
    </x:row>
    <x:row r="19" ht="42" customHeight="1">
      <x:c r="A19" s="15" t="str">
        <x:v>P014</x:v>
      </x:c>
      <x:c r="B19" s="15" t="str">
        <x:v>加的斯</x:v>
      </x:c>
      <x:c r="C19" s="15" t="str">
        <x:v>SP014</x:v>
      </x:c>
      <x:c r="D19" s="15" t="str">
        <x:v>日晷塔雪莉珍酿</x:v>
      </x:c>
      <x:c r="E19" s="15" t="str">
        <x:v>酒类</x:v>
      </x:c>
      <x:c r="F19" s="30" t="n">
        <x:v>510</x:v>
      </x:c>
      <x:c r="G19" s="30" t="n">
        <x:v>3</x:v>
      </x:c>
      <x:c r="H19" s="15" t="str">
        <x:v>海风调配酒库</x:v>
      </x:c>
      <x:c r="I19" s="15" t="str">
        <x:v>琥珀色葡萄酒经多桶调配，以瞭望塔投影命名各批次</x:v>
      </x:c>
      <x:c r="J19" s="15" t="str">
        <x:v>加的斯专属贸易品牌；适用于酒馆、宴会、礼品订单与海员礼赠。</x:v>
      </x:c>
      <x:c r="K19" s="15" t="str">
        <x:v>港口发展度达到D3（≥450点）时，投资项目「海风调配酒库」自动完工；不要求武装度。</x:v>
      </x:c>
    </x:row>
    <x:row r="20" ht="42" customHeight="1">
      <x:c r="A20" s="13" t="str">
        <x:v>P015</x:v>
      </x:c>
      <x:c r="B20" s="13" t="str">
        <x:v>拉科鲁尼亚</x:v>
      </x:c>
      <x:c r="C20" s="13" t="str">
        <x:v>SP015</x:v>
      </x:c>
      <x:c r="D20" s="13" t="str">
        <x:v>灯塔贝母罗盘盒</x:v>
      </x:c>
      <x:c r="E20" s="13" t="str">
        <x:v>工艺品</x:v>
      </x:c>
      <x:c r="F20" s="27" t="n">
        <x:v>610</x:v>
      </x:c>
      <x:c r="G20" s="27" t="n">
        <x:v>3</x:v>
      </x:c>
      <x:c r="H20" s="13" t="str">
        <x:v>海堤贝母工坊</x:v>
      </x:c>
      <x:c r="I20" s="13" t="str">
        <x:v>贝母贴片拼出放射潮纹，仅售外盒与工艺件而非自动航行神器</x:v>
      </x:c>
      <x:c r="J20" s="13" t="str">
        <x:v>拉科鲁尼亚专属贸易品牌；适用于收藏、礼品、宴会订单与海员礼赠。</x:v>
      </x:c>
      <x:c r="K20" s="13" t="str">
        <x:v>港口发展度达到D3（≥450点）时，投资项目「海堤贝母工坊」自动完工；不要求武装度。</x:v>
      </x:c>
    </x:row>
    <x:row r="21" ht="42" customHeight="1">
      <x:c r="A21" s="15" t="str">
        <x:v>P016</x:v>
      </x:c>
      <x:c r="B21" s="15" t="str">
        <x:v>毕尔巴鄂</x:v>
      </x:c>
      <x:c r="C21" s="15" t="str">
        <x:v>SP016</x:v>
      </x:c>
      <x:c r="D21" s="15" t="str">
        <x:v>赤炉折齿船匠锯</x:v>
      </x:c>
      <x:c r="E21" s="15" t="str">
        <x:v>工业品</x:v>
      </x:c>
      <x:c r="F21" s="30" t="n">
        <x:v>530</x:v>
      </x:c>
      <x:c r="G21" s="30" t="n">
        <x:v>3</x:v>
      </x:c>
      <x:c r="H21" s="15" t="str">
        <x:v>赤炉船匠总作坊</x:v>
      </x:c>
      <x:c r="I21" s="15" t="str">
        <x:v>弧形锯身、可换齿条与红木护套组成船匠礼盒，属架空工艺发展</x:v>
      </x:c>
      <x:c r="J21" s="15" t="str">
        <x:v>毕尔巴鄂专属贸易品牌；适用于船厂、工具工坊、工坊建设订单与海员礼赠。</x:v>
      </x:c>
      <x:c r="K21" s="15" t="str">
        <x:v>港口发展度达到D3（≥450点）时，投资项目「赤炉船匠总作坊」自动完工；不要求武装度。</x:v>
      </x:c>
    </x:row>
    <x:row r="22" ht="42" customHeight="1">
      <x:c r="A22" s="13" t="str">
        <x:v>P017</x:v>
      </x:c>
      <x:c r="B22" s="13" t="str">
        <x:v>波尔多</x:v>
      </x:c>
      <x:c r="C22" s="13" t="str">
        <x:v>SP017</x:v>
      </x:c>
      <x:c r="D22" s="13" t="str">
        <x:v>月湾黑葡萄珍藏</x:v>
      </x:c>
      <x:c r="E22" s="13" t="str">
        <x:v>酒类</x:v>
      </x:c>
      <x:c r="F22" s="27" t="n">
        <x:v>460</x:v>
      </x:c>
      <x:c r="G22" s="27" t="n">
        <x:v>3</x:v>
      </x:c>
      <x:c r="H22" s="13" t="str">
        <x:v>月湾酒商共用窖</x:v>
      </x:c>
      <x:c r="I22" s="13" t="str">
        <x:v>晚熟红葡萄与深烘桶香组成原创酒庄系列</x:v>
      </x:c>
      <x:c r="J22" s="13" t="str">
        <x:v>波尔多专属贸易品牌；适用于酒馆、宴会、礼品订单与海员礼赠。</x:v>
      </x:c>
      <x:c r="K22" s="13" t="str">
        <x:v>港口发展度达到D3（≥450点）时，投资项目「月湾酒商共用窖」自动完工；不要求武装度。</x:v>
      </x:c>
    </x:row>
    <x:row r="23" ht="42" customHeight="1">
      <x:c r="A23" s="15" t="str">
        <x:v>P018</x:v>
      </x:c>
      <x:c r="B23" s="15" t="str">
        <x:v>南特</x:v>
      </x:c>
      <x:c r="C23" s="15" t="str">
        <x:v>SP018</x:v>
      </x:c>
      <x:c r="D23" s="15" t="str">
        <x:v>卢瓦尔织潮挂毯</x:v>
      </x:c>
      <x:c r="E23" s="15" t="str">
        <x:v>织物</x:v>
      </x:c>
      <x:c r="F23" s="30" t="n">
        <x:v>880</x:v>
      </x:c>
      <x:c r="G23" s="30" t="n">
        <x:v>3</x:v>
      </x:c>
      <x:c r="H23" s="15" t="str">
        <x:v>河汊挂毯工坊</x:v>
      </x:c>
      <x:c r="I23" s="15" t="str">
        <x:v>蓝白河汊图案中藏着微型航船，以当地工坊原创图样制成</x:v>
      </x:c>
      <x:c r="J23" s="15" t="str">
        <x:v>南特专属贸易品牌；适用于奢华衣料、礼品、收藏订单与海员礼赠。</x:v>
      </x:c>
      <x:c r="K23" s="15" t="str">
        <x:v>港口发展度达到D3（≥450点）时，投资项目「河汊挂毯工坊」自动完工；不要求武装度。</x:v>
      </x:c>
    </x:row>
    <x:row r="24" ht="42" customHeight="1">
      <x:c r="A24" s="13" t="str">
        <x:v>P019</x:v>
      </x:c>
      <x:c r="B24" s="13" t="str">
        <x:v>圣马洛</x:v>
      </x:c>
      <x:c r="C24" s="13" t="str">
        <x:v>SP019</x:v>
      </x:c>
      <x:c r="D24" s="13" t="str">
        <x:v>满潮银扣海图筒</x:v>
      </x:c>
      <x:c r="E24" s="13" t="str">
        <x:v>工艺品</x:v>
      </x:c>
      <x:c r="F24" s="27" t="n">
        <x:v>660</x:v>
      </x:c>
      <x:c r="G24" s="27" t="n">
        <x:v>3</x:v>
      </x:c>
      <x:c r="H24" s="13" t="str">
        <x:v>潮门皮革金工作坊</x:v>
      </x:c>
      <x:c r="I24" s="13" t="str">
        <x:v>筒盖用银色潮汐刻纹，皮革夹层可同时容纳湿图与书信</x:v>
      </x:c>
      <x:c r="J24" s="13" t="str">
        <x:v>圣马洛专属贸易品牌；适用于收藏、礼品、宴会订单与海员礼赠。</x:v>
      </x:c>
      <x:c r="K24" s="13" t="str">
        <x:v>港口发展度达到D3（≥450点）时，投资项目「潮门皮革金工作坊」自动完工；不要求武装度。</x:v>
      </x:c>
    </x:row>
    <x:row r="25" ht="42" customHeight="1">
      <x:c r="A25" s="15" t="str">
        <x:v>P020</x:v>
      </x:c>
      <x:c r="B25" s="15" t="str">
        <x:v>布雷斯特</x:v>
      </x:c>
      <x:c r="C25" s="15" t="str">
        <x:v>SP020</x:v>
      </x:c>
      <x:c r="D25" s="15" t="str">
        <x:v>海军蓝浸蜡帆缆</x:v>
      </x:c>
      <x:c r="E25" s="15" t="str">
        <x:v>工业品</x:v>
      </x:c>
      <x:c r="F25" s="30" t="n">
        <x:v>410</x:v>
      </x:c>
      <x:c r="G25" s="30" t="n">
        <x:v>3</x:v>
      </x:c>
      <x:c r="H25" s="15" t="str">
        <x:v>深湾索具长廊</x:v>
      </x:c>
      <x:c r="I25" s="15" t="str">
        <x:v>蓝灰缆索按不同直径分卷，浸蜡工艺使外观泛出细碎光泽</x:v>
      </x:c>
      <x:c r="J25" s="15" t="str">
        <x:v>布雷斯特专属贸易品牌；适用于船厂、工具工坊、工坊建设订单与海员礼赠。</x:v>
      </x:c>
      <x:c r="K25" s="15" t="str">
        <x:v>港口发展度达到D3（≥450点）时，投资项目「深湾索具长廊」自动完工；不要求武装度。</x:v>
      </x:c>
    </x:row>
    <x:row r="26" ht="42" customHeight="1">
      <x:c r="A26" s="13" t="str">
        <x:v>P021</x:v>
      </x:c>
      <x:c r="B26" s="13" t="str">
        <x:v>马赛</x:v>
      </x:c>
      <x:c r="C26" s="13" t="str">
        <x:v>SP021</x:v>
      </x:c>
      <x:c r="D26" s="13" t="str">
        <x:v>海风月桂皂礼砖</x:v>
      </x:c>
      <x:c r="E26" s="13" t="str">
        <x:v>工艺品</x:v>
      </x:c>
      <x:c r="F26" s="27" t="n">
        <x:v>250</x:v>
      </x:c>
      <x:c r="G26" s="27" t="n">
        <x:v>3</x:v>
      </x:c>
      <x:c r="H26" s="13" t="str">
        <x:v>旧港油皂工坊</x:v>
      </x:c>
      <x:c r="I26" s="13" t="str">
        <x:v>橄榄油皂压出月桂和浪纹，礼砖能拆成数个随航小块</x:v>
      </x:c>
      <x:c r="J26" s="13" t="str">
        <x:v>马赛专属贸易品牌；适用于收藏、礼品、宴会订单与海员礼赠。</x:v>
      </x:c>
      <x:c r="K26" s="13" t="str">
        <x:v>港口发展度达到D3（≥450点）时，投资项目「旧港油皂工坊」自动完工；不要求武装度。</x:v>
      </x:c>
    </x:row>
    <x:row r="27" ht="42" customHeight="1">
      <x:c r="A27" s="15" t="str">
        <x:v>P022</x:v>
      </x:c>
      <x:c r="B27" s="15" t="str">
        <x:v>热那亚</x:v>
      </x:c>
      <x:c r="C27" s="15" t="str">
        <x:v>SP022</x:v>
      </x:c>
      <x:c r="D27" s="15" t="str">
        <x:v>蓝帆金边丝绒</x:v>
      </x:c>
      <x:c r="E27" s="15" t="str">
        <x:v>织物</x:v>
      </x:c>
      <x:c r="F27" s="30" t="n">
        <x:v>920</x:v>
      </x:c>
      <x:c r="G27" s="30" t="n">
        <x:v>3</x:v>
      </x:c>
      <x:c r="H27" s="15" t="str">
        <x:v>山坡丝绒工坊</x:v>
      </x:c>
      <x:c r="I27" s="15" t="str">
        <x:v>深蓝短绒上以极细金线织入桨叶纹，不同角度有海面般明暗变化</x:v>
      </x:c>
      <x:c r="J27" s="15" t="str">
        <x:v>热那亚专属贸易品牌；适用于奢华衣料、礼品、收藏订单与海员礼赠。</x:v>
      </x:c>
      <x:c r="K27" s="15" t="str">
        <x:v>港口发展度达到D3（≥450点）时，投资项目「山坡丝绒工坊」自动完工；不要求武装度。</x:v>
      </x:c>
    </x:row>
    <x:row r="28" ht="42" customHeight="1">
      <x:c r="A28" s="13" t="str">
        <x:v>P023</x:v>
      </x:c>
      <x:c r="B28" s="13" t="str">
        <x:v>威尼斯</x:v>
      </x:c>
      <x:c r="C28" s="13" t="str">
        <x:v>SP023</x:v>
      </x:c>
      <x:c r="D28" s="13" t="str">
        <x:v>千潮琉璃天球灯</x:v>
      </x:c>
      <x:c r="E28" s="13" t="str">
        <x:v>奢侈品</x:v>
      </x:c>
      <x:c r="F28" s="27" t="n">
        <x:v>1480</x:v>
      </x:c>
      <x:c r="G28" s="27" t="n">
        <x:v>4</x:v>
      </x:c>
      <x:c r="H28" s="13" t="str">
        <x:v>潟湖玻璃与机械作坊</x:v>
      </x:c>
      <x:c r="I28" s="13" t="str">
        <x:v>多层薄玻璃套出星、浪和风的轨迹，点灯后在桌面投下流动纹影</x:v>
      </x:c>
      <x:c r="J28" s="13" t="str">
        <x:v>威尼斯专属贸易品牌；适用于宫廷、收藏、礼品订单与海员礼赠。</x:v>
      </x:c>
      <x:c r="K28" s="13" t="str">
        <x:v>港口发展度达到D4（≥700点）时，投资项目「潟湖玻璃与机械作坊」自动完工；不要求武装度。</x:v>
      </x:c>
    </x:row>
    <x:row r="29" ht="42" customHeight="1">
      <x:c r="A29" s="15" t="str">
        <x:v>P024</x:v>
      </x:c>
      <x:c r="B29" s="15" t="str">
        <x:v>那不勒斯</x:v>
      </x:c>
      <x:c r="C29" s="15" t="str">
        <x:v>SP024</x:v>
      </x:c>
      <x:c r="D29" s="15" t="str">
        <x:v>火山红珊瑚花结</x:v>
      </x:c>
      <x:c r="E29" s="15" t="str">
        <x:v>宝石</x:v>
      </x:c>
      <x:c r="F29" s="30" t="n">
        <x:v>950</x:v>
      </x:c>
      <x:c r="G29" s="30" t="n">
        <x:v>4</x:v>
      </x:c>
      <x:c r="H29" s="15" t="str">
        <x:v>湾岸珊瑚金工坊</x:v>
      </x:c>
      <x:c r="I29" s="15" t="str">
        <x:v>细小珊瑚枝以银线固定成喷泉形花结，工艺形制为原创</x:v>
      </x:c>
      <x:c r="J29" s="15" t="str">
        <x:v>那不勒斯专属贸易品牌；适用于珠宝工坊、宫廷、收藏订单与海员礼赠。</x:v>
      </x:c>
      <x:c r="K29" s="15" t="str">
        <x:v>港口发展度达到D4（≥700点）时，投资项目「湾岸珊瑚金工坊」自动完工；不要求武装度。</x:v>
      </x:c>
    </x:row>
    <x:row r="30" ht="42" customHeight="1">
      <x:c r="A30" s="13" t="str">
        <x:v>P025</x:v>
      </x:c>
      <x:c r="B30" s="13" t="str">
        <x:v>巴勒莫</x:v>
      </x:c>
      <x:c r="C30" s="13" t="str">
        <x:v>SP025</x:v>
      </x:c>
      <x:c r="D30" s="13" t="str">
        <x:v>西西里柑橘蜜晶</x:v>
      </x:c>
      <x:c r="E30" s="13" t="str">
        <x:v>食品</x:v>
      </x:c>
      <x:c r="F30" s="27" t="n">
        <x:v>330</x:v>
      </x:c>
      <x:c r="G30" s="27" t="n">
        <x:v>3</x:v>
      </x:c>
      <x:c r="H30" s="13" t="str">
        <x:v>柑橘糖果小院</x:v>
      </x:c>
      <x:c r="I30" s="13" t="str">
        <x:v>糖渍橘皮包住透明蜜糖芯，装在绘有海湾小船的陶匣中</x:v>
      </x:c>
      <x:c r="J30" s="13" t="str">
        <x:v>巴勒莫专属贸易品牌；适用于宴会、远航补给、礼品订单与海员礼赠。</x:v>
      </x:c>
      <x:c r="K30" s="13" t="str">
        <x:v>港口发展度达到D3（≥450点）时，投资项目「柑橘糖果小院」自动完工；不要求武装度。</x:v>
      </x:c>
    </x:row>
    <x:row r="31" ht="42" customHeight="1">
      <x:c r="A31" s="15" t="str">
        <x:v>P026</x:v>
      </x:c>
      <x:c r="B31" s="15" t="str">
        <x:v>瓦莱塔</x:v>
      </x:c>
      <x:c r="C31" s="15" t="str">
        <x:v>SP026</x:v>
      </x:c>
      <x:c r="D31" s="15" t="str">
        <x:v>八角潮针护航仪</x:v>
      </x:c>
      <x:c r="E31" s="15" t="str">
        <x:v>奢侈品</x:v>
      </x:c>
      <x:c r="F31" s="30" t="n">
        <x:v>1080</x:v>
      </x:c>
      <x:c r="G31" s="30" t="n">
        <x:v>4</x:v>
      </x:c>
      <x:c r="H31" s="15" t="str">
        <x:v>大港仪器院</x:v>
      </x:c>
      <x:c r="I31" s="15" t="str">
        <x:v>八角黄铜外壳与海蓝釉面，包装以护航誓词和私人船团纹章定制</x:v>
      </x:c>
      <x:c r="J31" s="15" t="str">
        <x:v>瓦莱塔专属贸易品牌；适用于宫廷、收藏、礼品订单与海员礼赠。</x:v>
      </x:c>
      <x:c r="K31" s="15" t="str">
        <x:v>港口发展度达到D4（≥700点）时，投资项目「大港仪器院」自动完工；不要求武装度。</x:v>
      </x:c>
    </x:row>
    <x:row r="32" ht="42" customHeight="1">
      <x:c r="A32" s="13" t="str">
        <x:v>P027</x:v>
      </x:c>
      <x:c r="B32" s="13" t="str">
        <x:v>巴塞罗那</x:v>
      </x:c>
      <x:c r="C32" s="13" t="str">
        <x:v>SP027</x:v>
      </x:c>
      <x:c r="D32" s="13" t="str">
        <x:v>赤拱双面海商呢</x:v>
      </x:c>
      <x:c r="E32" s="13" t="str">
        <x:v>织物</x:v>
      </x:c>
      <x:c r="F32" s="27" t="n">
        <x:v>630</x:v>
      </x:c>
      <x:c r="G32" s="27" t="n">
        <x:v>3</x:v>
      </x:c>
      <x:c r="H32" s="13" t="str">
        <x:v>长拱双面织坊</x:v>
      </x:c>
      <x:c r="I32" s="13" t="str">
        <x:v>一面深红一面靛蓝的厚呢，翻折袖口可读出波浪状织纹</x:v>
      </x:c>
      <x:c r="J32" s="13" t="str">
        <x:v>巴塞罗那专属贸易品牌；适用于奢华衣料、礼品、收藏订单与海员礼赠。</x:v>
      </x:c>
      <x:c r="K32" s="13" t="str">
        <x:v>港口发展度达到D3（≥450点）时，投资项目「长拱双面织坊」自动完工；不要求武装度。</x:v>
      </x:c>
    </x:row>
    <x:row r="33" ht="42" customHeight="1">
      <x:c r="A33" s="15" t="str">
        <x:v>P028</x:v>
      </x:c>
      <x:c r="B33" s="15" t="str">
        <x:v>阿尔及尔</x:v>
      </x:c>
      <x:c r="C33" s="15" t="str">
        <x:v>SP028</x:v>
      </x:c>
      <x:c r="D33" s="15" t="str">
        <x:v>白城嵌银海靴</x:v>
      </x:c>
      <x:c r="E33" s="15" t="str">
        <x:v>工艺品</x:v>
      </x:c>
      <x:c r="F33" s="30" t="n">
        <x:v>720</x:v>
      </x:c>
      <x:c r="G33" s="30" t="n">
        <x:v>3</x:v>
      </x:c>
      <x:c r="H33" s="15" t="str">
        <x:v>露台皮革工坊</x:v>
      </x:c>
      <x:c r="I33" s="15" t="str">
        <x:v>柔皮海靴配可拆护踝，银色藤纹只缝在外层装饰片</x:v>
      </x:c>
      <x:c r="J33" s="15" t="str">
        <x:v>阿尔及尔专属贸易品牌；适用于收藏、礼品、宴会订单与海员礼赠。</x:v>
      </x:c>
      <x:c r="K33" s="15" t="str">
        <x:v>港口发展度达到D3（≥450点）时，投资项目「露台皮革工坊」自动完工；不要求武装度。</x:v>
      </x:c>
    </x:row>
    <x:row r="34" ht="42" customHeight="1">
      <x:c r="A34" s="13" t="str">
        <x:v>P029</x:v>
      </x:c>
      <x:c r="B34" s="13" t="str">
        <x:v>突尼斯</x:v>
      </x:c>
      <x:c r="C34" s="13" t="str">
        <x:v>SP029</x:v>
      </x:c>
      <x:c r="D34" s="13" t="str">
        <x:v>潟湖石榴红织毯</x:v>
      </x:c>
      <x:c r="E34" s="13" t="str">
        <x:v>织物</x:v>
      </x:c>
      <x:c r="F34" s="27" t="n">
        <x:v>850</x:v>
      </x:c>
      <x:c r="G34" s="27" t="n">
        <x:v>3</x:v>
      </x:c>
      <x:c r="H34" s="13" t="str">
        <x:v>潟湖染毯行会</x:v>
      </x:c>
      <x:c r="I34" s="13" t="str">
        <x:v>茜草色几何波纹铺在羊毛地上，周边缀浅金石榴花线</x:v>
      </x:c>
      <x:c r="J34" s="13" t="str">
        <x:v>突尼斯专属贸易品牌；适用于奢华衣料、礼品、收藏订单与海员礼赠。</x:v>
      </x:c>
      <x:c r="K34" s="13" t="str">
        <x:v>港口发展度达到D3（≥450点）时，投资项目「潟湖染毯行会」自动完工；不要求武装度。</x:v>
      </x:c>
    </x:row>
    <x:row r="35" ht="42" customHeight="1">
      <x:c r="A35" s="15" t="str">
        <x:v>P030</x:v>
      </x:c>
      <x:c r="B35" s="15" t="str">
        <x:v>亚历山大</x:v>
      </x:c>
      <x:c r="C35" s="15" t="str">
        <x:v>SP030</x:v>
      </x:c>
      <x:c r="D35" s="15" t="str">
        <x:v>星沙彩绘航路册</x:v>
      </x:c>
      <x:c r="E35" s="15" t="str">
        <x:v>奢侈品</x:v>
      </x:c>
      <x:c r="F35" s="30" t="n">
        <x:v>980</x:v>
      </x:c>
      <x:c r="G35" s="30" t="n">
        <x:v>4</x:v>
      </x:c>
      <x:c r="H35" s="15" t="str">
        <x:v>港湾抄绘与装帧院</x:v>
      </x:c>
      <x:c r="I35" s="15" t="str">
        <x:v>以双语地名和原创星图装帧的新抄印册，非复制历史手稿</x:v>
      </x:c>
      <x:c r="J35" s="15" t="str">
        <x:v>亚历山大专属贸易品牌；适用于宫廷、收藏、礼品订单与海员礼赠。</x:v>
      </x:c>
      <x:c r="K35" s="15" t="str">
        <x:v>港口发展度达到D4（≥700点）时，投资项目「港湾抄绘与装帧院」自动完工；不要求武装度。</x:v>
      </x:c>
    </x:row>
    <x:row r="36" ht="42" customHeight="1">
      <x:c r="A36" s="13" t="str">
        <x:v>P031</x:v>
      </x:c>
      <x:c r="B36" s="13" t="str">
        <x:v>坎迪亚</x:v>
      </x:c>
      <x:c r="C36" s="13" t="str">
        <x:v>SP031</x:v>
      </x:c>
      <x:c r="D36" s="13" t="str">
        <x:v>迷宫叶脉橄榄油</x:v>
      </x:c>
      <x:c r="E36" s="13" t="str">
        <x:v>食品</x:v>
      </x:c>
      <x:c r="F36" s="27" t="n">
        <x:v>310</x:v>
      </x:c>
      <x:c r="G36" s="27" t="n">
        <x:v>3</x:v>
      </x:c>
      <x:c r="H36" s="13" t="str">
        <x:v>山坡低温榨油坊</x:v>
      </x:c>
      <x:c r="I36" s="13" t="str">
        <x:v>细口陶瓶绘原创叶脉迷宫，精选油用于宴会和地方礼赠</x:v>
      </x:c>
      <x:c r="J36" s="13" t="str">
        <x:v>坎迪亚专属贸易品牌；适用于宴会、远航补给、礼品订单与海员礼赠。</x:v>
      </x:c>
      <x:c r="K36" s="13" t="str">
        <x:v>港口发展度达到D3（≥450点）时，投资项目「山坡低温榨油坊」自动完工；不要求武装度。</x:v>
      </x:c>
    </x:row>
    <x:row r="37" ht="42" customHeight="1">
      <x:c r="A37" s="15" t="str">
        <x:v>P032</x:v>
      </x:c>
      <x:c r="B37" s="15" t="str">
        <x:v>君士坦丁堡</x:v>
      </x:c>
      <x:c r="C37" s="15" t="str">
        <x:v>SP032</x:v>
      </x:c>
      <x:c r="D37" s="15" t="str">
        <x:v>月穹郁金香嵌瓷匣</x:v>
      </x:c>
      <x:c r="E37" s="15" t="str">
        <x:v>奢侈品</x:v>
      </x:c>
      <x:c r="F37" s="30" t="n">
        <x:v>1380</x:v>
      </x:c>
      <x:c r="G37" s="30" t="n">
        <x:v>4</x:v>
      </x:c>
      <x:c r="H37" s="15" t="str">
        <x:v>金角湾嵌瓷总作坊</x:v>
      </x:c>
      <x:c r="I37" s="15" t="str">
        <x:v>宝蓝釉片、细铜框与虚构花叶纹拼成双层茶香匣</x:v>
      </x:c>
      <x:c r="J37" s="15" t="str">
        <x:v>君士坦丁堡专属贸易品牌；适用于宫廷、收藏、礼品订单与海员礼赠。</x:v>
      </x:c>
      <x:c r="K37" s="15" t="str">
        <x:v>港口发展度达到D4（≥700点）时，投资项目「金角湾嵌瓷总作坊」自动完工；不要求武装度。</x:v>
      </x:c>
    </x:row>
    <x:row r="38" ht="42" customHeight="1">
      <x:c r="A38" s="13" t="str">
        <x:v>P033</x:v>
      </x:c>
      <x:c r="B38" s="13" t="str">
        <x:v>拉古萨</x:v>
      </x:c>
      <x:c r="C38" s="13" t="str">
        <x:v>SP033</x:v>
      </x:c>
      <x:c r="D38" s="13" t="str">
        <x:v>白石城银丝船徽</x:v>
      </x:c>
      <x:c r="E38" s="13" t="str">
        <x:v>工艺品</x:v>
      </x:c>
      <x:c r="F38" s="27" t="n">
        <x:v>910</x:v>
      </x:c>
      <x:c r="G38" s="27" t="n">
        <x:v>3</x:v>
      </x:c>
      <x:c r="H38" s="13" t="str">
        <x:v>银丝船徽工坊</x:v>
      </x:c>
      <x:c r="I38" s="13" t="str">
        <x:v>银丝绕成小型双桅船形，以港墙齿口作吊坠边框</x:v>
      </x:c>
      <x:c r="J38" s="13" t="str">
        <x:v>拉古萨专属贸易品牌；适用于收藏、礼品、宴会订单与海员礼赠。</x:v>
      </x:c>
      <x:c r="K38" s="13" t="str">
        <x:v>港口发展度达到D3（≥450点）时，投资项目「银丝船徽工坊」自动完工；不要求武装度。</x:v>
      </x:c>
    </x:row>
    <x:row r="39" ht="42" customHeight="1">
      <x:c r="A39" s="15" t="str">
        <x:v>P034</x:v>
      </x:c>
      <x:c r="B39" s="15" t="str">
        <x:v>卡法</x:v>
      </x:c>
      <x:c r="C39" s="15" t="str">
        <x:v>SP034</x:v>
      </x:c>
      <x:c r="D39" s="15" t="str">
        <x:v>草海银扣旅行毯</x:v>
      </x:c>
      <x:c r="E39" s="15" t="str">
        <x:v>织物</x:v>
      </x:c>
      <x:c r="F39" s="30" t="n">
        <x:v>690</x:v>
      </x:c>
      <x:c r="G39" s="30" t="n">
        <x:v>3</x:v>
      </x:c>
      <x:c r="H39" s="15" t="str">
        <x:v>商队与船团织作坊</x:v>
      </x:c>
      <x:c r="I39" s="15" t="str">
        <x:v>可卷成马鞍形的厚毯配海船图样银扣，连接草原与港口意象</x:v>
      </x:c>
      <x:c r="J39" s="15" t="str">
        <x:v>卡法专属贸易品牌；适用于奢华衣料、礼品、收藏订单与海员礼赠。</x:v>
      </x:c>
      <x:c r="K39" s="15" t="str">
        <x:v>港口发展度达到D3（≥450点）时，投资项目「商队与船团织作坊」自动完工；不要求武装度。</x:v>
      </x:c>
    </x:row>
    <x:row r="40" ht="42" customHeight="1">
      <x:c r="A40" s="13" t="str">
        <x:v>P035</x:v>
      </x:c>
      <x:c r="B40" s="13" t="str">
        <x:v>丰沙尔</x:v>
      </x:c>
      <x:c r="C40" s="13" t="str">
        <x:v>SP035</x:v>
      </x:c>
      <x:c r="D40" s="13" t="str">
        <x:v>火山温窖马德拉酒</x:v>
      </x:c>
      <x:c r="E40" s="13" t="str">
        <x:v>酒类</x:v>
      </x:c>
      <x:c r="F40" s="27" t="n">
        <x:v>540</x:v>
      </x:c>
      <x:c r="G40" s="27" t="n">
        <x:v>3</x:v>
      </x:c>
      <x:c r="H40" s="13" t="str">
        <x:v>火山温窖酒厂</x:v>
      </x:c>
      <x:c r="I40" s="13" t="str">
        <x:v>利用温窖发展形成琥珀酒色，蜡封像一枚凝固的日落</x:v>
      </x:c>
      <x:c r="J40" s="13" t="str">
        <x:v>丰沙尔专属贸易品牌；适用于酒馆、宴会、礼品订单与海员礼赠。</x:v>
      </x:c>
      <x:c r="K40" s="13" t="str">
        <x:v>港口发展度达到D3（≥450点）时，投资项目「火山温窖酒厂」自动完工；不要求武装度。</x:v>
      </x:c>
    </x:row>
    <x:row r="41" ht="42" customHeight="1">
      <x:c r="A41" s="15" t="str">
        <x:v>P036</x:v>
      </x:c>
      <x:c r="B41" s="15" t="str">
        <x:v>蓬塔德尔加达</x:v>
      </x:c>
      <x:c r="C41" s="15" t="str">
        <x:v>SP036</x:v>
      </x:c>
      <x:c r="D41" s="15" t="str">
        <x:v>雨岛海盐熟成乳酪</x:v>
      </x:c>
      <x:c r="E41" s="15" t="str">
        <x:v>食品</x:v>
      </x:c>
      <x:c r="F41" s="30" t="n">
        <x:v>295</x:v>
      </x:c>
      <x:c r="G41" s="30" t="n">
        <x:v>3</x:v>
      </x:c>
      <x:c r="H41" s="15" t="str">
        <x:v>雨岛乳酪熟成库</x:v>
      </x:c>
      <x:c r="I41" s="15" t="str">
        <x:v>硬质乳酪外壳盖上波浪压纹，切面带淡金色油光</x:v>
      </x:c>
      <x:c r="J41" s="15" t="str">
        <x:v>蓬塔德尔加达专属贸易品牌；适用于宴会、远航补给、礼品订单与海员礼赠。</x:v>
      </x:c>
      <x:c r="K41" s="15" t="str">
        <x:v>港口发展度达到D3（≥450点）时，投资项目「雨岛乳酪熟成库」自动完工；不要求武装度。</x:v>
      </x:c>
    </x:row>
    <x:row r="42" ht="42" customHeight="1">
      <x:c r="A42" s="13" t="str">
        <x:v>P037</x:v>
      </x:c>
      <x:c r="B42" s="13" t="str">
        <x:v>拉斯帕尔马斯</x:v>
      </x:c>
      <x:c r="C42" s="13" t="str">
        <x:v>SP037</x:v>
      </x:c>
      <x:c r="D42" s="13" t="str">
        <x:v>信风紫苔染粉</x:v>
      </x:c>
      <x:c r="E42" s="13" t="str">
        <x:v>染料</x:v>
      </x:c>
      <x:c r="F42" s="27" t="n">
        <x:v>490</x:v>
      </x:c>
      <x:c r="G42" s="27" t="n">
        <x:v>4</x:v>
      </x:c>
      <x:c r="H42" s="13" t="str">
        <x:v>海崖紫苔染坊</x:v>
      </x:c>
      <x:c r="I42" s="13" t="str">
        <x:v>以群岛地衣染料为灵感压制的紫色染饼，品牌和包装为原创</x:v>
      </x:c>
      <x:c r="J42" s="13" t="str">
        <x:v>拉斯帕尔马斯专属贸易品牌；适用于染织工坊、画室、宫廷订单与海员礼赠。</x:v>
      </x:c>
      <x:c r="K42" s="13" t="str">
        <x:v>港口发展度达到D4（≥700点）时，投资项目「海崖紫苔染坊」自动完工；不要求武装度。</x:v>
      </x:c>
    </x:row>
    <x:row r="43" ht="42" customHeight="1">
      <x:c r="A43" s="15" t="str">
        <x:v>P038</x:v>
      </x:c>
      <x:c r="B43" s="15" t="str">
        <x:v>阿尔金</x:v>
      </x:c>
      <x:c r="C43" s="15" t="str">
        <x:v>SP038</x:v>
      </x:c>
      <x:c r="D43" s="15" t="str">
        <x:v>白沙航迹贝珠串</x:v>
      </x:c>
      <x:c r="E43" s="15" t="str">
        <x:v>工艺品</x:v>
      </x:c>
      <x:c r="F43" s="30" t="n">
        <x:v>355</x:v>
      </x:c>
      <x:c r="G43" s="30" t="n">
        <x:v>3</x:v>
      </x:c>
      <x:c r="H43" s="15" t="str">
        <x:v>浅滩贝珠工坊</x:v>
      </x:c>
      <x:c r="I43" s="15" t="str">
        <x:v>磨白贝珠与褐色树胶珠交替串成海浪节拍，专为商团赠礼制作</x:v>
      </x:c>
      <x:c r="J43" s="15" t="str">
        <x:v>阿尔金专属贸易品牌；适用于收藏、礼品、宴会订单与海员礼赠。</x:v>
      </x:c>
      <x:c r="K43" s="15" t="str">
        <x:v>港口发展度达到D3（≥450点）时，投资项目「浅滩贝珠工坊」自动完工；不要求武装度。</x:v>
      </x:c>
    </x:row>
    <x:row r="44" ht="42" customHeight="1">
      <x:c r="A44" s="13" t="str">
        <x:v>P039</x:v>
      </x:c>
      <x:c r="B44" s="13" t="str">
        <x:v>圣路易</x:v>
      </x:c>
      <x:c r="C44" s="13" t="str">
        <x:v>SP039</x:v>
      </x:c>
      <x:c r="D44" s="13" t="str">
        <x:v>金河阿拉伯胶画彩</x:v>
      </x:c>
      <x:c r="E44" s="13" t="str">
        <x:v>工业品</x:v>
      </x:c>
      <x:c r="F44" s="27" t="n">
        <x:v>465</x:v>
      </x:c>
      <x:c r="G44" s="27" t="n">
        <x:v>3</x:v>
      </x:c>
      <x:c r="H44" s="13" t="str">
        <x:v>金河胶彩精制作坊</x:v>
      </x:c>
      <x:c r="I44" s="13" t="str">
        <x:v>细筛树胶与矿植物色料分装，供远方画室调制透明色层</x:v>
      </x:c>
      <x:c r="J44" s="13" t="str">
        <x:v>圣路易专属贸易品牌；适用于船厂、工具工坊、工坊建设订单与海员礼赠。</x:v>
      </x:c>
      <x:c r="K44" s="13" t="str">
        <x:v>港口发展度达到D3（≥450点）时，投资项目「金河胶彩精制作坊」自动完工；不要求武装度。</x:v>
      </x:c>
    </x:row>
    <x:row r="45" ht="42" customHeight="1">
      <x:c r="A45" s="15" t="str">
        <x:v>P040</x:v>
      </x:c>
      <x:c r="B45" s="15" t="str">
        <x:v>里贝拉格兰德</x:v>
      </x:c>
      <x:c r="C45" s="15" t="str">
        <x:v>SP040</x:v>
      </x:c>
      <x:c r="D45" s="15" t="str">
        <x:v>火山谷双影棉披布</x:v>
      </x:c>
      <x:c r="E45" s="15" t="str">
        <x:v>织物</x:v>
      </x:c>
      <x:c r="F45" s="30" t="n">
        <x:v>420</x:v>
      </x:c>
      <x:c r="G45" s="30" t="n">
        <x:v>3</x:v>
      </x:c>
      <x:c r="H45" s="15" t="str">
        <x:v>峡谷手织合作坊</x:v>
      </x:c>
      <x:c r="I45" s="15" t="str">
        <x:v>深靛与赭红宽条纹交错，双层布边在行走时显出反差色</x:v>
      </x:c>
      <x:c r="J45" s="15" t="str">
        <x:v>里贝拉格兰德专属贸易品牌；适用于奢华衣料、礼品、收藏订单与海员礼赠。</x:v>
      </x:c>
      <x:c r="K45" s="15" t="str">
        <x:v>港口发展度达到D3（≥450点）时，投资项目「峡谷手织合作坊」自动完工；不要求武装度。</x:v>
      </x:c>
    </x:row>
    <x:row r="46" ht="42" customHeight="1">
      <x:c r="A46" s="13" t="str">
        <x:v>P041</x:v>
      </x:c>
      <x:c r="B46" s="13" t="str">
        <x:v>埃尔米纳</x:v>
      </x:c>
      <x:c r="C46" s="13" t="str">
        <x:v>SP041</x:v>
      </x:c>
      <x:c r="D46" s="13" t="str">
        <x:v>黄金海岸失蜡秤饰</x:v>
      </x:c>
      <x:c r="E46" s="13" t="str">
        <x:v>工艺品</x:v>
      </x:c>
      <x:c r="F46" s="27" t="n">
        <x:v>1180</x:v>
      </x:c>
      <x:c r="G46" s="27" t="n">
        <x:v>4</x:v>
      </x:c>
      <x:c r="H46" s="13" t="str">
        <x:v>海岸失蜡金工作坊</x:v>
      </x:c>
      <x:c r="I46" s="13" t="str">
        <x:v>以失蜡铸造的小型几何秤饰，原创海鸟与帆形构图组成一套</x:v>
      </x:c>
      <x:c r="J46" s="13" t="str">
        <x:v>埃尔米纳专属贸易品牌；适用于收藏、礼品、宴会订单与海员礼赠。</x:v>
      </x:c>
      <x:c r="K46" s="13" t="str">
        <x:v>港口发展度达到D4（≥700点）时，投资项目「海岸失蜡金工作坊」自动完工；不要求武装度。</x:v>
      </x:c>
    </x:row>
    <x:row r="47" ht="42" customHeight="1">
      <x:c r="A47" s="15" t="str">
        <x:v>P042</x:v>
      </x:c>
      <x:c r="B47" s="15" t="str">
        <x:v>圣多美</x:v>
      </x:c>
      <x:c r="C47" s="15" t="str">
        <x:v>SP042</x:v>
      </x:c>
      <x:c r="D47" s="15" t="str">
        <x:v>雨林焦糖香砖</x:v>
      </x:c>
      <x:c r="E47" s="15" t="str">
        <x:v>食品</x:v>
      </x:c>
      <x:c r="F47" s="30" t="n">
        <x:v>340</x:v>
      </x:c>
      <x:c r="G47" s="30" t="n">
        <x:v>3</x:v>
      </x:c>
      <x:c r="H47" s="15" t="str">
        <x:v>赤道糖砖磨坊</x:v>
      </x:c>
      <x:c r="I47" s="15" t="str">
        <x:v>烘香蔗糖与本地果仁压成深褐糖砖，切面留有金亮砂晶</x:v>
      </x:c>
      <x:c r="J47" s="15" t="str">
        <x:v>圣多美专属贸易品牌；适用于宴会、远航补给、礼品订单与海员礼赠。</x:v>
      </x:c>
      <x:c r="K47" s="15" t="str">
        <x:v>港口发展度达到D3（≥450点）时，投资项目「赤道糖砖磨坊」自动完工；不要求武装度。</x:v>
      </x:c>
    </x:row>
    <x:row r="48" ht="42" customHeight="1">
      <x:c r="A48" s="13" t="str">
        <x:v>P043</x:v>
      </x:c>
      <x:c r="B48" s="13" t="str">
        <x:v>开普敦</x:v>
      </x:c>
      <x:c r="C48" s="13" t="str">
        <x:v>SP043</x:v>
      </x:c>
      <x:c r="D48" s="13" t="str">
        <x:v>桌山云冠麝香酒</x:v>
      </x:c>
      <x:c r="E48" s="13" t="str">
        <x:v>酒类</x:v>
      </x:c>
      <x:c r="F48" s="27" t="n">
        <x:v>560</x:v>
      </x:c>
      <x:c r="G48" s="27" t="n">
        <x:v>3</x:v>
      </x:c>
      <x:c r="H48" s="13" t="str">
        <x:v>桌山麝香葡萄酒庄</x:v>
      </x:c>
      <x:c r="I48" s="13" t="str">
        <x:v>金黄色甜酒封口绕一圈云白丝带，酒标用平顶山负形剪影</x:v>
      </x:c>
      <x:c r="J48" s="13" t="str">
        <x:v>开普敦专属贸易品牌；适用于酒馆、宴会、礼品订单与海员礼赠。</x:v>
      </x:c>
      <x:c r="K48" s="13" t="str">
        <x:v>港口发展度达到D3（≥450点）时，投资项目「桌山麝香葡萄酒庄」自动完工；不要求武装度。</x:v>
      </x:c>
    </x:row>
    <x:row r="49" ht="42" customHeight="1">
      <x:c r="A49" s="15" t="str">
        <x:v>P044</x:v>
      </x:c>
      <x:c r="B49" s="15" t="str">
        <x:v>莫桑比克岛</x:v>
      </x:c>
      <x:c r="C49" s="15" t="str">
        <x:v>SP044</x:v>
      </x:c>
      <x:c r="D49" s="15" t="str">
        <x:v>珊瑚城镂花木匣</x:v>
      </x:c>
      <x:c r="E49" s="15" t="str">
        <x:v>工艺品</x:v>
      </x:c>
      <x:c r="F49" s="30" t="n">
        <x:v>675</x:v>
      </x:c>
      <x:c r="G49" s="30" t="n">
        <x:v>3</x:v>
      </x:c>
      <x:c r="H49" s="15" t="str">
        <x:v>海峡镂花细木工坊</x:v>
      </x:c>
      <x:c r="I49" s="15" t="str">
        <x:v>黑木与浅色木片拼出窄窗、海帆和波纹，匣盖采用透雕</x:v>
      </x:c>
      <x:c r="J49" s="15" t="str">
        <x:v>莫桑比克岛专属贸易品牌；适用于收藏、礼品、宴会订单与海员礼赠。</x:v>
      </x:c>
      <x:c r="K49" s="15" t="str">
        <x:v>港口发展度达到D3（≥450点）时，投资项目「海峡镂花细木工坊」自动完工；不要求武装度。</x:v>
      </x:c>
    </x:row>
    <x:row r="50" ht="42" customHeight="1">
      <x:c r="A50" s="13" t="str">
        <x:v>P045</x:v>
      </x:c>
      <x:c r="B50" s="13" t="str">
        <x:v>索法拉</x:v>
      </x:c>
      <x:c r="C50" s="13" t="str">
        <x:v>SP045</x:v>
      </x:c>
      <x:c r="D50" s="13" t="str">
        <x:v>红土金叶航路盒</x:v>
      </x:c>
      <x:c r="E50" s="13" t="str">
        <x:v>奢侈品</x:v>
      </x:c>
      <x:c r="F50" s="27" t="n">
        <x:v>1460</x:v>
      </x:c>
      <x:c r="G50" s="27" t="n">
        <x:v>4</x:v>
      </x:c>
      <x:c r="H50" s="13" t="str">
        <x:v>河口金叶匠棚</x:v>
      </x:c>
      <x:c r="I50" s="13" t="str">
        <x:v>细金叶压成抽象河道纹嵌在木盒内，盒外只留质朴红土漆色</x:v>
      </x:c>
      <x:c r="J50" s="13" t="str">
        <x:v>索法拉专属贸易品牌；适用于宫廷、收藏、礼品订单与海员礼赠。</x:v>
      </x:c>
      <x:c r="K50" s="13" t="str">
        <x:v>港口发展度达到D4（≥700点）时，投资项目「河口金叶匠棚」自动完工；不要求武装度。</x:v>
      </x:c>
    </x:row>
    <x:row r="51" ht="42" customHeight="1">
      <x:c r="A51" s="15" t="str">
        <x:v>P046</x:v>
      </x:c>
      <x:c r="B51" s="15" t="str">
        <x:v>基尔瓦</x:v>
      </x:c>
      <x:c r="C51" s="15" t="str">
        <x:v>SP046</x:v>
      </x:c>
      <x:c r="D51" s="15" t="str">
        <x:v>基尔瓦潮纹瓷嵌盘</x:v>
      </x:c>
      <x:c r="E51" s="15" t="str">
        <x:v>工艺品</x:v>
      </x:c>
      <x:c r="F51" s="30" t="n">
        <x:v>880</x:v>
      </x:c>
      <x:c r="G51" s="30" t="n">
        <x:v>3</x:v>
      </x:c>
      <x:c r="H51" s="15" t="str">
        <x:v>潮纹瓷嵌工坊</x:v>
      </x:c>
      <x:c r="I51" s="15" t="str">
        <x:v>用新烧蓝白瓷片与本地细木拼嵌水纹托盘，表现跨海匠人合作</x:v>
      </x:c>
      <x:c r="J51" s="15" t="str">
        <x:v>基尔瓦专属贸易品牌；适用于收藏、礼品、宴会订单与海员礼赠。</x:v>
      </x:c>
      <x:c r="K51" s="15" t="str">
        <x:v>港口发展度达到D3（≥450点）时，投资项目「潮纹瓷嵌工坊」自动完工；不要求武装度。</x:v>
      </x:c>
    </x:row>
    <x:row r="52" ht="42" customHeight="1">
      <x:c r="A52" s="13" t="str">
        <x:v>P047</x:v>
      </x:c>
      <x:c r="B52" s="13" t="str">
        <x:v>桑给巴尔</x:v>
      </x:c>
      <x:c r="C52" s="13" t="str">
        <x:v>SP047</x:v>
      </x:c>
      <x:c r="D52" s="13" t="str">
        <x:v>月门深雕香匣</x:v>
      </x:c>
      <x:c r="E52" s="13" t="str">
        <x:v>工艺品</x:v>
      </x:c>
      <x:c r="F52" s="27" t="n">
        <x:v>740</x:v>
      </x:c>
      <x:c r="G52" s="27" t="n">
        <x:v>3</x:v>
      </x:c>
      <x:c r="H52" s="13" t="str">
        <x:v>月门雕木坊</x:v>
      </x:c>
      <x:c r="I52" s="13" t="str">
        <x:v>多层拱门形木匣配几何黄铜扣，内衬织物盛放转口香料</x:v>
      </x:c>
      <x:c r="J52" s="13" t="str">
        <x:v>桑给巴尔专属贸易品牌；适用于收藏、礼品、宴会订单与海员礼赠。</x:v>
      </x:c>
      <x:c r="K52" s="13" t="str">
        <x:v>港口发展度达到D3（≥450点）时，投资项目「月门雕木坊」自动完工；不要求武装度。</x:v>
      </x:c>
    </x:row>
    <x:row r="53" ht="42" customHeight="1">
      <x:c r="A53" s="15" t="str">
        <x:v>P048</x:v>
      </x:c>
      <x:c r="B53" s="15" t="str">
        <x:v>蒙巴萨</x:v>
      </x:c>
      <x:c r="C53" s="15" t="str">
        <x:v>SP048</x:v>
      </x:c>
      <x:c r="D53" s="15" t="str">
        <x:v>双溪银纱海披巾</x:v>
      </x:c>
      <x:c r="E53" s="15" t="str">
        <x:v>织物</x:v>
      </x:c>
      <x:c r="F53" s="30" t="n">
        <x:v>610</x:v>
      </x:c>
      <x:c r="G53" s="30" t="n">
        <x:v>3</x:v>
      </x:c>
      <x:c r="H53" s="15" t="str">
        <x:v>双溪织绣作坊</x:v>
      </x:c>
      <x:c r="I53" s="15" t="str">
        <x:v>印度进口棉纱与当地工坊银白纹边组合，披巾角缀小木珠</x:v>
      </x:c>
      <x:c r="J53" s="15" t="str">
        <x:v>蒙巴萨专属贸易品牌；适用于奢华衣料、礼品、收藏订单与海员礼赠。</x:v>
      </x:c>
      <x:c r="K53" s="15" t="str">
        <x:v>港口发展度达到D3（≥450点）时，投资项目「双溪织绣作坊」自动完工；不要求武装度。</x:v>
      </x:c>
    </x:row>
    <x:row r="54" ht="42" customHeight="1">
      <x:c r="A54" s="13" t="str">
        <x:v>P049</x:v>
      </x:c>
      <x:c r="B54" s="13" t="str">
        <x:v>陶拉纳鲁</x:v>
      </x:c>
      <x:c r="C54" s="13" t="str">
        <x:v>SP049</x:v>
      </x:c>
      <x:c r="D54" s="13" t="str">
        <x:v>赤岛星眼木雕</x:v>
      </x:c>
      <x:c r="E54" s="13" t="str">
        <x:v>工艺品</x:v>
      </x:c>
      <x:c r="F54" s="27" t="n">
        <x:v>570</x:v>
      </x:c>
      <x:c r="G54" s="27" t="n">
        <x:v>3</x:v>
      </x:c>
      <x:c r="H54" s="13" t="str">
        <x:v>赤土木雕工坊</x:v>
      </x:c>
      <x:c r="I54" s="13" t="str">
        <x:v>以深色木材刻抽象航鸟，眼部嵌浅色贝壳；形制由本作原创</x:v>
      </x:c>
      <x:c r="J54" s="13" t="str">
        <x:v>陶拉纳鲁专属贸易品牌；适用于收藏、礼品、宴会订单与海员礼赠。</x:v>
      </x:c>
      <x:c r="K54" s="13" t="str">
        <x:v>港口发展度达到D3（≥450点）时，投资项目「赤土木雕工坊」自动完工；不要求武装度。</x:v>
      </x:c>
    </x:row>
    <x:row r="55" ht="42" customHeight="1">
      <x:c r="A55" s="15" t="str">
        <x:v>P050</x:v>
      </x:c>
      <x:c r="B55" s="15" t="str">
        <x:v>路易港</x:v>
      </x:c>
      <x:c r="C55" s="15" t="str">
        <x:v>SP050</x:v>
      </x:c>
      <x:c r="D55" s="15" t="str">
        <x:v>星湾蔗心陈酿</x:v>
      </x:c>
      <x:c r="E55" s="15" t="str">
        <x:v>酒类</x:v>
      </x:c>
      <x:c r="F55" s="30" t="n">
        <x:v>590</x:v>
      </x:c>
      <x:c r="G55" s="30" t="n">
        <x:v>3</x:v>
      </x:c>
      <x:c r="H55" s="15" t="str">
        <x:v>星湾蔗心蒸馏坊</x:v>
      </x:c>
      <x:c r="I55" s="15" t="str">
        <x:v>以当地蔗糖和转口香料调配的金色酒，港口发展让试酿变为稳定产品</x:v>
      </x:c>
      <x:c r="J55" s="15" t="str">
        <x:v>路易港专属贸易品牌；适用于酒馆、宴会、礼品订单与海员礼赠。</x:v>
      </x:c>
      <x:c r="K55" s="15" t="str">
        <x:v>港口发展度达到D3（≥450点）时，投资项目「星湾蔗心蒸馏坊」自动完工；不要求武装度。</x:v>
      </x:c>
    </x:row>
    <x:row r="56" ht="42" customHeight="1">
      <x:c r="A56" s="13" t="str">
        <x:v>P051</x:v>
      </x:c>
      <x:c r="B56" s="13" t="str">
        <x:v>亚丁</x:v>
      </x:c>
      <x:c r="C56" s="13" t="str">
        <x:v>SP051</x:v>
      </x:c>
      <x:c r="D56" s="13" t="str">
        <x:v>火山蓝香炉盏</x:v>
      </x:c>
      <x:c r="E56" s="13" t="str">
        <x:v>工艺品</x:v>
      </x:c>
      <x:c r="F56" s="27" t="n">
        <x:v>660</x:v>
      </x:c>
      <x:c r="G56" s="27" t="n">
        <x:v>3</x:v>
      </x:c>
      <x:c r="H56" s="13" t="str">
        <x:v>火山蓝釉香具坊</x:v>
      </x:c>
      <x:c r="I56" s="13" t="str">
        <x:v>深蓝釉面铜陶混合小炉，透气孔排成季风旋涡形</x:v>
      </x:c>
      <x:c r="J56" s="13" t="str">
        <x:v>亚丁专属贸易品牌；适用于收藏、礼品、宴会订单与海员礼赠。</x:v>
      </x:c>
      <x:c r="K56" s="13" t="str">
        <x:v>港口发展度达到D3（≥450点）时，投资项目「火山蓝釉香具坊」自动完工；不要求武装度。</x:v>
      </x:c>
    </x:row>
    <x:row r="57" ht="42" customHeight="1">
      <x:c r="A57" s="15" t="str">
        <x:v>P052</x:v>
      </x:c>
      <x:c r="B57" s="15" t="str">
        <x:v>摩卡</x:v>
      </x:c>
      <x:c r="C57" s="15" t="str">
        <x:v>SP052</x:v>
      </x:c>
      <x:c r="D57" s="15" t="str">
        <x:v>摩卡夜玫瑰熟豆</x:v>
      </x:c>
      <x:c r="E57" s="15" t="str">
        <x:v>嗜好品</x:v>
      </x:c>
      <x:c r="F57" s="30" t="n">
        <x:v>680</x:v>
      </x:c>
      <x:c r="G57" s="30" t="n">
        <x:v>3</x:v>
      </x:c>
      <x:c r="H57" s="15" t="str">
        <x:v>夜玫瑰烘焙总作坊</x:v>
      </x:c>
      <x:c r="I57" s="15" t="str">
        <x:v>精选咖啡分批烘焙，原创品牌以晚风和花果香为核心记忆</x:v>
      </x:c>
      <x:c r="J57" s="15" t="str">
        <x:v>摩卡专属贸易品牌；适用于城市消费、礼品、酒馆订单与海员礼赠。</x:v>
      </x:c>
      <x:c r="K57" s="15" t="str">
        <x:v>港口发展度达到D3（≥450点）时，投资项目「夜玫瑰烘焙总作坊」自动完工；不要求武装度。</x:v>
      </x:c>
    </x:row>
    <x:row r="58" ht="42" customHeight="1">
      <x:c r="A58" s="13" t="str">
        <x:v>P053</x:v>
      </x:c>
      <x:c r="B58" s="13" t="str">
        <x:v>吉达</x:v>
      </x:c>
      <x:c r="C58" s="13" t="str">
        <x:v>SP053</x:v>
      </x:c>
      <x:c r="D58" s="13" t="str">
        <x:v>红海花窗香油</x:v>
      </x:c>
      <x:c r="E58" s="13" t="str">
        <x:v>香料</x:v>
      </x:c>
      <x:c r="F58" s="27" t="n">
        <x:v>820</x:v>
      </x:c>
      <x:c r="G58" s="27" t="n">
        <x:v>4</x:v>
      </x:c>
      <x:c r="H58" s="13" t="str">
        <x:v>海风香油工坊</x:v>
      </x:c>
      <x:c r="I58" s="13" t="str">
        <x:v>多种转口树脂与花香调成琥珀香油，瓶盖化用本作木格窗构图</x:v>
      </x:c>
      <x:c r="J58" s="13" t="str">
        <x:v>吉达专属贸易品牌；适用于香料工坊、宫廷、礼品订单与海员礼赠。</x:v>
      </x:c>
      <x:c r="K58" s="13" t="str">
        <x:v>港口发展度达到D4（≥700点）时，投资项目「海风香油工坊」自动完工；不要求武装度。</x:v>
      </x:c>
    </x:row>
    <x:row r="59" ht="42" customHeight="1">
      <x:c r="A59" s="15" t="str">
        <x:v>P054</x:v>
      </x:c>
      <x:c r="B59" s="15" t="str">
        <x:v>萨瓦金</x:v>
      </x:c>
      <x:c r="C59" s="15" t="str">
        <x:v>SP054</x:v>
      </x:c>
      <x:c r="D59" s="15" t="str">
        <x:v>珊瑚月白贝嵌匣</x:v>
      </x:c>
      <x:c r="E59" s="15" t="str">
        <x:v>工艺品</x:v>
      </x:c>
      <x:c r="F59" s="30" t="n">
        <x:v>590</x:v>
      </x:c>
      <x:c r="G59" s="30" t="n">
        <x:v>3</x:v>
      </x:c>
      <x:c r="H59" s="15" t="str">
        <x:v>圆岛贝嵌作坊</x:v>
      </x:c>
      <x:c r="I59" s="15" t="str">
        <x:v>贝片与浅木交错，盖面以圆岛和长栈桥作几何纹样</x:v>
      </x:c>
      <x:c r="J59" s="15" t="str">
        <x:v>萨瓦金专属贸易品牌；适用于收藏、礼品、宴会订单与海员礼赠。</x:v>
      </x:c>
      <x:c r="K59" s="15" t="str">
        <x:v>港口发展度达到D3（≥450点）时，投资项目「圆岛贝嵌作坊」自动完工；不要求武装度。</x:v>
      </x:c>
    </x:row>
    <x:row r="60" ht="42" customHeight="1">
      <x:c r="A60" s="13" t="str">
        <x:v>P055</x:v>
      </x:c>
      <x:c r="B60" s="13" t="str">
        <x:v>马斯喀特</x:v>
      </x:c>
      <x:c r="C60" s="13" t="str">
        <x:v>SP055</x:v>
      </x:c>
      <x:c r="D60" s="13" t="str">
        <x:v>岩湾银穗香盒</x:v>
      </x:c>
      <x:c r="E60" s="13" t="str">
        <x:v>奢侈品</x:v>
      </x:c>
      <x:c r="F60" s="27" t="n">
        <x:v>1240</x:v>
      </x:c>
      <x:c r="G60" s="27" t="n">
        <x:v>4</x:v>
      </x:c>
      <x:c r="H60" s="13" t="str">
        <x:v>岩湾银香具工坊</x:v>
      </x:c>
      <x:c r="I60" s="13" t="str">
        <x:v>银盒分出香块、火种与小秤三层，细穗纹借海浪和棕叶创作</x:v>
      </x:c>
      <x:c r="J60" s="13" t="str">
        <x:v>马斯喀特专属贸易品牌；适用于宫廷、收藏、礼品订单与海员礼赠。</x:v>
      </x:c>
      <x:c r="K60" s="13" t="str">
        <x:v>港口发展度达到D4（≥700点）时，投资项目「岩湾银香具工坊」自动完工；不要求武装度。</x:v>
      </x:c>
    </x:row>
    <x:row r="61" ht="42" customHeight="1">
      <x:c r="A61" s="15" t="str">
        <x:v>P056</x:v>
      </x:c>
      <x:c r="B61" s="15" t="str">
        <x:v>霍尔木兹</x:v>
      </x:c>
      <x:c r="C61" s="15" t="str">
        <x:v>SP056</x:v>
      </x:c>
      <x:c r="D61" s="15" t="str">
        <x:v>虹盐山珍珠冠扣</x:v>
      </x:c>
      <x:c r="E61" s="15" t="str">
        <x:v>奢侈品</x:v>
      </x:c>
      <x:c r="F61" s="30" t="n">
        <x:v>1550</x:v>
      </x:c>
      <x:c r="G61" s="30" t="n">
        <x:v>4</x:v>
      </x:c>
      <x:c r="H61" s="15" t="str">
        <x:v>海峡珐琅金工作坊</x:v>
      </x:c>
      <x:c r="I61" s="15" t="str">
        <x:v>以彩盐山层理配色的珐琅托住一枚珍珠，造型为原创冠扣</x:v>
      </x:c>
      <x:c r="J61" s="15" t="str">
        <x:v>霍尔木兹专属贸易品牌；适用于宫廷、收藏、礼品订单与海员礼赠。</x:v>
      </x:c>
      <x:c r="K61" s="15" t="str">
        <x:v>港口发展度达到D4（≥700点）时，投资项目「海峡珐琅金工作坊」自动完工；不要求武装度。</x:v>
      </x:c>
    </x:row>
    <x:row r="62" ht="42" customHeight="1">
      <x:c r="A62" s="13" t="str">
        <x:v>P057</x:v>
      </x:c>
      <x:c r="B62" s="13" t="str">
        <x:v>阿巴斯港</x:v>
      </x:c>
      <x:c r="C62" s="13" t="str">
        <x:v>SP057</x:v>
      </x:c>
      <x:c r="D62" s="13" t="str">
        <x:v>孔雀火焰双面锦</x:v>
      </x:c>
      <x:c r="E62" s="13" t="str">
        <x:v>织物</x:v>
      </x:c>
      <x:c r="F62" s="27" t="n">
        <x:v>1170</x:v>
      </x:c>
      <x:c r="G62" s="27" t="n">
        <x:v>4</x:v>
      </x:c>
      <x:c r="H62" s="13" t="str">
        <x:v>孔雀双面锦工坊</x:v>
      </x:c>
      <x:c r="I62" s="13" t="str">
        <x:v>翠蓝与火铜两面映出不同羽纹，采用转口生丝在港内精织</x:v>
      </x:c>
      <x:c r="J62" s="13" t="str">
        <x:v>阿巴斯港专属贸易品牌；适用于奢华衣料、礼品、收藏订单与海员礼赠。</x:v>
      </x:c>
      <x:c r="K62" s="13" t="str">
        <x:v>港口发展度达到D4（≥700点）时，投资项目「孔雀双面锦工坊」自动完工；不要求武装度。</x:v>
      </x:c>
    </x:row>
    <x:row r="63" ht="42" customHeight="1">
      <x:c r="A63" s="15" t="str">
        <x:v>P058</x:v>
      </x:c>
      <x:c r="B63" s="15" t="str">
        <x:v>巴士拉</x:v>
      </x:c>
      <x:c r="C63" s="15" t="str">
        <x:v>SP058</x:v>
      </x:c>
      <x:c r="D63" s="15" t="str">
        <x:v>双河蜜枣银匣</x:v>
      </x:c>
      <x:c r="E63" s="15" t="str">
        <x:v>食品</x:v>
      </x:c>
      <x:c r="F63" s="30" t="n">
        <x:v>530</x:v>
      </x:c>
      <x:c r="G63" s="30" t="n">
        <x:v>3</x:v>
      </x:c>
      <x:c r="H63" s="15" t="str">
        <x:v>椰枣甜食与匣匠合作坊</x:v>
      </x:c>
      <x:c r="I63" s="15" t="str">
        <x:v>夹果仁蜜枣分层排列在可再用薄银色工艺匣中</x:v>
      </x:c>
      <x:c r="J63" s="15" t="str">
        <x:v>巴士拉专属贸易品牌；适用于宴会、远航补给、礼品订单与海员礼赠。</x:v>
      </x:c>
      <x:c r="K63" s="15" t="str">
        <x:v>港口发展度达到D3（≥450点）时，投资项目「椰枣甜食与匣匠合作坊」自动完工；不要求武装度。</x:v>
      </x:c>
    </x:row>
    <x:row r="64" ht="42" customHeight="1">
      <x:c r="A64" s="13" t="str">
        <x:v>P059</x:v>
      </x:c>
      <x:c r="B64" s="13" t="str">
        <x:v>第乌</x:v>
      </x:c>
      <x:c r="C64" s="13" t="str">
        <x:v>SP059</x:v>
      </x:c>
      <x:c r="D64" s="13" t="str">
        <x:v>第乌红蓝拼帆毯</x:v>
      </x:c>
      <x:c r="E64" s="13" t="str">
        <x:v>织物</x:v>
      </x:c>
      <x:c r="F64" s="27" t="n">
        <x:v>540</x:v>
      </x:c>
      <x:c r="G64" s="27" t="n">
        <x:v>3</x:v>
      </x:c>
      <x:c r="H64" s="13" t="str">
        <x:v>岛堡拼帆织坊</x:v>
      </x:c>
      <x:c r="I64" s="13" t="str">
        <x:v>棉布拼出斜三角帆纹，可作室内挂毯与商团礼物</x:v>
      </x:c>
      <x:c r="J64" s="13" t="str">
        <x:v>第乌专属贸易品牌；适用于奢华衣料、礼品、收藏订单与海员礼赠。</x:v>
      </x:c>
      <x:c r="K64" s="13" t="str">
        <x:v>港口发展度达到D3（≥450点）时，投资项目「岛堡拼帆织坊」自动完工；不要求武装度。</x:v>
      </x:c>
    </x:row>
    <x:row r="65" ht="42" customHeight="1">
      <x:c r="A65" s="15" t="str">
        <x:v>P060</x:v>
      </x:c>
      <x:c r="B65" s="15" t="str">
        <x:v>苏拉特</x:v>
      </x:c>
      <x:c r="C65" s="15" t="str">
        <x:v>SP060</x:v>
      </x:c>
      <x:c r="D65" s="15" t="str">
        <x:v>千雨银星印花棉</x:v>
      </x:c>
      <x:c r="E65" s="15" t="str">
        <x:v>织物</x:v>
      </x:c>
      <x:c r="F65" s="30" t="n">
        <x:v>780</x:v>
      </x:c>
      <x:c r="G65" s="30" t="n">
        <x:v>3</x:v>
      </x:c>
      <x:c r="H65" s="15" t="str">
        <x:v>千雨印花工坊</x:v>
      </x:c>
      <x:c r="I65" s="15" t="str">
        <x:v>蓝地上细白点如季风夜雨，金属印模仅压出若隐若现的小星</x:v>
      </x:c>
      <x:c r="J65" s="15" t="str">
        <x:v>苏拉特专属贸易品牌；适用于奢华衣料、礼品、收藏订单与海员礼赠。</x:v>
      </x:c>
      <x:c r="K65" s="15" t="str">
        <x:v>港口发展度达到D3（≥450点）时，投资项目「千雨印花工坊」自动完工；不要求武装度。</x:v>
      </x:c>
    </x:row>
    <x:row r="66" ht="42" customHeight="1">
      <x:c r="A66" s="13" t="str">
        <x:v>P061</x:v>
      </x:c>
      <x:c r="B66" s="13" t="str">
        <x:v>果阿</x:v>
      </x:c>
      <x:c r="C66" s="13" t="str">
        <x:v>SP061</x:v>
      </x:c>
      <x:c r="D66" s="13" t="str">
        <x:v>金藤嵌木书箱</x:v>
      </x:c>
      <x:c r="E66" s="13" t="str">
        <x:v>工艺品</x:v>
      </x:c>
      <x:c r="F66" s="27" t="n">
        <x:v>990</x:v>
      </x:c>
      <x:c r="G66" s="27" t="n">
        <x:v>3</x:v>
      </x:c>
      <x:c r="H66" s="13" t="str">
        <x:v>金藤合匠工坊</x:v>
      </x:c>
      <x:c r="I66" s="13" t="str">
        <x:v>印度细木嵌条与伊比利亚折页书架结合，打开后成为船舱小书桌</x:v>
      </x:c>
      <x:c r="J66" s="13" t="str">
        <x:v>果阿专属贸易品牌；适用于收藏、礼品、宴会订单与海员礼赠。</x:v>
      </x:c>
      <x:c r="K66" s="13" t="str">
        <x:v>港口发展度达到D3（≥450点）时，投资项目「金藤合匠工坊」自动完工；不要求武装度。</x:v>
      </x:c>
    </x:row>
    <x:row r="67" ht="42" customHeight="1">
      <x:c r="A67" s="15" t="str">
        <x:v>P062</x:v>
      </x:c>
      <x:c r="B67" s="15" t="str">
        <x:v>卡利卡特</x:v>
      </x:c>
      <x:c r="C67" s="15" t="str">
        <x:v>SP062</x:v>
      </x:c>
      <x:c r="D67" s="15" t="str">
        <x:v>黑日重瓣胡椒</x:v>
      </x:c>
      <x:c r="E67" s="15" t="str">
        <x:v>香辛料</x:v>
      </x:c>
      <x:c r="F67" s="30" t="n">
        <x:v>640</x:v>
      </x:c>
      <x:c r="G67" s="30" t="n">
        <x:v>3</x:v>
      </x:c>
      <x:c r="H67" s="15" t="str">
        <x:v>黑日分晒香料场</x:v>
      </x:c>
      <x:c r="I67" s="15" t="str">
        <x:v>筛选大粒胡椒并分晒至黑亮，品牌以沉入海面的太阳作记号</x:v>
      </x:c>
      <x:c r="J67" s="15" t="str">
        <x:v>卡利卡特专属贸易品牌；适用于宴会、药房、香辛料收藏订单与海员礼赠。</x:v>
      </x:c>
      <x:c r="K67" s="15" t="str">
        <x:v>港口发展度达到D3（≥450点）时，投资项目「黑日分晒香料场」自动完工；不要求武装度。</x:v>
      </x:c>
    </x:row>
    <x:row r="68" ht="42" customHeight="1">
      <x:c r="A68" s="13" t="str">
        <x:v>P063</x:v>
      </x:c>
      <x:c r="B68" s="13" t="str">
        <x:v>柯钦</x:v>
      </x:c>
      <x:c r="C68" s="13" t="str">
        <x:v>SP063</x:v>
      </x:c>
      <x:c r="D68" s="13" t="str">
        <x:v>潟湖姜糖帆结</x:v>
      </x:c>
      <x:c r="E68" s="13" t="str">
        <x:v>食品</x:v>
      </x:c>
      <x:c r="F68" s="27" t="n">
        <x:v>375</x:v>
      </x:c>
      <x:c r="G68" s="27" t="n">
        <x:v>3</x:v>
      </x:c>
      <x:c r="H68" s="13" t="str">
        <x:v>潟湖姜糖作坊</x:v>
      </x:c>
      <x:c r="I68" s="13" t="str">
        <x:v>糖渍干姜卷成小帆结状，以细棕叶盒密封</x:v>
      </x:c>
      <x:c r="J68" s="13" t="str">
        <x:v>柯钦专属贸易品牌；适用于宴会、远航补给、礼品订单与海员礼赠。</x:v>
      </x:c>
      <x:c r="K68" s="13" t="str">
        <x:v>港口发展度达到D3（≥450点）时，投资项目「潟湖姜糖作坊」自动完工；不要求武装度。</x:v>
      </x:c>
    </x:row>
    <x:row r="69" ht="42" customHeight="1">
      <x:c r="A69" s="15" t="str">
        <x:v>P064</x:v>
      </x:c>
      <x:c r="B69" s="15" t="str">
        <x:v>科伦坡</x:v>
      </x:c>
      <x:c r="C69" s="15" t="str">
        <x:v>SP064</x:v>
      </x:c>
      <x:c r="D69" s="15" t="str">
        <x:v>锡兰月卷细桂</x:v>
      </x:c>
      <x:c r="E69" s="15" t="str">
        <x:v>香辛料</x:v>
      </x:c>
      <x:c r="F69" s="30" t="n">
        <x:v>760</x:v>
      </x:c>
      <x:c r="G69" s="30" t="n">
        <x:v>3</x:v>
      </x:c>
      <x:c r="H69" s="15" t="str">
        <x:v>月卷桂皮工坊</x:v>
      </x:c>
      <x:c r="I69" s="15" t="str">
        <x:v>薄桂皮手工套卷成轻巧长管，截面像一轮又一轮弯月</x:v>
      </x:c>
      <x:c r="J69" s="15" t="str">
        <x:v>科伦坡专属贸易品牌；适用于宴会、药房、香辛料收藏订单与海员礼赠。</x:v>
      </x:c>
      <x:c r="K69" s="15" t="str">
        <x:v>港口发展度达到D3（≥450点）时，投资项目「月卷桂皮工坊」自动完工；不要求武装度。</x:v>
      </x:c>
    </x:row>
    <x:row r="70" ht="42" customHeight="1">
      <x:c r="A70" s="13" t="str">
        <x:v>P065</x:v>
      </x:c>
      <x:c r="B70" s="13" t="str">
        <x:v>马德拉斯</x:v>
      </x:c>
      <x:c r="C70" s="13" t="str">
        <x:v>SP065</x:v>
      </x:c>
      <x:c r="D70" s="13" t="str">
        <x:v>海鸟白地彩印布</x:v>
      </x:c>
      <x:c r="E70" s="13" t="str">
        <x:v>织物</x:v>
      </x:c>
      <x:c r="F70" s="27" t="n">
        <x:v>710</x:v>
      </x:c>
      <x:c r="G70" s="27" t="n">
        <x:v>3</x:v>
      </x:c>
      <x:c r="H70" s="13" t="str">
        <x:v>海鸟手绘印花坊</x:v>
      </x:c>
      <x:c r="I70" s="13" t="str">
        <x:v>白底留出大片呼吸感，细红蓝海鸟和开花枝条沿布边飞行</x:v>
      </x:c>
      <x:c r="J70" s="13" t="str">
        <x:v>马德拉斯专属贸易品牌；适用于奢华衣料、礼品、收藏订单与海员礼赠。</x:v>
      </x:c>
      <x:c r="K70" s="13" t="str">
        <x:v>港口发展度达到D3（≥450点）时，投资项目「海鸟手绘印花坊」自动完工；不要求武装度。</x:v>
      </x:c>
    </x:row>
    <x:row r="71" ht="42" customHeight="1">
      <x:c r="A71" s="15" t="str">
        <x:v>P066</x:v>
      </x:c>
      <x:c r="B71" s="15" t="str">
        <x:v>马苏利帕特南</x:v>
      </x:c>
      <x:c r="C71" s="15" t="str">
        <x:v>SP066</x:v>
      </x:c>
      <x:c r="D71" s="15" t="str">
        <x:v>孔雀海图卡拉姆布</x:v>
      </x:c>
      <x:c r="E71" s="15" t="str">
        <x:v>织物</x:v>
      </x:c>
      <x:c r="F71" s="30" t="n">
        <x:v>920</x:v>
      </x:c>
      <x:c r="G71" s="30" t="n">
        <x:v>3</x:v>
      </x:c>
      <x:c r="H71" s="15" t="str">
        <x:v>孔雀手绘棉布总坊</x:v>
      </x:c>
      <x:c r="I71" s="15" t="str">
        <x:v>以手绘棉布传统为灵感，将孔雀羽眼与虚构群岛航图融合</x:v>
      </x:c>
      <x:c r="J71" s="15" t="str">
        <x:v>马苏利帕特南专属贸易品牌；适用于奢华衣料、礼品、收藏订单与海员礼赠。</x:v>
      </x:c>
      <x:c r="K71" s="15" t="str">
        <x:v>港口发展度达到D3（≥450点）时，投资项目「孔雀手绘棉布总坊」自动完工；不要求武装度。</x:v>
      </x:c>
    </x:row>
    <x:row r="72" ht="42" customHeight="1">
      <x:c r="A72" s="13" t="str">
        <x:v>P067</x:v>
      </x:c>
      <x:c r="B72" s="13" t="str">
        <x:v>胡格利</x:v>
      </x:c>
      <x:c r="C72" s="13" t="str">
        <x:v>SP067</x:v>
      </x:c>
      <x:c r="D72" s="13" t="str">
        <x:v>晨雾七层细纱</x:v>
      </x:c>
      <x:c r="E72" s="13" t="str">
        <x:v>织物</x:v>
      </x:c>
      <x:c r="F72" s="27" t="n">
        <x:v>1160</x:v>
      </x:c>
      <x:c r="G72" s="27" t="n">
        <x:v>4</x:v>
      </x:c>
      <x:c r="H72" s="13" t="str">
        <x:v>晨雾细纱行会</x:v>
      </x:c>
      <x:c r="I72" s="13" t="str">
        <x:v>薄到可透看层叠纹样的细棉纱，以七层不同灰蓝色构成晨雾感</x:v>
      </x:c>
      <x:c r="J72" s="13" t="str">
        <x:v>胡格利专属贸易品牌；适用于奢华衣料、礼品、收藏订单与海员礼赠。</x:v>
      </x:c>
      <x:c r="K72" s="13" t="str">
        <x:v>港口发展度达到D4（≥700点）时，投资项目「晨雾细纱行会」自动完工；不要求武装度。</x:v>
      </x:c>
    </x:row>
    <x:row r="73" ht="42" customHeight="1">
      <x:c r="A73" s="15" t="str">
        <x:v>P068</x:v>
      </x:c>
      <x:c r="B73" s="15" t="str">
        <x:v>吉大港</x:v>
      </x:c>
      <x:c r="C73" s="15" t="str">
        <x:v>SP068</x:v>
      </x:c>
      <x:c r="D73" s="15" t="str">
        <x:v>青湾柚木拼浪箱</x:v>
      </x:c>
      <x:c r="E73" s="15" t="str">
        <x:v>工艺品</x:v>
      </x:c>
      <x:c r="F73" s="30" t="n">
        <x:v>670</x:v>
      </x:c>
      <x:c r="G73" s="30" t="n">
        <x:v>3</x:v>
      </x:c>
      <x:c r="H73" s="15" t="str">
        <x:v>青湾箱匠工坊</x:v>
      </x:c>
      <x:c r="I73" s="15" t="str">
        <x:v>深浅木片拼出河湾纹，箱内隔板可重排为船医或珠宝商用</x:v>
      </x:c>
      <x:c r="J73" s="15" t="str">
        <x:v>吉大港专属贸易品牌；适用于收藏、礼品、宴会订单与海员礼赠。</x:v>
      </x:c>
      <x:c r="K73" s="15" t="str">
        <x:v>港口发展度达到D3（≥450点）时，投资项目「青湾箱匠工坊」自动完工；不要求武装度。</x:v>
      </x:c>
    </x:row>
    <x:row r="74" ht="42" customHeight="1">
      <x:c r="A74" s="13" t="str">
        <x:v>P069</x:v>
      </x:c>
      <x:c r="B74" s="13" t="str">
        <x:v>马六甲</x:v>
      </x:c>
      <x:c r="C74" s="13" t="str">
        <x:v>SP069</x:v>
      </x:c>
      <x:c r="D74" s="13" t="str">
        <x:v>三海嵌珠商匣</x:v>
      </x:c>
      <x:c r="E74" s="13" t="str">
        <x:v>工艺品</x:v>
      </x:c>
      <x:c r="F74" s="27" t="n">
        <x:v>1090</x:v>
      </x:c>
      <x:c r="G74" s="27" t="n">
        <x:v>4</x:v>
      </x:c>
      <x:c r="H74" s="13" t="str">
        <x:v>三海合匠工坊</x:v>
      </x:c>
      <x:c r="I74" s="13" t="str">
        <x:v>以三块不同木色和贝片代表相遇的航海传统，花纹由港内合匠会原创</x:v>
      </x:c>
      <x:c r="J74" s="13" t="str">
        <x:v>马六甲专属贸易品牌；适用于收藏、礼品、宴会订单与海员礼赠。</x:v>
      </x:c>
      <x:c r="K74" s="13" t="str">
        <x:v>港口发展度达到D4（≥700点）时，投资项目「三海合匠工坊」自动完工；不要求武装度。</x:v>
      </x:c>
    </x:row>
    <x:row r="75" ht="42" customHeight="1">
      <x:c r="A75" s="15" t="str">
        <x:v>P070</x:v>
      </x:c>
      <x:c r="B75" s="15" t="str">
        <x:v>亚齐</x:v>
      </x:c>
      <x:c r="C75" s="15" t="str">
        <x:v>SP070</x:v>
      </x:c>
      <x:c r="D75" s="15" t="str">
        <x:v>雨枪长穗胡椒</x:v>
      </x:c>
      <x:c r="E75" s="15" t="str">
        <x:v>香辛料</x:v>
      </x:c>
      <x:c r="F75" s="30" t="n">
        <x:v>660</x:v>
      </x:c>
      <x:c r="G75" s="30" t="n">
        <x:v>3</x:v>
      </x:c>
      <x:c r="H75" s="15" t="str">
        <x:v>雨枪香料分晒场</x:v>
      </x:c>
      <x:c r="I75" s="15" t="str">
        <x:v>精选长串成熟胡椒，以深绿叶纹编筒分级密封</x:v>
      </x:c>
      <x:c r="J75" s="15" t="str">
        <x:v>亚齐专属贸易品牌；适用于宴会、药房、香辛料收藏订单与海员礼赠。</x:v>
      </x:c>
      <x:c r="K75" s="15" t="str">
        <x:v>港口发展度达到D3（≥450点）时，投资项目「雨枪香料分晒场」自动完工；不要求武装度。</x:v>
      </x:c>
    </x:row>
    <x:row r="76" ht="42" customHeight="1">
      <x:c r="A76" s="13" t="str">
        <x:v>P071</x:v>
      </x:c>
      <x:c r="B76" s="13" t="str">
        <x:v>万丹</x:v>
      </x:c>
      <x:c r="C76" s="13" t="str">
        <x:v>SP071</x:v>
      </x:c>
      <x:c r="D76" s="13" t="str">
        <x:v>万丹夜蓝蜡染卷</x:v>
      </x:c>
      <x:c r="E76" s="13" t="str">
        <x:v>织物</x:v>
      </x:c>
      <x:c r="F76" s="27" t="n">
        <x:v>730</x:v>
      </x:c>
      <x:c r="G76" s="27" t="n">
        <x:v>3</x:v>
      </x:c>
      <x:c r="H76" s="13" t="str">
        <x:v>夜蓝蜡染工坊</x:v>
      </x:c>
      <x:c r="I76" s="13" t="str">
        <x:v>深蓝蜡染中浮现小型帆、云和海鸟，卷轴边饰取自原创航路纹</x:v>
      </x:c>
      <x:c r="J76" s="13" t="str">
        <x:v>万丹专属贸易品牌；适用于奢华衣料、礼品、收藏订单与海员礼赠。</x:v>
      </x:c>
      <x:c r="K76" s="13" t="str">
        <x:v>港口发展度达到D3（≥450点）时，投资项目「夜蓝蜡染工坊」自动完工；不要求武装度。</x:v>
      </x:c>
    </x:row>
    <x:row r="77" ht="42" customHeight="1">
      <x:c r="A77" s="15" t="str">
        <x:v>P072</x:v>
      </x:c>
      <x:c r="B77" s="15" t="str">
        <x:v>巴达维亚</x:v>
      </x:c>
      <x:c r="C77" s="15" t="str">
        <x:v>SP072</x:v>
      </x:c>
      <x:c r="D77" s="15" t="str">
        <x:v>群岛十三香橱</x:v>
      </x:c>
      <x:c r="E77" s="15" t="str">
        <x:v>奢侈品</x:v>
      </x:c>
      <x:c r="F77" s="30" t="n">
        <x:v>1210</x:v>
      </x:c>
      <x:c r="G77" s="30" t="n">
        <x:v>4</x:v>
      </x:c>
      <x:c r="H77" s="15" t="str">
        <x:v>群岛香橱合匠工坊</x:v>
      </x:c>
      <x:c r="I77" s="15" t="str">
        <x:v>十三个小抽屉装产自不同航线的香料样包，木柜内侧绘原创群岛图</x:v>
      </x:c>
      <x:c r="J77" s="15" t="str">
        <x:v>巴达维亚专属贸易品牌；适用于宫廷、收藏、礼品订单与海员礼赠。</x:v>
      </x:c>
      <x:c r="K77" s="15" t="str">
        <x:v>港口发展度达到D4（≥700点）时，投资项目「群岛香橱合匠工坊」自动完工；不要求武装度。</x:v>
      </x:c>
    </x:row>
    <x:row r="78" ht="42" customHeight="1">
      <x:c r="A78" s="13" t="str">
        <x:v>P073</x:v>
      </x:c>
      <x:c r="B78" s="13" t="str">
        <x:v>巨港</x:v>
      </x:c>
      <x:c r="C78" s="13" t="str">
        <x:v>SP073</x:v>
      </x:c>
      <x:c r="D78" s="13" t="str">
        <x:v>穆西金河织锦</x:v>
      </x:c>
      <x:c r="E78" s="13" t="str">
        <x:v>织物</x:v>
      </x:c>
      <x:c r="F78" s="27" t="n">
        <x:v>990</x:v>
      </x:c>
      <x:c r="G78" s="27" t="n">
        <x:v>3</x:v>
      </x:c>
      <x:c r="H78" s="13" t="str">
        <x:v>金河织锦公所</x:v>
      </x:c>
      <x:c r="I78" s="13" t="str">
        <x:v>深紫棉丝地上穿细金线，河湾轮廓以重复小舟图案表达</x:v>
      </x:c>
      <x:c r="J78" s="13" t="str">
        <x:v>巨港专属贸易品牌；适用于奢华衣料、礼品、收藏订单与海员礼赠。</x:v>
      </x:c>
      <x:c r="K78" s="13" t="str">
        <x:v>港口发展度达到D3（≥450点）时，投资项目「金河织锦公所」自动完工；不要求武装度。</x:v>
      </x:c>
    </x:row>
    <x:row r="79" ht="42" customHeight="1">
      <x:c r="A79" s="15" t="str">
        <x:v>P074</x:v>
      </x:c>
      <x:c r="B79" s="15" t="str">
        <x:v>文莱</x:v>
      </x:c>
      <x:c r="C79" s="15" t="str">
        <x:v>SP074</x:v>
      </x:c>
      <x:c r="D79" s="15" t="str">
        <x:v>水宫沉纹木屏</x:v>
      </x:c>
      <x:c r="E79" s="15" t="str">
        <x:v>工艺品</x:v>
      </x:c>
      <x:c r="F79" s="30" t="n">
        <x:v>1040</x:v>
      </x:c>
      <x:c r="G79" s="30" t="n">
        <x:v>4</x:v>
      </x:c>
      <x:c r="H79" s="15" t="str">
        <x:v>水宫折屏木作坊</x:v>
      </x:c>
      <x:c r="I79" s="15" t="str">
        <x:v>层层折屏镂出水村倒影，以不同硬木自然色形成深浅图样</x:v>
      </x:c>
      <x:c r="J79" s="15" t="str">
        <x:v>文莱专属贸易品牌；适用于收藏、礼品、宴会订单与海员礼赠。</x:v>
      </x:c>
      <x:c r="K79" s="15" t="str">
        <x:v>港口发展度达到D4（≥700点）时，投资项目「水宫折屏木作坊」自动完工；不要求武装度。</x:v>
      </x:c>
    </x:row>
    <x:row r="80" ht="42" customHeight="1">
      <x:c r="A80" s="13" t="str">
        <x:v>P075</x:v>
      </x:c>
      <x:c r="B80" s="13" t="str">
        <x:v>望加锡</x:v>
      </x:c>
      <x:c r="C80" s="13" t="str">
        <x:v>SP075</x:v>
      </x:c>
      <x:c r="D80" s="13" t="str">
        <x:v>南十字黑帆布</x:v>
      </x:c>
      <x:c r="E80" s="13" t="str">
        <x:v>织物</x:v>
      </x:c>
      <x:c r="F80" s="27" t="n">
        <x:v>560</x:v>
      </x:c>
      <x:c r="G80" s="27" t="n">
        <x:v>3</x:v>
      </x:c>
      <x:c r="H80" s="13" t="str">
        <x:v>黑帆染织工坊</x:v>
      </x:c>
      <x:c r="I80" s="13" t="str">
        <x:v>炭黑与靛蓝双染的帆布，边角用白色织纹表现南方星座意象</x:v>
      </x:c>
      <x:c r="J80" s="13" t="str">
        <x:v>望加锡专属贸易品牌；适用于奢华衣料、礼品、收藏订单与海员礼赠。</x:v>
      </x:c>
      <x:c r="K80" s="13" t="str">
        <x:v>港口发展度达到D3（≥450点）时，投资项目「黑帆染织工坊」自动完工；不要求武装度。</x:v>
      </x:c>
    </x:row>
    <x:row r="81" ht="42" customHeight="1">
      <x:c r="A81" s="15" t="str">
        <x:v>P076</x:v>
      </x:c>
      <x:c r="B81" s="15" t="str">
        <x:v>特尔纳特</x:v>
      </x:c>
      <x:c r="C81" s="15" t="str">
        <x:v>SP076</x:v>
      </x:c>
      <x:c r="D81" s="15" t="str">
        <x:v>火山赤蕊丁香</x:v>
      </x:c>
      <x:c r="E81" s="15" t="str">
        <x:v>香辛料</x:v>
      </x:c>
      <x:c r="F81" s="30" t="n">
        <x:v>910</x:v>
      </x:c>
      <x:c r="G81" s="30" t="n">
        <x:v>3</x:v>
      </x:c>
      <x:c r="H81" s="15" t="str">
        <x:v>赤蕊丁香晾晒院</x:v>
      </x:c>
      <x:c r="I81" s="15" t="str">
        <x:v>花苞分层筛选后呈红褐色，开筒时的香气被用作港口识别记忆</x:v>
      </x:c>
      <x:c r="J81" s="15" t="str">
        <x:v>特尔纳特专属贸易品牌；适用于宴会、药房、香辛料收藏订单与海员礼赠。</x:v>
      </x:c>
      <x:c r="K81" s="15" t="str">
        <x:v>港口发展度达到D3（≥450点）时，投资项目「赤蕊丁香晾晒院」自动完工；不要求武装度。</x:v>
      </x:c>
    </x:row>
    <x:row r="82" ht="42" customHeight="1">
      <x:c r="A82" s="13" t="str">
        <x:v>P077</x:v>
      </x:c>
      <x:c r="B82" s="13" t="str">
        <x:v>班达奈拉</x:v>
      </x:c>
      <x:c r="C82" s="13" t="str">
        <x:v>SP077</x:v>
      </x:c>
      <x:c r="D82" s="13" t="str">
        <x:v>班达绯冠肉豆蔻花衣</x:v>
      </x:c>
      <x:c r="E82" s="13" t="str">
        <x:v>香辛料</x:v>
      </x:c>
      <x:c r="F82" s="27" t="n">
        <x:v>1020</x:v>
      </x:c>
      <x:c r="G82" s="27" t="n">
        <x:v>4</x:v>
      </x:c>
      <x:c r="H82" s="13" t="str">
        <x:v>绯冠花衣分级工坊</x:v>
      </x:c>
      <x:c r="I82" s="13" t="str">
        <x:v>红色网状假种皮干制后像一顶绯色冠冕，独立于普通肉豆蔻出售</x:v>
      </x:c>
      <x:c r="J82" s="13" t="str">
        <x:v>班达奈拉专属贸易品牌；适用于宴会、药房、香辛料收藏订单与海员礼赠。</x:v>
      </x:c>
      <x:c r="K82" s="13" t="str">
        <x:v>港口发展度达到D4（≥700点）时，投资项目「绯冠花衣分级工坊」自动完工；不要求武装度。</x:v>
      </x:c>
    </x:row>
    <x:row r="83" ht="42" customHeight="1">
      <x:c r="A83" s="15" t="str">
        <x:v>P078</x:v>
      </x:c>
      <x:c r="B83" s="15" t="str">
        <x:v>马尼拉</x:v>
      </x:c>
      <x:c r="C83" s="15" t="str">
        <x:v>SP078</x:v>
      </x:c>
      <x:c r="D83" s="15" t="str">
        <x:v>月贝金光折扇</x:v>
      </x:c>
      <x:c r="E83" s="15" t="str">
        <x:v>工艺品</x:v>
      </x:c>
      <x:c r="F83" s="30" t="n">
        <x:v>980</x:v>
      </x:c>
      <x:c r="G83" s="30" t="n">
        <x:v>3</x:v>
      </x:c>
      <x:c r="H83" s="15" t="str">
        <x:v>月贝折扇工坊</x:v>
      </x:c>
      <x:c r="I83" s="15" t="str">
        <x:v>薄贝片透出柔金光，扇骨嵌原创海鸟纹，组合亚洲与跨洋工坊技巧</x:v>
      </x:c>
      <x:c r="J83" s="15" t="str">
        <x:v>马尼拉专属贸易品牌；适用于收藏、礼品、宴会订单与海员礼赠。</x:v>
      </x:c>
      <x:c r="K83" s="15" t="str">
        <x:v>港口发展度达到D3（≥450点）时，投资项目「月贝折扇工坊」自动完工；不要求武装度。</x:v>
      </x:c>
    </x:row>
    <x:row r="84" ht="42" customHeight="1">
      <x:c r="A84" s="13" t="str">
        <x:v>P079</x:v>
      </x:c>
      <x:c r="B84" s="13" t="str">
        <x:v>会安</x:v>
      </x:c>
      <x:c r="C84" s="13" t="str">
        <x:v>SP079</x:v>
      </x:c>
      <x:c r="D84" s="13" t="str">
        <x:v>灯河五色丝灯罩</x:v>
      </x:c>
      <x:c r="E84" s="13" t="str">
        <x:v>工艺品</x:v>
      </x:c>
      <x:c r="F84" s="27" t="n">
        <x:v>780</x:v>
      </x:c>
      <x:c r="G84" s="27" t="n">
        <x:v>3</x:v>
      </x:c>
      <x:c r="H84" s="13" t="str">
        <x:v>灯河丝灯工坊</x:v>
      </x:c>
      <x:c r="I84" s="13" t="str">
        <x:v>可折叠的竹木骨架罩五色丝面，点灯时显出行船云纹</x:v>
      </x:c>
      <x:c r="J84" s="13" t="str">
        <x:v>会安专属贸易品牌；适用于收藏、礼品、宴会订单与海员礼赠。</x:v>
      </x:c>
      <x:c r="K84" s="13" t="str">
        <x:v>港口发展度达到D3（≥450点）时，投资项目「灯河丝灯工坊」自动完工；不要求武装度。</x:v>
      </x:c>
    </x:row>
    <x:row r="85" ht="42" customHeight="1">
      <x:c r="A85" s="15" t="str">
        <x:v>P080</x:v>
      </x:c>
      <x:c r="B85" s="15" t="str">
        <x:v>阿瑜陀耶</x:v>
      </x:c>
      <x:c r="C85" s="15" t="str">
        <x:v>SP080</x:v>
      </x:c>
      <x:c r="D85" s="15" t="str">
        <x:v>三河金叶黑漆盘</x:v>
      </x:c>
      <x:c r="E85" s="15" t="str">
        <x:v>工艺品</x:v>
      </x:c>
      <x:c r="F85" s="30" t="n">
        <x:v>1150</x:v>
      </x:c>
      <x:c r="G85" s="30" t="n">
        <x:v>4</x:v>
      </x:c>
      <x:c r="H85" s="15" t="str">
        <x:v>王城金叶漆作坊</x:v>
      </x:c>
      <x:c r="I85" s="15" t="str">
        <x:v>黑漆盘面用细金叶铺出三股河流与虚构水鸟，边沿朱红</x:v>
      </x:c>
      <x:c r="J85" s="15" t="str">
        <x:v>阿瑜陀耶专属贸易品牌；适用于收藏、礼品、宴会订单与海员礼赠。</x:v>
      </x:c>
      <x:c r="K85" s="15" t="str">
        <x:v>港口发展度达到D4（≥700点）时，投资项目「王城金叶漆作坊」自动完工；不要求武装度。</x:v>
      </x:c>
    </x:row>
    <x:row r="86" ht="42" customHeight="1">
      <x:c r="A86" s="13" t="str">
        <x:v>P081</x:v>
      </x:c>
      <x:c r="B86" s="13" t="str">
        <x:v>广州</x:v>
      </x:c>
      <x:c r="C86" s="13" t="str">
        <x:v>SP081</x:v>
      </x:c>
      <x:c r="D86" s="13" t="str">
        <x:v>珠江百帆广彩匣</x:v>
      </x:c>
      <x:c r="E86" s="13" t="str">
        <x:v>工艺品</x:v>
      </x:c>
      <x:c r="F86" s="27" t="n">
        <x:v>1380</x:v>
      </x:c>
      <x:c r="G86" s="27" t="n">
        <x:v>4</x:v>
      </x:c>
      <x:c r="H86" s="13" t="str">
        <x:v>百帆彩瓷工坊</x:v>
      </x:c>
      <x:c r="I86" s="13" t="str">
        <x:v>白瓷匣上绘原创百帆节场景，金红绿彩在海蓝底纹间穿梭</x:v>
      </x:c>
      <x:c r="J86" s="13" t="str">
        <x:v>广州专属贸易品牌；适用于收藏、礼品、宴会订单与海员礼赠。</x:v>
      </x:c>
      <x:c r="K86" s="13" t="str">
        <x:v>港口发展度达到D4（≥700点）时，投资项目「百帆彩瓷工坊」自动完工；不要求武装度。</x:v>
      </x:c>
    </x:row>
    <x:row r="87" ht="42" customHeight="1">
      <x:c r="A87" s="15" t="str">
        <x:v>P082</x:v>
      </x:c>
      <x:c r="B87" s="15" t="str">
        <x:v>泉州</x:v>
      </x:c>
      <x:c r="C87" s="15" t="str">
        <x:v>SP082</x:v>
      </x:c>
      <x:c r="D87" s="15" t="str">
        <x:v>刺桐白瓷潮生盏</x:v>
      </x:c>
      <x:c r="E87" s="15" t="str">
        <x:v>工艺品</x:v>
      </x:c>
      <x:c r="F87" s="30" t="n">
        <x:v>880</x:v>
      </x:c>
      <x:c r="G87" s="30" t="n">
        <x:v>3</x:v>
      </x:c>
      <x:c r="H87" s="15" t="str">
        <x:v>潮生白瓷窑</x:v>
      </x:c>
      <x:c r="I87" s="15" t="str">
        <x:v>透白釉下暗刻海浪与刺桐花瓣，灯光透过薄壁显出双层纹</x:v>
      </x:c>
      <x:c r="J87" s="15" t="str">
        <x:v>泉州专属贸易品牌；适用于收藏、礼品、宴会订单与海员礼赠。</x:v>
      </x:c>
      <x:c r="K87" s="15" t="str">
        <x:v>港口发展度达到D3（≥450点）时，投资项目「潮生白瓷窑」自动完工；不要求武装度。</x:v>
      </x:c>
    </x:row>
    <x:row r="88" ht="42" customHeight="1">
      <x:c r="A88" s="13" t="str">
        <x:v>P083</x:v>
      </x:c>
      <x:c r="B88" s="13" t="str">
        <x:v>福州</x:v>
      </x:c>
      <x:c r="C88" s="13" t="str">
        <x:v>SP083</x:v>
      </x:c>
      <x:c r="D88" s="13" t="str">
        <x:v>榕影脱胎漆杯</x:v>
      </x:c>
      <x:c r="E88" s="13" t="str">
        <x:v>工艺品</x:v>
      </x:c>
      <x:c r="F88" s="27" t="n">
        <x:v>1020</x:v>
      </x:c>
      <x:c r="G88" s="27" t="n">
        <x:v>4</x:v>
      </x:c>
      <x:c r="H88" s="13" t="str">
        <x:v>榕影轻胎漆坊</x:v>
      </x:c>
      <x:c r="I88" s="13" t="str">
        <x:v>轻薄漆杯以灰绿、朱红两层透纹表现榕叶影，属传统工艺启发的原创款</x:v>
      </x:c>
      <x:c r="J88" s="13" t="str">
        <x:v>福州专属贸易品牌；适用于收藏、礼品、宴会订单与海员礼赠。</x:v>
      </x:c>
      <x:c r="K88" s="13" t="str">
        <x:v>港口发展度达到D4（≥700点）时，投资项目「榕影轻胎漆坊」自动完工；不要求武装度。</x:v>
      </x:c>
    </x:row>
    <x:row r="89" ht="42" customHeight="1">
      <x:c r="A89" s="15" t="str">
        <x:v>P084</x:v>
      </x:c>
      <x:c r="B89" s="15" t="str">
        <x:v>宁波</x:v>
      </x:c>
      <x:c r="C89" s="15" t="str">
        <x:v>SP084</x:v>
      </x:c>
      <x:c r="D89" s="15" t="str">
        <x:v>甬江青瓷雨线壶</x:v>
      </x:c>
      <x:c r="E89" s="15" t="str">
        <x:v>工艺品</x:v>
      </x:c>
      <x:c r="F89" s="30" t="n">
        <x:v>930</x:v>
      </x:c>
      <x:c r="G89" s="30" t="n">
        <x:v>3</x:v>
      </x:c>
      <x:c r="H89" s="15" t="str">
        <x:v>雨线青瓷工坊</x:v>
      </x:c>
      <x:c r="I89" s="15" t="str">
        <x:v>青釉壶肩刻密细竖线，注水时像雨从云间落入杯中</x:v>
      </x:c>
      <x:c r="J89" s="15" t="str">
        <x:v>宁波专属贸易品牌；适用于收藏、礼品、宴会订单与海员礼赠。</x:v>
      </x:c>
      <x:c r="K89" s="15" t="str">
        <x:v>港口发展度达到D3（≥450点）时，投资项目「雨线青瓷工坊」自动完工；不要求武装度。</x:v>
      </x:c>
    </x:row>
    <x:row r="90" ht="42" customHeight="1">
      <x:c r="A90" s="13" t="str">
        <x:v>P085</x:v>
      </x:c>
      <x:c r="B90" s="13" t="str">
        <x:v>南京</x:v>
      </x:c>
      <x:c r="C90" s="13" t="str">
        <x:v>SP085</x:v>
      </x:c>
      <x:c r="D90" s="13" t="str">
        <x:v>金陵星河云锦</x:v>
      </x:c>
      <x:c r="E90" s="13" t="str">
        <x:v>织物</x:v>
      </x:c>
      <x:c r="F90" s="27" t="n">
        <x:v>1640</x:v>
      </x:c>
      <x:c r="G90" s="27" t="n">
        <x:v>4</x:v>
      </x:c>
      <x:c r="H90" s="13" t="str">
        <x:v>星河云锦总坊</x:v>
      </x:c>
      <x:c r="I90" s="13" t="str">
        <x:v>墨蓝地以金银丝织出细密航船与银河，是本作原创庆典锦样</x:v>
      </x:c>
      <x:c r="J90" s="13" t="str">
        <x:v>南京专属贸易品牌；适用于奢华衣料、礼品、收藏订单与海员礼赠。</x:v>
      </x:c>
      <x:c r="K90" s="13" t="str">
        <x:v>港口发展度达到D4（≥700点）时，投资项目「星河云锦总坊」自动完工；不要求武装度。</x:v>
      </x:c>
    </x:row>
    <x:row r="91" ht="42" customHeight="1">
      <x:c r="A91" s="15" t="str">
        <x:v>P086</x:v>
      </x:c>
      <x:c r="B91" s="15" t="str">
        <x:v>安平</x:v>
      </x:c>
      <x:c r="C91" s="15" t="str">
        <x:v>SP086</x:v>
      </x:c>
      <x:c r="D91" s="15" t="str">
        <x:v>安平日落蔗晶</x:v>
      </x:c>
      <x:c r="E91" s="15" t="str">
        <x:v>食品</x:v>
      </x:c>
      <x:c r="F91" s="30" t="n">
        <x:v>420</x:v>
      </x:c>
      <x:c r="G91" s="30" t="n">
        <x:v>3</x:v>
      </x:c>
      <x:c r="H91" s="15" t="str">
        <x:v>日落糖晶工坊</x:v>
      </x:c>
      <x:c r="I91" s="15" t="str">
        <x:v>大颗琥珀糖晶装进蓝白陶瓶，透光时像一小罐夕阳</x:v>
      </x:c>
      <x:c r="J91" s="15" t="str">
        <x:v>安平专属贸易品牌；适用于宴会、远航补给、礼品订单与海员礼赠。</x:v>
      </x:c>
      <x:c r="K91" s="15" t="str">
        <x:v>港口发展度达到D3（≥450点）时，投资项目「日落糖晶工坊」自动完工；不要求武装度。</x:v>
      </x:c>
    </x:row>
    <x:row r="92" ht="42" customHeight="1">
      <x:c r="A92" s="13" t="str">
        <x:v>P087</x:v>
      </x:c>
      <x:c r="B92" s="13" t="str">
        <x:v>马公</x:v>
      </x:c>
      <x:c r="C92" s="13" t="str">
        <x:v>SP087</x:v>
      </x:c>
      <x:c r="D92" s="13" t="str">
        <x:v>玄武海纹贝雕盘</x:v>
      </x:c>
      <x:c r="E92" s="13" t="str">
        <x:v>工艺品</x:v>
      </x:c>
      <x:c r="F92" s="27" t="n">
        <x:v>510</x:v>
      </x:c>
      <x:c r="G92" s="27" t="n">
        <x:v>3</x:v>
      </x:c>
      <x:c r="H92" s="13" t="str">
        <x:v>玄武贝雕工坊</x:v>
      </x:c>
      <x:c r="I92" s="13" t="str">
        <x:v>白贝刻片拼嵌在深色底盘，刻出岛间风纹和船尾泡沫</x:v>
      </x:c>
      <x:c r="J92" s="13" t="str">
        <x:v>马公专属贸易品牌；适用于收藏、礼品、宴会订单与海员礼赠。</x:v>
      </x:c>
      <x:c r="K92" s="13" t="str">
        <x:v>港口发展度达到D3（≥450点）时，投资项目「玄武贝雕工坊」自动完工；不要求武装度。</x:v>
      </x:c>
    </x:row>
    <x:row r="93" ht="42" customHeight="1">
      <x:c r="A93" s="15" t="str">
        <x:v>P088</x:v>
      </x:c>
      <x:c r="B93" s="15" t="str">
        <x:v>那霸</x:v>
      </x:c>
      <x:c r="C93" s="15" t="str">
        <x:v>SP088</x:v>
      </x:c>
      <x:c r="D93" s="15" t="str">
        <x:v>琉璃潮花红型布</x:v>
      </x:c>
      <x:c r="E93" s="15" t="str">
        <x:v>织物</x:v>
      </x:c>
      <x:c r="F93" s="30" t="n">
        <x:v>1090</x:v>
      </x:c>
      <x:c r="G93" s="30" t="n">
        <x:v>4</x:v>
      </x:c>
      <x:c r="H93" s="15" t="str">
        <x:v>潮花染绘工坊</x:v>
      </x:c>
      <x:c r="I93" s="15" t="str">
        <x:v>红黄蓝植物纹在白地上像海边花丛，图样为本作原创染绘</x:v>
      </x:c>
      <x:c r="J93" s="15" t="str">
        <x:v>那霸专属贸易品牌；适用于奢华衣料、礼品、收藏订单与海员礼赠。</x:v>
      </x:c>
      <x:c r="K93" s="15" t="str">
        <x:v>港口发展度达到D4（≥700点）时，投资项目「潮花染绘工坊」自动完工；不要求武装度。</x:v>
      </x:c>
    </x:row>
    <x:row r="94" ht="42" customHeight="1">
      <x:c r="A94" s="13" t="str">
        <x:v>P089</x:v>
      </x:c>
      <x:c r="B94" s="13" t="str">
        <x:v>长崎</x:v>
      </x:c>
      <x:c r="C94" s="13" t="str">
        <x:v>SP089</x:v>
      </x:c>
      <x:c r="D94" s="13" t="str">
        <x:v>长崎虹砂玻璃盏</x:v>
      </x:c>
      <x:c r="E94" s="13" t="str">
        <x:v>工艺品</x:v>
      </x:c>
      <x:c r="F94" s="27" t="n">
        <x:v>1160</x:v>
      </x:c>
      <x:c r="G94" s="27" t="n">
        <x:v>4</x:v>
      </x:c>
      <x:c r="H94" s="13" t="str">
        <x:v>虹砂玻璃合匠坊</x:v>
      </x:c>
      <x:c r="I94" s="13" t="str">
        <x:v>薄玻璃拉出海蓝与蜜金细线，杯足形如一小团浪尖</x:v>
      </x:c>
      <x:c r="J94" s="13" t="str">
        <x:v>长崎专属贸易品牌；适用于收藏、礼品、宴会订单与海员礼赠。</x:v>
      </x:c>
      <x:c r="K94" s="13" t="str">
        <x:v>港口发展度达到D4（≥700点）时，投资项目「虹砂玻璃合匠坊」自动完工；不要求武装度。</x:v>
      </x:c>
    </x:row>
    <x:row r="95" ht="42" customHeight="1">
      <x:c r="A95" s="15" t="str">
        <x:v>P090</x:v>
      </x:c>
      <x:c r="B95" s="15" t="str">
        <x:v>堺</x:v>
      </x:c>
      <x:c r="C95" s="15" t="str">
        <x:v>SP090</x:v>
      </x:c>
      <x:c r="D95" s="15" t="str">
        <x:v>堺一叶折锋匠刀</x:v>
      </x:c>
      <x:c r="E95" s="15" t="str">
        <x:v>工业品</x:v>
      </x:c>
      <x:c r="F95" s="30" t="n">
        <x:v>1220</x:v>
      </x:c>
      <x:c r="G95" s="30" t="n">
        <x:v>4</x:v>
      </x:c>
      <x:c r="H95" s="15" t="str">
        <x:v>一叶金工总作坊</x:v>
      </x:c>
      <x:c r="I95" s="15" t="str">
        <x:v>船匠用细工刀组以竹叶形柄和分级刀刃组合，作为工艺工具货而非角色武器</x:v>
      </x:c>
      <x:c r="J95" s="15" t="str">
        <x:v>堺专属贸易品牌；适用于船厂、工具工坊、工坊建设订单与海员礼赠。</x:v>
      </x:c>
      <x:c r="K95" s="15" t="str">
        <x:v>港口发展度达到D4（≥700点）时，投资项目「一叶金工总作坊」自动完工；不要求武装度。</x:v>
      </x:c>
    </x:row>
    <x:row r="96" ht="42" customHeight="1">
      <x:c r="A96" s="13" t="str">
        <x:v>P091</x:v>
      </x:c>
      <x:c r="B96" s="13" t="str">
        <x:v>江户</x:v>
      </x:c>
      <x:c r="C96" s="13" t="str">
        <x:v>SP091</x:v>
      </x:c>
      <x:c r="D96" s="13" t="str">
        <x:v>江户千帆浮世绘册</x:v>
      </x:c>
      <x:c r="E96" s="13" t="str">
        <x:v>奢侈品</x:v>
      </x:c>
      <x:c r="F96" s="27" t="n">
        <x:v>1030</x:v>
      </x:c>
      <x:c r="G96" s="27" t="n">
        <x:v>4</x:v>
      </x:c>
      <x:c r="H96" s="13" t="str">
        <x:v>千帆木版印坊</x:v>
      </x:c>
      <x:c r="I96" s="13" t="str">
        <x:v>原创海港人物与航船套色版画，册页可在船长舱作为收藏展示</x:v>
      </x:c>
      <x:c r="J96" s="13" t="str">
        <x:v>江户专属贸易品牌；适用于宫廷、收藏、礼品订单与海员礼赠。</x:v>
      </x:c>
      <x:c r="K96" s="13" t="str">
        <x:v>港口发展度达到D4（≥700点）时，投资项目「千帆木版印坊」自动完工；不要求武装度。</x:v>
      </x:c>
    </x:row>
    <x:row r="97" ht="42" customHeight="1">
      <x:c r="A97" s="15" t="str">
        <x:v>P092</x:v>
      </x:c>
      <x:c r="B97" s="15" t="str">
        <x:v>釜山</x:v>
      </x:c>
      <x:c r="C97" s="15" t="str">
        <x:v>SP092</x:v>
      </x:c>
      <x:c r="D97" s="15" t="str">
        <x:v>青潮螺钿文箱</x:v>
      </x:c>
      <x:c r="E97" s="15" t="str">
        <x:v>工艺品</x:v>
      </x:c>
      <x:c r="F97" s="30" t="n">
        <x:v>1050</x:v>
      </x:c>
      <x:c r="G97" s="30" t="n">
        <x:v>4</x:v>
      </x:c>
      <x:c r="H97" s="15" t="str">
        <x:v>青潮螺钿工坊</x:v>
      </x:c>
      <x:c r="I97" s="15" t="str">
        <x:v>深漆箱面用细贝片排出海浪、芦苇与原创鹤形构图</x:v>
      </x:c>
      <x:c r="J97" s="15" t="str">
        <x:v>釜山专属贸易品牌；适用于收藏、礼品、宴会订单与海员礼赠。</x:v>
      </x:c>
      <x:c r="K97" s="15" t="str">
        <x:v>港口发展度达到D4（≥700点）时，投资项目「青潮螺钿工坊」自动完工；不要求武装度。</x:v>
      </x:c>
    </x:row>
    <x:row r="98" ht="42" customHeight="1">
      <x:c r="A98" s="13" t="str">
        <x:v>P093</x:v>
      </x:c>
      <x:c r="B98" s="13" t="str">
        <x:v>济州</x:v>
      </x:c>
      <x:c r="C98" s="13" t="str">
        <x:v>SP093</x:v>
      </x:c>
      <x:c r="D98" s="13" t="str">
        <x:v>黑石海女贝光扣</x:v>
      </x:c>
      <x:c r="E98" s="13" t="str">
        <x:v>工艺品</x:v>
      </x:c>
      <x:c r="F98" s="27" t="n">
        <x:v>650</x:v>
      </x:c>
      <x:c r="G98" s="27" t="n">
        <x:v>3</x:v>
      </x:c>
      <x:c r="H98" s="13" t="str">
        <x:v>贝光镶嵌工坊</x:v>
      </x:c>
      <x:c r="I98" s="13" t="str">
        <x:v>贝光拼片嵌入黑色石纹框，表现潜采劳动与海潮的原创工坊饰扣</x:v>
      </x:c>
      <x:c r="J98" s="13" t="str">
        <x:v>济州专属贸易品牌；适用于收藏、礼品、宴会订单与海员礼赠。</x:v>
      </x:c>
      <x:c r="K98" s="13" t="str">
        <x:v>港口发展度达到D3（≥450点）时，投资项目「贝光镶嵌工坊」自动完工；不要求武装度。</x:v>
      </x:c>
    </x:row>
    <x:row r="99" ht="42" customHeight="1">
      <x:c r="A99" s="15" t="str">
        <x:v>P094</x:v>
      </x:c>
      <x:c r="B99" s="15" t="str">
        <x:v>箱馆</x:v>
      </x:c>
      <x:c r="C99" s="15" t="str">
        <x:v>SP094</x:v>
      </x:c>
      <x:c r="D99" s="15" t="str">
        <x:v>北灯昆布结礼带</x:v>
      </x:c>
      <x:c r="E99" s="15" t="str">
        <x:v>食品</x:v>
      </x:c>
      <x:c r="F99" s="30" t="n">
        <x:v>320</x:v>
      </x:c>
      <x:c r="G99" s="30" t="n">
        <x:v>3</x:v>
      </x:c>
      <x:c r="H99" s="15" t="str">
        <x:v>北灯昆布风干仓</x:v>
      </x:c>
      <x:c r="I99" s="15" t="str">
        <x:v>精选长幅干昆布以细绳结束，包装以冷蓝和雪白形成北境记忆</x:v>
      </x:c>
      <x:c r="J99" s="15" t="str">
        <x:v>箱馆专属贸易品牌；适用于宴会、远航补给、礼品订单与海员礼赠。</x:v>
      </x:c>
      <x:c r="K99" s="15" t="str">
        <x:v>港口发展度达到D3（≥450点）时，投资项目「北灯昆布风干仓」自动完工；不要求武装度。</x:v>
      </x:c>
    </x:row>
    <x:row r="100" ht="42" customHeight="1">
      <x:c r="A100" s="13" t="str">
        <x:v>P095</x:v>
      </x:c>
      <x:c r="B100" s="13" t="str">
        <x:v>哈瓦那</x:v>
      </x:c>
      <x:c r="C100" s="13" t="str">
        <x:v>SP095</x:v>
      </x:c>
      <x:c r="D100" s="13" t="str">
        <x:v>哈瓦那绛叶雪茄匣</x:v>
      </x:c>
      <x:c r="E100" s="13" t="str">
        <x:v>嗜好品</x:v>
      </x:c>
      <x:c r="F100" s="27" t="n">
        <x:v>980</x:v>
      </x:c>
      <x:c r="G100" s="27" t="n">
        <x:v>3</x:v>
      </x:c>
      <x:c r="H100" s="13" t="str">
        <x:v>绛叶熟成烟坊</x:v>
      </x:c>
      <x:c r="I100" s="13" t="str">
        <x:v>深红烟叶分级卷制，木匣上绘原创船队返港庆典</x:v>
      </x:c>
      <x:c r="J100" s="13" t="str">
        <x:v>哈瓦那专属贸易品牌；适用于城市消费、礼品、酒馆订单与海员礼赠。</x:v>
      </x:c>
      <x:c r="K100" s="13" t="str">
        <x:v>港口发展度达到D3（≥450点）时，投资项目「绛叶熟成烟坊」自动完工；不要求武装度。</x:v>
      </x:c>
    </x:row>
    <x:row r="101" ht="42" customHeight="1">
      <x:c r="A101" s="15" t="str">
        <x:v>P096</x:v>
      </x:c>
      <x:c r="B101" s="15" t="str">
        <x:v>圣地亚哥德古巴</x:v>
      </x:c>
      <x:c r="C101" s="15" t="str">
        <x:v>SP096</x:v>
      </x:c>
      <x:c r="D101" s="15" t="str">
        <x:v>铜湾蜜桶朗姆</x:v>
      </x:c>
      <x:c r="E101" s="15" t="str">
        <x:v>酒类</x:v>
      </x:c>
      <x:c r="F101" s="30" t="n">
        <x:v>620</x:v>
      </x:c>
      <x:c r="G101" s="30" t="n">
        <x:v>3</x:v>
      </x:c>
      <x:c r="H101" s="15" t="str">
        <x:v>铜湾蜜桶蒸馏坊</x:v>
      </x:c>
      <x:c r="I101" s="15" t="str">
        <x:v>糖蜜蒸馏后在炭烘木桶中熟成，包装铜箔映出山湾线条</x:v>
      </x:c>
      <x:c r="J101" s="15" t="str">
        <x:v>圣地亚哥德古巴专属贸易品牌；适用于酒馆、宴会、礼品订单与海员礼赠。</x:v>
      </x:c>
      <x:c r="K101" s="15" t="str">
        <x:v>港口发展度达到D3（≥450点）时，投资项目「铜湾蜜桶蒸馏坊」自动完工；不要求武装度。</x:v>
      </x:c>
    </x:row>
    <x:row r="102" ht="42" customHeight="1">
      <x:c r="A102" s="13" t="str">
        <x:v>P097</x:v>
      </x:c>
      <x:c r="B102" s="13" t="str">
        <x:v>圣多明各</x:v>
      </x:c>
      <x:c r="C102" s="13" t="str">
        <x:v>SP097</x:v>
      </x:c>
      <x:c r="D102" s="13" t="str">
        <x:v>金河可可花砖</x:v>
      </x:c>
      <x:c r="E102" s="13" t="str">
        <x:v>嗜好品</x:v>
      </x:c>
      <x:c r="F102" s="27" t="n">
        <x:v>580</x:v>
      </x:c>
      <x:c r="G102" s="27" t="n">
        <x:v>3</x:v>
      </x:c>
      <x:c r="H102" s="13" t="str">
        <x:v>金河可可研磨坊</x:v>
      </x:c>
      <x:c r="I102" s="13" t="str">
        <x:v>可可与蔗糖压成带花朵浅浮雕的饮品砖，花样为原创</x:v>
      </x:c>
      <x:c r="J102" s="13" t="str">
        <x:v>圣多明各专属贸易品牌；适用于城市消费、礼品、酒馆订单与海员礼赠。</x:v>
      </x:c>
      <x:c r="K102" s="13" t="str">
        <x:v>港口发展度达到D3（≥450点）时，投资项目「金河可可研磨坊」自动完工；不要求武装度。</x:v>
      </x:c>
    </x:row>
    <x:row r="103" ht="42" customHeight="1">
      <x:c r="A103" s="15" t="str">
        <x:v>P098</x:v>
      </x:c>
      <x:c r="B103" s="15" t="str">
        <x:v>圣胡安</x:v>
      </x:c>
      <x:c r="C103" s="15" t="str">
        <x:v>SP098</x:v>
      </x:c>
      <x:c r="D103" s="15" t="str">
        <x:v>双堡青柑蜜饯</x:v>
      </x:c>
      <x:c r="E103" s="15" t="str">
        <x:v>食品</x:v>
      </x:c>
      <x:c r="F103" s="30" t="n">
        <x:v>390</x:v>
      </x:c>
      <x:c r="G103" s="30" t="n">
        <x:v>3</x:v>
      </x:c>
      <x:c r="H103" s="15" t="str">
        <x:v>双堡蜜饯工坊</x:v>
      </x:c>
      <x:c r="I103" s="15" t="str">
        <x:v>糖渍柑皮卷成小涡旋，锡色罐顶压出双堡海口图形</x:v>
      </x:c>
      <x:c r="J103" s="15" t="str">
        <x:v>圣胡安专属贸易品牌；适用于宴会、远航补给、礼品订单与海员礼赠。</x:v>
      </x:c>
      <x:c r="K103" s="15" t="str">
        <x:v>港口发展度达到D3（≥450点）时，投资项目「双堡蜜饯工坊」自动完工；不要求武装度。</x:v>
      </x:c>
    </x:row>
    <x:row r="104" ht="42" customHeight="1">
      <x:c r="A104" s="13" t="str">
        <x:v>P099</x:v>
      </x:c>
      <x:c r="B104" s="13" t="str">
        <x:v>罗亚尔港</x:v>
      </x:c>
      <x:c r="C104" s="13" t="str">
        <x:v>SP099</x:v>
      </x:c>
      <x:c r="D104" s="13" t="str">
        <x:v>罗亚尔黑帆桶酿</x:v>
      </x:c>
      <x:c r="E104" s="13" t="str">
        <x:v>酒类</x:v>
      </x:c>
      <x:c r="F104" s="27" t="n">
        <x:v>670</x:v>
      </x:c>
      <x:c r="G104" s="27" t="n">
        <x:v>3</x:v>
      </x:c>
      <x:c r="H104" s="13" t="str">
        <x:v>黑帆小桶酒坊</x:v>
      </x:c>
      <x:c r="I104" s="13" t="str">
        <x:v>深色糖蜜酒以可重复封闭的小桶出售，桶箍压出虚构私掠团徽记</x:v>
      </x:c>
      <x:c r="J104" s="13" t="str">
        <x:v>罗亚尔港专属贸易品牌；适用于酒馆、宴会、礼品订单与海员礼赠。</x:v>
      </x:c>
      <x:c r="K104" s="13" t="str">
        <x:v>港口发展度达到D3（≥450点）时，投资项目「黑帆小桶酒坊」自动完工；不要求武装度。</x:v>
      </x:c>
    </x:row>
    <x:row r="105" ht="42" customHeight="1">
      <x:c r="A105" s="15" t="str">
        <x:v>P100</x:v>
      </x:c>
      <x:c r="B105" s="15" t="str">
        <x:v>托尔图加</x:v>
      </x:c>
      <x:c r="C105" s="15" t="str">
        <x:v>SP100</x:v>
      </x:c>
      <x:c r="D105" s="15" t="str">
        <x:v>龟岛折潮藏酒盒</x:v>
      </x:c>
      <x:c r="E105" s="15" t="str">
        <x:v>工艺品</x:v>
      </x:c>
      <x:c r="F105" s="30" t="n">
        <x:v>560</x:v>
      </x:c>
      <x:c r="G105" s="30" t="n">
        <x:v>3</x:v>
      </x:c>
      <x:c r="H105" s="15" t="str">
        <x:v>龟岛旅行木作坊</x:v>
      </x:c>
      <x:c r="I105" s="15" t="str">
        <x:v>翻转木盒可变成四杯小酒架，龟壳状木片只是造型不使用真龟甲</x:v>
      </x:c>
      <x:c r="J105" s="15" t="str">
        <x:v>托尔图加专属贸易品牌；适用于收藏、礼品、宴会订单与海员礼赠。</x:v>
      </x:c>
      <x:c r="K105" s="15" t="str">
        <x:v>港口发展度达到D3（≥450点）时，投资项目「龟岛旅行木作坊」自动完工；不要求武装度。</x:v>
      </x:c>
    </x:row>
    <x:row r="106" ht="42" customHeight="1">
      <x:c r="A106" s="13" t="str">
        <x:v>P101</x:v>
      </x:c>
      <x:c r="B106" s="13" t="str">
        <x:v>韦拉克鲁斯</x:v>
      </x:c>
      <x:c r="C106" s="13" t="str">
        <x:v>SP101</x:v>
      </x:c>
      <x:c r="D106" s="13" t="str">
        <x:v>胭红太阳染绢盒</x:v>
      </x:c>
      <x:c r="E106" s="13" t="str">
        <x:v>染料</x:v>
      </x:c>
      <x:c r="F106" s="27" t="n">
        <x:v>1520</x:v>
      </x:c>
      <x:c r="G106" s="27" t="n">
        <x:v>4</x:v>
      </x:c>
      <x:c r="H106" s="13" t="str">
        <x:v>太阳虫红分级工坊</x:v>
      </x:c>
      <x:c r="I106" s="13" t="str">
        <x:v>高纯虫红与配色样绢一同出售，盒面以原创日轮和浪纹区分批次</x:v>
      </x:c>
      <x:c r="J106" s="13" t="str">
        <x:v>韦拉克鲁斯专属贸易品牌；适用于染织工坊、画室、宫廷订单与海员礼赠。</x:v>
      </x:c>
      <x:c r="K106" s="13" t="str">
        <x:v>港口发展度达到D4（≥700点）时，投资项目「太阳虫红分级工坊」自动完工；不要求武装度。</x:v>
      </x:c>
    </x:row>
    <x:row r="107" ht="42" customHeight="1">
      <x:c r="A107" s="15" t="str">
        <x:v>P102</x:v>
      </x:c>
      <x:c r="B107" s="15" t="str">
        <x:v>新奥尔良</x:v>
      </x:c>
      <x:c r="C107" s="15" t="str">
        <x:v>SP102</x:v>
      </x:c>
      <x:c r="D107" s="15" t="str">
        <x:v>三角洲沼银皮具箱</x:v>
      </x:c>
      <x:c r="E107" s="15" t="str">
        <x:v>工业品</x:v>
      </x:c>
      <x:c r="F107" s="30" t="n">
        <x:v>720</x:v>
      </x:c>
      <x:c r="G107" s="30" t="n">
        <x:v>3</x:v>
      </x:c>
      <x:c r="H107" s="15" t="str">
        <x:v>三角洲旅行皮具坊</x:v>
      </x:c>
      <x:c r="I107" s="15" t="str">
        <x:v>灰褐防潮皮具配银色扣件，箱底抬脚参考沼地高脚屋结构</x:v>
      </x:c>
      <x:c r="J107" s="15" t="str">
        <x:v>新奥尔良专属贸易品牌；适用于船厂、工具工坊、工坊建设订单与海员礼赠。</x:v>
      </x:c>
      <x:c r="K107" s="15" t="str">
        <x:v>港口发展度达到D3（≥450点）时，投资项目「三角洲旅行皮具坊」自动完工；不要求武装度。</x:v>
      </x:c>
    </x:row>
    <x:row r="108" ht="42" customHeight="1">
      <x:c r="A108" s="13" t="str">
        <x:v>P103</x:v>
      </x:c>
      <x:c r="B108" s="13" t="str">
        <x:v>查尔斯顿</x:v>
      </x:c>
      <x:c r="C108" s="13" t="str">
        <x:v>SP103</x:v>
      </x:c>
      <x:c r="D108" s="13" t="str">
        <x:v>潮田雾蓝靛布</x:v>
      </x:c>
      <x:c r="E108" s="13" t="str">
        <x:v>织物</x:v>
      </x:c>
      <x:c r="F108" s="27" t="n">
        <x:v>690</x:v>
      </x:c>
      <x:c r="G108" s="27" t="n">
        <x:v>3</x:v>
      </x:c>
      <x:c r="H108" s="13" t="str">
        <x:v>潮田靛染总坊</x:v>
      </x:c>
      <x:c r="I108" s="13" t="str">
        <x:v>由浅到深渐染的宽幅棉布，呈现潮田从晨雾到夜色的层次</x:v>
      </x:c>
      <x:c r="J108" s="13" t="str">
        <x:v>查尔斯顿专属贸易品牌；适用于奢华衣料、礼品、收藏订单与海员礼赠。</x:v>
      </x:c>
      <x:c r="K108" s="13" t="str">
        <x:v>港口发展度达到D3（≥450点）时，投资项目「潮田靛染总坊」自动完工；不要求武装度。</x:v>
      </x:c>
    </x:row>
    <x:row r="109" ht="42" customHeight="1">
      <x:c r="A109" s="15" t="str">
        <x:v>P104</x:v>
      </x:c>
      <x:c r="B109" s="15" t="str">
        <x:v>波士顿</x:v>
      </x:c>
      <x:c r="C109" s="15" t="str">
        <x:v>SP104</x:v>
      </x:c>
      <x:c r="D109" s="15" t="str">
        <x:v>波士顿星港铜版图</x:v>
      </x:c>
      <x:c r="E109" s="15" t="str">
        <x:v>奢侈品</x:v>
      </x:c>
      <x:c r="F109" s="30" t="n">
        <x:v>970</x:v>
      </x:c>
      <x:c r="G109" s="30" t="n">
        <x:v>4</x:v>
      </x:c>
      <x:c r="H109" s="15" t="str">
        <x:v>星港铜版印刷坊</x:v>
      </x:c>
      <x:c r="I109" s="15" t="str">
        <x:v>原创世界航图以铜版细线绘制，图边刻上虚构航海社的研究笔记</x:v>
      </x:c>
      <x:c r="J109" s="15" t="str">
        <x:v>波士顿专属贸易品牌；适用于宫廷、收藏、礼品订单与海员礼赠。</x:v>
      </x:c>
      <x:c r="K109" s="15" t="str">
        <x:v>港口发展度达到D4（≥700点）时，投资项目「星港铜版印刷坊」自动完工；不要求武装度。</x:v>
      </x:c>
    </x:row>
    <x:row r="110" ht="42" customHeight="1">
      <x:c r="A110" s="13" t="str">
        <x:v>P105</x:v>
      </x:c>
      <x:c r="B110" s="13" t="str">
        <x:v>卡塔赫纳</x:v>
      </x:c>
      <x:c r="C110" s="13" t="str">
        <x:v>SP105</x:v>
      </x:c>
      <x:c r="D110" s="13" t="str">
        <x:v>海堡翡翠潮簪</x:v>
      </x:c>
      <x:c r="E110" s="13" t="str">
        <x:v>奢侈品</x:v>
      </x:c>
      <x:c r="F110" s="27" t="n">
        <x:v>1750</x:v>
      </x:c>
      <x:c r="G110" s="27" t="n">
        <x:v>4</x:v>
      </x:c>
      <x:c r="H110" s="13" t="str">
        <x:v>海堡宝石金工作坊</x:v>
      </x:c>
      <x:c r="I110" s="13" t="str">
        <x:v>原石切成不规则水滴，以细金托连为一枝海潮形发簪</x:v>
      </x:c>
      <x:c r="J110" s="13" t="str">
        <x:v>卡塔赫纳专属贸易品牌；适用于宫廷、收藏、礼品订单与海员礼赠。</x:v>
      </x:c>
      <x:c r="K110" s="13" t="str">
        <x:v>港口发展度达到D4（≥700点）时，投资项目「海堡宝石金工作坊」自动完工；不要求武装度。</x:v>
      </x:c>
    </x:row>
    <x:row r="111" ht="42" customHeight="1">
      <x:c r="A111" s="15" t="str">
        <x:v>P106</x:v>
      </x:c>
      <x:c r="B111" s="15" t="str">
        <x:v>贝伦</x:v>
      </x:c>
      <x:c r="C111" s="15" t="str">
        <x:v>SP106</x:v>
      </x:c>
      <x:c r="D111" s="15" t="str">
        <x:v>雨林青翼羽绢</x:v>
      </x:c>
      <x:c r="E111" s="15" t="str">
        <x:v>工艺品</x:v>
      </x:c>
      <x:c r="F111" s="30" t="n">
        <x:v>820</x:v>
      </x:c>
      <x:c r="G111" s="30" t="n">
        <x:v>3</x:v>
      </x:c>
      <x:c r="H111" s="15" t="str">
        <x:v>青翼羽饰合作坊</x:v>
      </x:c>
      <x:c r="I111" s="15" t="str">
        <x:v>以新制羽片装饰和轻布形成可折扇面，图样为原创非宗教器物复制</x:v>
      </x:c>
      <x:c r="J111" s="15" t="str">
        <x:v>贝伦专属贸易品牌；适用于收藏、礼品、宴会订单与海员礼赠。</x:v>
      </x:c>
      <x:c r="K111" s="15" t="str">
        <x:v>港口发展度达到D3（≥450点）时，投资项目「青翼羽饰合作坊」自动完工；不要求武装度。</x:v>
      </x:c>
    </x:row>
    <x:row r="112" ht="42" customHeight="1">
      <x:c r="A112" s="13" t="str">
        <x:v>P107</x:v>
      </x:c>
      <x:c r="B112" s="13" t="str">
        <x:v>萨尔瓦多</x:v>
      </x:c>
      <x:c r="C112" s="13" t="str">
        <x:v>SP107</x:v>
      </x:c>
      <x:c r="D112" s="13" t="str">
        <x:v>诸圣湾红木乐匣</x:v>
      </x:c>
      <x:c r="E112" s="13" t="str">
        <x:v>工艺品</x:v>
      </x:c>
      <x:c r="F112" s="27" t="n">
        <x:v>1240</x:v>
      </x:c>
      <x:c r="G112" s="27" t="n">
        <x:v>4</x:v>
      </x:c>
      <x:c r="H112" s="13" t="str">
        <x:v>红木乐匣工坊</x:v>
      </x:c>
      <x:c r="I112" s="13" t="str">
        <x:v>深红木匣打开可显出简洁机械拨片乐器，旋律与形制原创</x:v>
      </x:c>
      <x:c r="J112" s="13" t="str">
        <x:v>萨尔瓦多专属贸易品牌；适用于收藏、礼品、宴会订单与海员礼赠。</x:v>
      </x:c>
      <x:c r="K112" s="13" t="str">
        <x:v>港口发展度达到D4（≥700点）时，投资项目「红木乐匣工坊」自动完工；不要求武装度。</x:v>
      </x:c>
    </x:row>
    <x:row r="113" ht="42" customHeight="1">
      <x:c r="A113" s="15" t="str">
        <x:v>P108</x:v>
      </x:c>
      <x:c r="B113" s="15" t="str">
        <x:v>里约热内卢</x:v>
      </x:c>
      <x:c r="C113" s="15" t="str">
        <x:v>SP108</x:v>
      </x:c>
      <x:c r="D113" s="15" t="str">
        <x:v>瓜纳巴拉金羽胸针</x:v>
      </x:c>
      <x:c r="E113" s="15" t="str">
        <x:v>奢侈品</x:v>
      </x:c>
      <x:c r="F113" s="30" t="n">
        <x:v>1680</x:v>
      </x:c>
      <x:c r="G113" s="30" t="n">
        <x:v>4</x:v>
      </x:c>
      <x:c r="H113" s="15" t="str">
        <x:v>金羽珠宝工坊</x:v>
      </x:c>
      <x:c r="I113" s="15" t="str">
        <x:v>细金线像海湾山峰般起伏，接一枚青色石坠形成抽象飞羽</x:v>
      </x:c>
      <x:c r="J113" s="15" t="str">
        <x:v>里约热内卢专属贸易品牌；适用于宫廷、收藏、礼品订单与海员礼赠。</x:v>
      </x:c>
      <x:c r="K113" s="15" t="str">
        <x:v>港口发展度达到D4（≥700点）时，投资项目「金羽珠宝工坊」自动完工；不要求武装度。</x:v>
      </x:c>
    </x:row>
    <x:row r="114" ht="42" customHeight="1">
      <x:c r="A114" s="13" t="str">
        <x:v>P109</x:v>
      </x:c>
      <x:c r="B114" s="13" t="str">
        <x:v>布宜诺斯艾利斯</x:v>
      </x:c>
      <x:c r="C114" s="13" t="str">
        <x:v>SP109</x:v>
      </x:c>
      <x:c r="D114" s="13" t="str">
        <x:v>草原银扣长靴</x:v>
      </x:c>
      <x:c r="E114" s="13" t="str">
        <x:v>工艺品</x:v>
      </x:c>
      <x:c r="F114" s="27" t="n">
        <x:v>780</x:v>
      </x:c>
      <x:c r="G114" s="27" t="n">
        <x:v>3</x:v>
      </x:c>
      <x:c r="H114" s="13" t="str">
        <x:v>草原骑航皮具坊</x:v>
      </x:c>
      <x:c r="I114" s="13" t="str">
        <x:v>长靴以柔皮和银色侧扣组合，绣线画出南方风场的原创曲纹</x:v>
      </x:c>
      <x:c r="J114" s="13" t="str">
        <x:v>布宜诺斯艾利斯专属贸易品牌；适用于收藏、礼品、宴会订单与海员礼赠。</x:v>
      </x:c>
      <x:c r="K114" s="13" t="str">
        <x:v>港口发展度达到D3（≥450点）时，投资项目「草原骑航皮具坊」自动完工；不要求武装度。</x:v>
      </x:c>
    </x:row>
    <x:row r="115" ht="42" customHeight="1">
      <x:c r="A115" s="15" t="str">
        <x:v>P110</x:v>
      </x:c>
      <x:c r="B115" s="15" t="str">
        <x:v>蒙得维的亚</x:v>
      </x:c>
      <x:c r="C115" s="15" t="str">
        <x:v>SP110</x:v>
      </x:c>
      <x:c r="D115" s="15" t="str">
        <x:v>南十字烘香马黛</x:v>
      </x:c>
      <x:c r="E115" s="15" t="str">
        <x:v>嗜好品</x:v>
      </x:c>
      <x:c r="F115" s="30" t="n">
        <x:v>490</x:v>
      </x:c>
      <x:c r="G115" s="30" t="n">
        <x:v>3</x:v>
      </x:c>
      <x:c r="H115" s="15" t="str">
        <x:v>南十字烘香茶坊</x:v>
      </x:c>
      <x:c r="I115" s="15" t="str">
        <x:v>分火候烘香的马黛叶配木制量勺，袋口缝出原创星座符号</x:v>
      </x:c>
      <x:c r="J115" s="15" t="str">
        <x:v>蒙得维的亚专属贸易品牌；适用于城市消费、礼品、酒馆订单与海员礼赠。</x:v>
      </x:c>
      <x:c r="K115" s="15" t="str">
        <x:v>港口发展度达到D3（≥450点）时，投资项目「南十字烘香茶坊」自动完工；不要求武装度。</x:v>
      </x:c>
    </x:row>
    <x:row r="116" ht="42" customHeight="1">
      <x:c r="A116" s="13" t="str">
        <x:v>P111</x:v>
      </x:c>
      <x:c r="B116" s="13" t="str">
        <x:v>瓦尔帕莱索</x:v>
      </x:c>
      <x:c r="C116" s="13" t="str">
        <x:v>SP111</x:v>
      </x:c>
      <x:c r="D116" s="13" t="str">
        <x:v>安第斯风弦铜铃</x:v>
      </x:c>
      <x:c r="E116" s="13" t="str">
        <x:v>工艺品</x:v>
      </x:c>
      <x:c r="F116" s="27" t="n">
        <x:v>750</x:v>
      </x:c>
      <x:c r="G116" s="27" t="n">
        <x:v>3</x:v>
      </x:c>
      <x:c r="H116" s="13" t="str">
        <x:v>风弦铜作坊</x:v>
      </x:c>
      <x:c r="I116" s="13" t="str">
        <x:v>薄铜片装成折叠风铃，铃面以海岸山脊纹表现干燥长风</x:v>
      </x:c>
      <x:c r="J116" s="13" t="str">
        <x:v>瓦尔帕莱索专属贸易品牌；适用于收藏、礼品、宴会订单与海员礼赠。</x:v>
      </x:c>
      <x:c r="K116" s="13" t="str">
        <x:v>港口发展度达到D3（≥450点）时，投资项目「风弦铜作坊」自动完工；不要求武装度。</x:v>
      </x:c>
    </x:row>
    <x:row r="117" ht="42" customHeight="1">
      <x:c r="A117" s="15" t="str">
        <x:v>P112</x:v>
      </x:c>
      <x:c r="B117" s="15" t="str">
        <x:v>卡亚俄</x:v>
      </x:c>
      <x:c r="C117" s="15" t="str">
        <x:v>SP112</x:v>
      </x:c>
      <x:c r="D117" s="15" t="str">
        <x:v>银山潮纹茶盏</x:v>
      </x:c>
      <x:c r="E117" s="15" t="str">
        <x:v>工艺品</x:v>
      </x:c>
      <x:c r="F117" s="30" t="n">
        <x:v>1450</x:v>
      </x:c>
      <x:c r="G117" s="30" t="n">
        <x:v>4</x:v>
      </x:c>
      <x:c r="H117" s="15" t="str">
        <x:v>银山锤纹工坊</x:v>
      </x:c>
      <x:c r="I117" s="15" t="str">
        <x:v>薄银盏内刻山脊，外壁锤出浪纹，安第斯银业与跨太平洋饮茶灵感在本作汇合</x:v>
      </x:c>
      <x:c r="J117" s="15" t="str">
        <x:v>卡亚俄专属贸易品牌；适用于收藏、礼品、宴会订单与海员礼赠。</x:v>
      </x:c>
      <x:c r="K117" s="15" t="str">
        <x:v>港口发展度达到D4（≥700点）时，投资项目「银山锤纹工坊」自动完工；不要求武装度。</x:v>
      </x:c>
    </x:row>
    <x:row r="118" ht="42" customHeight="1">
      <x:c r="A118" s="13" t="str">
        <x:v>P113</x:v>
      </x:c>
      <x:c r="B118" s="13" t="str">
        <x:v>帝力</x:v>
      </x:c>
      <x:c r="C118" s="13" t="str">
        <x:v>SP113</x:v>
      </x:c>
      <x:c r="D118" s="13" t="str">
        <x:v>帝汶暮金檀香绳</x:v>
      </x:c>
      <x:c r="E118" s="13" t="str">
        <x:v>香料</x:v>
      </x:c>
      <x:c r="F118" s="27" t="n">
        <x:v>860</x:v>
      </x:c>
      <x:c r="G118" s="27" t="n">
        <x:v>4</x:v>
      </x:c>
      <x:c r="H118" s="13" t="str">
        <x:v>暮金香绳工坊</x:v>
      </x:c>
      <x:c r="I118" s="13" t="str">
        <x:v>细削檀香木与树纤维编成香绳，编结与品牌为本作原创</x:v>
      </x:c>
      <x:c r="J118" s="13" t="str">
        <x:v>帝力专属贸易品牌；适用于香料工坊、宫廷、礼品订单与海员礼赠。</x:v>
      </x:c>
      <x:c r="K118" s="13" t="str">
        <x:v>港口发展度达到D4（≥700点）时，投资项目「暮金香绳工坊」自动完工；不要求武装度。</x:v>
      </x:c>
    </x:row>
    <x:row r="119" ht="42" customHeight="1">
      <x:c r="A119" s="15" t="str">
        <x:v>P114</x:v>
      </x:c>
      <x:c r="B119" s="15" t="str">
        <x:v>古邦</x:v>
      </x:c>
      <x:c r="C119" s="15" t="str">
        <x:v>SP114</x:v>
      </x:c>
      <x:c r="D119" s="15" t="str">
        <x:v>古邦海阶伊卡特布</x:v>
      </x:c>
      <x:c r="E119" s="15" t="str">
        <x:v>织物</x:v>
      </x:c>
      <x:c r="F119" s="30" t="n">
        <x:v>710</x:v>
      </x:c>
      <x:c r="G119" s="30" t="n">
        <x:v>3</x:v>
      </x:c>
      <x:c r="H119" s="15" t="str">
        <x:v>海阶扎经织坊</x:v>
      </x:c>
      <x:c r="I119" s="15" t="str">
        <x:v>经线扎染形成层层白褐海阶纹，交织出轻微羽化的图案边缘</x:v>
      </x:c>
      <x:c r="J119" s="15" t="str">
        <x:v>古邦专属贸易品牌；适用于奢华衣料、礼品、收藏订单与海员礼赠。</x:v>
      </x:c>
      <x:c r="K119" s="15" t="str">
        <x:v>港口发展度达到D3（≥450点）时，投资项目「海阶扎经织坊」自动完工；不要求武装度。</x:v>
      </x:c>
    </x:row>
    <x:row r="120" ht="42" customHeight="1">
      <x:c r="A120" s="13" t="str">
        <x:v>P115</x:v>
      </x:c>
      <x:c r="B120" s="13" t="str">
        <x:v>杰克逊湾</x:v>
      </x:c>
      <x:c r="C120" s="13" t="str">
        <x:v>SP115</x:v>
      </x:c>
      <x:c r="D120" s="13" t="str">
        <x:v>桉影赤金树脂漆</x:v>
      </x:c>
      <x:c r="E120" s="13" t="str">
        <x:v>工业品</x:v>
      </x:c>
      <x:c r="F120" s="27" t="n">
        <x:v>610</x:v>
      </x:c>
      <x:c r="G120" s="27" t="n">
        <x:v>3</x:v>
      </x:c>
      <x:c r="H120" s="13" t="str">
        <x:v>桉影合匠漆坊</x:v>
      </x:c>
      <x:c r="I120" s="13" t="str">
        <x:v>将本地树脂色感与来访工坊的制漆技术结合，配方及贸易规模为架空设定</x:v>
      </x:c>
      <x:c r="J120" s="13" t="str">
        <x:v>杰克逊湾专属贸易品牌；适用于船厂、工具工坊、工坊建设订单与海员礼赠。</x:v>
      </x:c>
      <x:c r="K120" s="13" t="str">
        <x:v>港口发展度达到D3（≥450点）时，投资项目「桉影合匠漆坊」自动完工；不要求武装度。</x:v>
      </x:c>
    </x:row>
    <x:row r="121" ht="42" customHeight="1">
      <x:c r="A121" s="15" t="str">
        <x:v>P116</x:v>
      </x:c>
      <x:c r="B121" s="15" t="str">
        <x:v>怀特马塔湾</x:v>
      </x:c>
      <x:c r="C121" s="15" t="str">
        <x:v>SP116</x:v>
      </x:c>
      <x:c r="D121" s="15" t="str">
        <x:v>双湾青石浪坠</x:v>
      </x:c>
      <x:c r="E121" s="15" t="str">
        <x:v>宝石</x:v>
      </x:c>
      <x:c r="F121" s="30" t="n">
        <x:v>1180</x:v>
      </x:c>
      <x:c r="G121" s="30" t="n">
        <x:v>4</x:v>
      </x:c>
      <x:c r="H121" s="15" t="str">
        <x:v>双湾新作玉石工坊</x:v>
      </x:c>
      <x:c r="I121" s="15" t="str">
        <x:v>经岛内交换取得青石，由新制工坊雕成原创抽象浪形；不作为传统圣物原件出售</x:v>
      </x:c>
      <x:c r="J121" s="15" t="str">
        <x:v>怀特马塔湾专属贸易品牌；适用于珠宝工坊、宫廷、收藏订单与海员礼赠。</x:v>
      </x:c>
      <x:c r="K121" s="15" t="str">
        <x:v>港口发展度达到D4（≥700点）时，投资项目「双湾新作玉石工坊」自动完工；不要求武装度。</x:v>
      </x:c>
    </x:row>
    <x:row r="122" ht="42" customHeight="1">
      <x:c r="A122" s="13" t="str">
        <x:v>P117</x:v>
      </x:c>
      <x:c r="B122" s="13" t="str">
        <x:v>马塔瓦伊湾</x:v>
      </x:c>
      <x:c r="C122" s="13" t="str">
        <x:v>SP117</x:v>
      </x:c>
      <x:c r="D122" s="13" t="str">
        <x:v>白浪晨星树皮绢</x:v>
      </x:c>
      <x:c r="E122" s="13" t="str">
        <x:v>织物</x:v>
      </x:c>
      <x:c r="F122" s="27" t="n">
        <x:v>960</x:v>
      </x:c>
      <x:c r="G122" s="27" t="n">
        <x:v>3</x:v>
      </x:c>
      <x:c r="H122" s="13" t="str">
        <x:v>晨星树皮布工坊</x:v>
      </x:c>
      <x:c r="I122" s="13" t="str">
        <x:v>以树皮布工艺为基础，原创白浪、星点与宽留白构成一整张海上夜空</x:v>
      </x:c>
      <x:c r="J122" s="13" t="str">
        <x:v>马塔瓦伊湾专属贸易品牌；适用于奢华衣料、礼品、收藏订单与海员礼赠。</x:v>
      </x:c>
      <x:c r="K122" s="13" t="str">
        <x:v>港口发展度达到D3（≥450点）时，投资项目「晨星树皮布工坊」自动完工；不要求武装度。</x:v>
      </x:c>
    </x:row>
    <x:row r="123" ht="42" customHeight="1">
      <x:c r="A123" s="15" t="str">
        <x:v>P118</x:v>
      </x:c>
      <x:c r="B123" s="15" t="str">
        <x:v>科乌港</x:v>
      </x:c>
      <x:c r="C123" s="15" t="str">
        <x:v>SP118</x:v>
      </x:c>
      <x:c r="D123" s="15" t="str">
        <x:v>金羽航星肩饰</x:v>
      </x:c>
      <x:c r="E123" s="15" t="str">
        <x:v>工艺品</x:v>
      </x:c>
      <x:c r="F123" s="30" t="n">
        <x:v>1370</x:v>
      </x:c>
      <x:c r="G123" s="30" t="n">
        <x:v>4</x:v>
      </x:c>
      <x:c r="H123" s="15" t="str">
        <x:v>金羽新作工艺棚</x:v>
      </x:c>
      <x:c r="I123" s="15" t="str">
        <x:v>原创肩饰以轻羽片、树皮布和细绳组成展开海鸟的形态</x:v>
      </x:c>
      <x:c r="J123" s="15" t="str">
        <x:v>科乌港专属贸易品牌；适用于收藏、礼品、宴会订单与海员礼赠。</x:v>
      </x:c>
      <x:c r="K123" s="15" t="str">
        <x:v>港口发展度达到D4（≥700点）时，投资项目「金羽新作工艺棚」自动完工；不要求武装度。</x:v>
      </x:c>
    </x:row>
    <x:row r="124" ht="42" customHeight="1">
      <x:c r="A124" s="13" t="str">
        <x:v>P119</x:v>
      </x:c>
      <x:c r="B124" s="13" t="str">
        <x:v>哈加特纳</x:v>
      </x:c>
      <x:c r="C124" s="13" t="str">
        <x:v>SP119</x:v>
      </x:c>
      <x:c r="D124" s="13" t="str">
        <x:v>飞帆月贝耳坠</x:v>
      </x:c>
      <x:c r="E124" s="13" t="str">
        <x:v>工艺品</x:v>
      </x:c>
      <x:c r="F124" s="27" t="n">
        <x:v>790</x:v>
      </x:c>
      <x:c r="G124" s="27" t="n">
        <x:v>3</x:v>
      </x:c>
      <x:c r="H124" s="13" t="str">
        <x:v>飞帆月贝工坊</x:v>
      </x:c>
      <x:c r="I124" s="13" t="str">
        <x:v>两片半透明贝片配成不对称帆形，绳结颜色区分原创工坊系列</x:v>
      </x:c>
      <x:c r="J124" s="13" t="str">
        <x:v>哈加特纳专属贸易品牌；适用于收藏、礼品、宴会订单与海员礼赠。</x:v>
      </x:c>
      <x:c r="K124" s="13" t="str">
        <x:v>港口发展度达到D3（≥450点）时，投资项目「飞帆月贝工坊」自动完工；不要求武装度。</x:v>
      </x:c>
    </x:row>
    <x:row r="125" ht="42" customHeight="1">
      <x:c r="A125" s="16" t="str">
        <x:v>P120</x:v>
      </x:c>
      <x:c r="B125" s="16" t="str">
        <x:v>汉加罗阿</x:v>
      </x:c>
      <x:c r="C125" s="16" t="str">
        <x:v>SP120</x:v>
      </x:c>
      <x:c r="D125" s="16" t="str">
        <x:v>黑海鸟纹石印</x:v>
      </x:c>
      <x:c r="E125" s="16" t="str">
        <x:v>工艺品</x:v>
      </x:c>
      <x:c r="F125" s="32" t="n">
        <x:v>940</x:v>
      </x:c>
      <x:c r="G125" s="32" t="n">
        <x:v>3</x:v>
      </x:c>
      <x:c r="H125" s="16" t="str">
        <x:v>黑海石印工坊</x:v>
      </x:c>
      <x:c r="I125" s="16" t="str">
        <x:v>新制小石印雕原创海鸟与浪线，作为当代港内匠人的作品而非搬走遗迹</x:v>
      </x:c>
      <x:c r="J125" s="16" t="str">
        <x:v>汉加罗阿专属贸易品牌；适用于收藏、礼品、宴会订单与海员礼赠。</x:v>
      </x:c>
      <x:c r="K125" s="16" t="str">
        <x:v>港口发展度达到D3（≥450点）时，投资项目「黑海石印工坊」自动完工；不要求武装度。</x:v>
      </x:c>
    </x:row>
    <x:row r="126">
      <x:c r="A126" s="2"/>
      <x:c r="B126" s="2"/>
      <x:c r="C126" s="2"/>
      <x:c r="D126" s="2"/>
      <x:c r="E126" s="2"/>
      <x:c r="F126" s="2"/>
      <x:c r="G126" s="2"/>
      <x:c r="H126" s="2"/>
      <x:c r="I126" s="2"/>
      <x:c r="J126" s="2"/>
      <x:c r="K126" s="2"/>
    </x:row>
  </x:sheetData>
  <x:pageMargins left="0.7" right="0.7" top="0.75" bottom="0.75" header="0.3" footer="0.3"/>
  <x:tableParts count="1">
    <x:tablePart xmlns:r="http://schemas.openxmlformats.org/officeDocument/2006/relationships" r:id="Rf9fe84271eee4f5a"/>
  </x:tableParts>
</x:worksheet>
</file>

<file path=xl/worksheets/sheet7.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18" hidden="0" customWidth="1"/>
    <x:col min="3" max="3" width="11" hidden="0" customWidth="1"/>
    <x:col min="4" max="4" width="16" hidden="0" customWidth="1"/>
    <x:col min="5" max="5" width="24" hidden="0" customWidth="1"/>
    <x:col min="6" max="6" width="24" hidden="0" customWidth="1"/>
    <x:col min="7" max="7" width="18" hidden="0" customWidth="1"/>
    <x:col min="8" max="8" width="43" hidden="0" customWidth="1"/>
    <x:col min="9" max="9" width="46" hidden="0" customWidth="1"/>
    <x:col min="10" max="10" width="52" hidden="0" customWidth="1"/>
    <x:col min="11" max="11" width="76" hidden="0" customWidth="1"/>
  </x:cols>
  <x:sheetData>
    <x:row r="1">
      <x:c r="A1" s="2"/>
      <x:c r="B1" s="2"/>
      <x:c r="C1" s="2"/>
      <x:c r="D1" s="2"/>
      <x:c r="E1" s="2"/>
      <x:c r="F1" s="2"/>
      <x:c r="G1" s="2"/>
      <x:c r="H1" s="2"/>
      <x:c r="I1" s="2"/>
      <x:c r="J1" s="2"/>
      <x:c r="K1" s="2"/>
    </x:row>
    <x:row r="2" ht="28" customHeight="1">
      <x:c r="A2" s="3" t="str">
        <x:v>发展度与武装度的两条解锁线</x:v>
      </x:c>
      <x:c r="B2" s="2"/>
      <x:c r="C2" s="2"/>
      <x:c r="D2" s="2"/>
      <x:c r="E2" s="2"/>
      <x:c r="F2" s="2"/>
      <x:c r="G2" s="2"/>
      <x:c r="H2" s="2"/>
      <x:c r="I2" s="2"/>
      <x:c r="J2" s="2"/>
      <x:c r="K2" s="2"/>
    </x:row>
    <x:row r="3">
      <x:c r="A3" s="2"/>
      <x:c r="B3" s="2"/>
      <x:c r="C3" s="2"/>
      <x:c r="D3" s="2"/>
      <x:c r="E3" s="2"/>
      <x:c r="F3" s="2"/>
      <x:c r="G3" s="2"/>
      <x:c r="H3" s="2"/>
      <x:c r="I3" s="2"/>
      <x:c r="J3" s="2"/>
      <x:c r="K3" s="2"/>
    </x:row>
    <x:row r="4">
      <x:c r="A4" s="2"/>
      <x:c r="B4" s="2"/>
      <x:c r="C4" s="2"/>
      <x:c r="D4" s="2"/>
      <x:c r="E4" s="2"/>
      <x:c r="F4" s="2"/>
      <x:c r="G4" s="2"/>
      <x:c r="H4" s="2"/>
      <x:c r="I4" s="2"/>
      <x:c r="J4" s="2"/>
      <x:c r="K4" s="2"/>
    </x:row>
    <x:row r="5" ht="34" customHeight="1">
      <x:c r="A5" s="10" t="str">
        <x:v>编号</x:v>
      </x:c>
      <x:c r="B5" s="10" t="str">
        <x:v>轴线</x:v>
      </x:c>
      <x:c r="C5" s="10" t="str">
        <x:v>等级</x:v>
      </x:c>
      <x:c r="D5" s="10" t="str">
        <x:v>所需点数</x:v>
      </x:c>
      <x:c r="E5" s="10" t="str">
        <x:v>从零累计投资银币</x:v>
      </x:c>
      <x:c r="F5" s="10" t="str">
        <x:v>本阶新增投资银币</x:v>
      </x:c>
      <x:c r="G5" s="10" t="str">
        <x:v>建设游戏日</x:v>
      </x:c>
      <x:c r="H5" s="10" t="str">
        <x:v>核心解锁</x:v>
      </x:c>
      <x:c r="I5" s="10" t="str">
        <x:v>具体商品或船型</x:v>
      </x:c>
      <x:c r="J5" s="10" t="str">
        <x:v>世界变化</x:v>
      </x:c>
      <x:c r="K5" s="10" t="str">
        <x:v>投资规则</x:v>
      </x:c>
    </x:row>
    <x:row r="6" ht="31" customHeight="1">
      <x:c r="A6" s="12" t="str">
        <x:v>D0</x:v>
      </x:c>
      <x:c r="B6" s="12" t="str">
        <x:v>发展度</x:v>
      </x:c>
      <x:c r="C6" s="26" t="n">
        <x:v>0</x:v>
      </x:c>
      <x:c r="D6" s="26" t="n">
        <x:v>0</x:v>
      </x:c>
      <x:c r="E6" s="26" t="n">
        <x:v>0</x:v>
      </x:c>
      <x:c r="F6" s="26" t="n">
        <x:v>0</x:v>
      </x:c>
      <x:c r="G6" s="26" t="n">
        <x:v>0</x:v>
      </x:c>
      <x:c r="H6" s="12" t="str">
        <x:v>自由摊市与补给</x:v>
      </x:c>
      <x:c r="I6" s="12" t="str">
        <x:v>查港口商品表dev_level</x:v>
      </x:c>
      <x:c r="J6" s="12" t="str">
        <x:v>市场、道路、仓库、工坊扩建</x:v>
      </x:c>
      <x:c r="K6" s="12" t="str">
        <x:v>在港口当前点数处线性插值计算剩余成本；世界已有发展不重复付钱；建设完工立即应用解锁。</x:v>
      </x:c>
    </x:row>
    <x:row r="7" ht="31" customHeight="1">
      <x:c r="A7" s="15" t="str">
        <x:v>D1</x:v>
      </x:c>
      <x:c r="B7" s="15" t="str">
        <x:v>发展度</x:v>
      </x:c>
      <x:c r="C7" s="30" t="n">
        <x:v>1</x:v>
      </x:c>
      <x:c r="D7" s="30" t="n">
        <x:v>100</x:v>
      </x:c>
      <x:c r="E7" s="30" t="n">
        <x:v>6000</x:v>
      </x:c>
      <x:c r="F7" s="30" t="n">
        <x:v>6000</x:v>
      </x:c>
      <x:c r="G7" s="30" t="n">
        <x:v>2</x:v>
      </x:c>
      <x:c r="H7" s="15" t="str">
        <x:v>稳定粮仓与区域原料</x:v>
      </x:c>
      <x:c r="I7" s="15" t="str">
        <x:v>查港口商品表dev_level</x:v>
      </x:c>
      <x:c r="J7" s="15" t="str">
        <x:v>市场、道路、仓库、工坊扩建</x:v>
      </x:c>
      <x:c r="K7" s="15" t="str">
        <x:v>在港口当前点数处线性插值计算剩余成本；世界已有发展不重复付钱；建设完工立即应用解锁。</x:v>
      </x:c>
    </x:row>
    <x:row r="8" ht="31" customHeight="1">
      <x:c r="A8" s="13" t="str">
        <x:v>D2</x:v>
      </x:c>
      <x:c r="B8" s="13" t="str">
        <x:v>发展度</x:v>
      </x:c>
      <x:c r="C8" s="27" t="n">
        <x:v>2</x:v>
      </x:c>
      <x:c r="D8" s="27" t="n">
        <x:v>250</x:v>
      </x:c>
      <x:c r="E8" s="27" t="n">
        <x:v>21000</x:v>
      </x:c>
      <x:c r="F8" s="27" t="n">
        <x:v>15000</x:v>
      </x:c>
      <x:c r="G8" s="27" t="n">
        <x:v>4</x:v>
      </x:c>
      <x:c r="H8" s="13" t="str">
        <x:v>常设工坊与加工品</x:v>
      </x:c>
      <x:c r="I8" s="13" t="str">
        <x:v>查港口商品表dev_level</x:v>
      </x:c>
      <x:c r="J8" s="13" t="str">
        <x:v>市场、道路、仓库、工坊扩建</x:v>
      </x:c>
      <x:c r="K8" s="13" t="str">
        <x:v>在港口当前点数处线性插值计算剩余成本；世界已有发展不重复付钱；建设完工立即应用解锁。</x:v>
      </x:c>
    </x:row>
    <x:row r="9" ht="31" customHeight="1">
      <x:c r="A9" s="15" t="str">
        <x:v>D3</x:v>
      </x:c>
      <x:c r="B9" s="15" t="str">
        <x:v>发展度</x:v>
      </x:c>
      <x:c r="C9" s="30" t="n">
        <x:v>3</x:v>
      </x:c>
      <x:c r="D9" s="30" t="n">
        <x:v>450</x:v>
      </x:c>
      <x:c r="E9" s="30" t="n">
        <x:v>55000</x:v>
      </x:c>
      <x:c r="F9" s="30" t="n">
        <x:v>34000</x:v>
      </x:c>
      <x:c r="G9" s="30" t="n">
        <x:v>6</x:v>
      </x:c>
      <x:c r="H9" s="15" t="str">
        <x:v>地方品牌与签约仓库</x:v>
      </x:c>
      <x:c r="I9" s="15" t="str">
        <x:v>查港口商品表dev_level</x:v>
      </x:c>
      <x:c r="J9" s="15" t="str">
        <x:v>市场、道路、仓库、工坊扩建</x:v>
      </x:c>
      <x:c r="K9" s="15" t="str">
        <x:v>在港口当前点数处线性插值计算剩余成本；世界已有发展不重复付钱；建设完工立即应用解锁。</x:v>
      </x:c>
    </x:row>
    <x:row r="10" ht="31" customHeight="1">
      <x:c r="A10" s="13" t="str">
        <x:v>D4</x:v>
      </x:c>
      <x:c r="B10" s="13" t="str">
        <x:v>发展度</x:v>
      </x:c>
      <x:c r="C10" s="27" t="n">
        <x:v>4</x:v>
      </x:c>
      <x:c r="D10" s="27" t="n">
        <x:v>700</x:v>
      </x:c>
      <x:c r="E10" s="27" t="n">
        <x:v>125000</x:v>
      </x:c>
      <x:c r="F10" s="27" t="n">
        <x:v>70000</x:v>
      </x:c>
      <x:c r="G10" s="27" t="n">
        <x:v>9</x:v>
      </x:c>
      <x:c r="H10" s="13" t="str">
        <x:v>大师特产与工艺交流</x:v>
      </x:c>
      <x:c r="I10" s="13" t="str">
        <x:v>查港口商品表dev_level</x:v>
      </x:c>
      <x:c r="J10" s="13" t="str">
        <x:v>市场、道路、仓库、工坊扩建</x:v>
      </x:c>
      <x:c r="K10" s="13" t="str">
        <x:v>在港口当前点数处线性插值计算剩余成本；世界已有发展不重复付钱；建设完工立即应用解锁。</x:v>
      </x:c>
    </x:row>
    <x:row r="11" ht="31" customHeight="1">
      <x:c r="A11" s="15" t="str">
        <x:v>D5</x:v>
      </x:c>
      <x:c r="B11" s="15" t="str">
        <x:v>发展度</x:v>
      </x:c>
      <x:c r="C11" s="30" t="n">
        <x:v>5</x:v>
      </x:c>
      <x:c r="D11" s="30" t="n">
        <x:v>1000</x:v>
      </x:c>
      <x:c r="E11" s="30" t="n">
        <x:v>265000</x:v>
      </x:c>
      <x:c r="F11" s="30" t="n">
        <x:v>140000</x:v>
      </x:c>
      <x:c r="G11" s="30" t="n">
        <x:v>12</x:v>
      </x:c>
      <x:c r="H11" s="15" t="str">
        <x:v>全球订单与文化旗舰工坊</x:v>
      </x:c>
      <x:c r="I11" s="15" t="str">
        <x:v>查港口商品表dev_level</x:v>
      </x:c>
      <x:c r="J11" s="15" t="str">
        <x:v>市场、道路、仓库、工坊扩建</x:v>
      </x:c>
      <x:c r="K11" s="15" t="str">
        <x:v>在港口当前点数处线性插值计算剩余成本；世界已有发展不重复付钱；建设完工立即应用解锁。</x:v>
      </x:c>
    </x:row>
    <x:row r="12" ht="31" customHeight="1">
      <x:c r="A12" s="13" t="str">
        <x:v>A0</x:v>
      </x:c>
      <x:c r="B12" s="13" t="str">
        <x:v>武装度</x:v>
      </x:c>
      <x:c r="C12" s="27" t="n">
        <x:v>0</x:v>
      </x:c>
      <x:c r="D12" s="27" t="n">
        <x:v>0</x:v>
      </x:c>
      <x:c r="E12" s="27" t="n">
        <x:v>0</x:v>
      </x:c>
      <x:c r="F12" s="27" t="n">
        <x:v>0</x:v>
      </x:c>
      <x:c r="G12" s="27" t="n">
        <x:v>0</x:v>
      </x:c>
      <x:c r="H12" s="13" t="str">
        <x:v>修船与小艇</x:v>
      </x:c>
      <x:c r="I12" s="13" t="str">
        <x:v>查船型表armament_level</x:v>
      </x:c>
      <x:c r="J12" s="13" t="str">
        <x:v>船坞、炮台、信号塔和训练场扩建</x:v>
      </x:c>
      <x:c r="K12" s="13" t="str">
        <x:v>在港口当前点数处线性插值计算剩余成本；世界已有发展不重复付钱；建设完工立即应用解锁。</x:v>
      </x:c>
    </x:row>
    <x:row r="13" ht="31" customHeight="1">
      <x:c r="A13" s="15" t="str">
        <x:v>A1</x:v>
      </x:c>
      <x:c r="B13" s="15" t="str">
        <x:v>武装度</x:v>
      </x:c>
      <x:c r="C13" s="30" t="n">
        <x:v>1</x:v>
      </x:c>
      <x:c r="D13" s="30" t="n">
        <x:v>100</x:v>
      </x:c>
      <x:c r="E13" s="30" t="n">
        <x:v>8000</x:v>
      </x:c>
      <x:c r="F13" s="30" t="n">
        <x:v>8000</x:v>
      </x:c>
      <x:c r="G13" s="30" t="n">
        <x:v>3</x:v>
      </x:c>
      <x:c r="H13" s="15" t="str">
        <x:v>沿岸护送船</x:v>
      </x:c>
      <x:c r="I13" s="15" t="str">
        <x:v>查船型表armament_level</x:v>
      </x:c>
      <x:c r="J13" s="15" t="str">
        <x:v>船坞、炮台、信号塔和训练场扩建</x:v>
      </x:c>
      <x:c r="K13" s="15" t="str">
        <x:v>在港口当前点数处线性插值计算剩余成本；世界已有发展不重复付钱；建设完工立即应用解锁。</x:v>
      </x:c>
    </x:row>
    <x:row r="14" ht="31" customHeight="1">
      <x:c r="A14" s="13" t="str">
        <x:v>A2</x:v>
      </x:c>
      <x:c r="B14" s="13" t="str">
        <x:v>武装度</x:v>
      </x:c>
      <x:c r="C14" s="27" t="n">
        <x:v>2</x:v>
      </x:c>
      <x:c r="D14" s="27" t="n">
        <x:v>250</x:v>
      </x:c>
      <x:c r="E14" s="27" t="n">
        <x:v>28000</x:v>
      </x:c>
      <x:c r="F14" s="27" t="n">
        <x:v>20000</x:v>
      </x:c>
      <x:c r="G14" s="27" t="n">
        <x:v>5</x:v>
      </x:c>
      <x:c r="H14" s="13" t="str">
        <x:v>区域军商两用船</x:v>
      </x:c>
      <x:c r="I14" s="13" t="str">
        <x:v>查船型表armament_level</x:v>
      </x:c>
      <x:c r="J14" s="13" t="str">
        <x:v>船坞、炮台、信号塔和训练场扩建</x:v>
      </x:c>
      <x:c r="K14" s="13" t="str">
        <x:v>在港口当前点数处线性插值计算剩余成本；世界已有发展不重复付钱；建设完工立即应用解锁。</x:v>
      </x:c>
    </x:row>
    <x:row r="15" ht="31" customHeight="1">
      <x:c r="A15" s="15" t="str">
        <x:v>A3</x:v>
      </x:c>
      <x:c r="B15" s="15" t="str">
        <x:v>武装度</x:v>
      </x:c>
      <x:c r="C15" s="30" t="n">
        <x:v>3</x:v>
      </x:c>
      <x:c r="D15" s="30" t="n">
        <x:v>450</x:v>
      </x:c>
      <x:c r="E15" s="30" t="n">
        <x:v>72000</x:v>
      </x:c>
      <x:c r="F15" s="30" t="n">
        <x:v>44000</x:v>
      </x:c>
      <x:c r="G15" s="30" t="n">
        <x:v>8</x:v>
      </x:c>
      <x:c r="H15" s="15" t="str">
        <x:v>远洋护卫与专门战船</x:v>
      </x:c>
      <x:c r="I15" s="15" t="str">
        <x:v>查船型表armament_level</x:v>
      </x:c>
      <x:c r="J15" s="15" t="str">
        <x:v>船坞、炮台、信号塔和训练场扩建</x:v>
      </x:c>
      <x:c r="K15" s="15" t="str">
        <x:v>在港口当前点数处线性插值计算剩余成本；世界已有发展不重复付钱；建设完工立即应用解锁。</x:v>
      </x:c>
    </x:row>
    <x:row r="16" ht="31" customHeight="1">
      <x:c r="A16" s="13" t="str">
        <x:v>A4</x:v>
      </x:c>
      <x:c r="B16" s="13" t="str">
        <x:v>武装度</x:v>
      </x:c>
      <x:c r="C16" s="27" t="n">
        <x:v>4</x:v>
      </x:c>
      <x:c r="D16" s="27" t="n">
        <x:v>700</x:v>
      </x:c>
      <x:c r="E16" s="27" t="n">
        <x:v>170000</x:v>
      </x:c>
      <x:c r="F16" s="27" t="n">
        <x:v>98000</x:v>
      </x:c>
      <x:c r="G16" s="27" t="n">
        <x:v>12</x:v>
      </x:c>
      <x:c r="H16" s="13" t="str">
        <x:v>主力船与高级军械</x:v>
      </x:c>
      <x:c r="I16" s="13" t="str">
        <x:v>查船型表armament_level</x:v>
      </x:c>
      <x:c r="J16" s="13" t="str">
        <x:v>船坞、炮台、信号塔和训练场扩建</x:v>
      </x:c>
      <x:c r="K16" s="13" t="str">
        <x:v>在港口当前点数处线性插值计算剩余成本；世界已有发展不重复付钱；建设完工立即应用解锁。</x:v>
      </x:c>
    </x:row>
    <x:row r="17" ht="31" customHeight="1">
      <x:c r="A17" s="16" t="str">
        <x:v>A5</x:v>
      </x:c>
      <x:c r="B17" s="16" t="str">
        <x:v>武装度</x:v>
      </x:c>
      <x:c r="C17" s="32" t="n">
        <x:v>5</x:v>
      </x:c>
      <x:c r="D17" s="32" t="n">
        <x:v>1000</x:v>
      </x:c>
      <x:c r="E17" s="32" t="n">
        <x:v>370000</x:v>
      </x:c>
      <x:c r="F17" s="32" t="n">
        <x:v>200000</x:v>
      </x:c>
      <x:c r="G17" s="32" t="n">
        <x:v>18</x:v>
      </x:c>
      <x:c r="H17" s="16" t="str">
        <x:v>文化名舰与终阶设计</x:v>
      </x:c>
      <x:c r="I17" s="16" t="str">
        <x:v>查船型表armament_level</x:v>
      </x:c>
      <x:c r="J17" s="16" t="str">
        <x:v>船坞、炮台、信号塔和训练场扩建</x:v>
      </x:c>
      <x:c r="K17" s="16" t="str">
        <x:v>在港口当前点数处线性插值计算剩余成本；世界已有发展不重复付钱；建设完工立即应用解锁。</x:v>
      </x:c>
    </x:row>
    <x:row r="18">
      <x:c r="A18" s="2"/>
      <x:c r="B18" s="2"/>
      <x:c r="C18" s="2"/>
      <x:c r="D18" s="2"/>
      <x:c r="E18" s="2"/>
      <x:c r="F18" s="2"/>
      <x:c r="G18" s="2"/>
      <x:c r="H18" s="2"/>
      <x:c r="I18" s="2"/>
      <x:c r="J18" s="2"/>
      <x:c r="K18" s="2"/>
    </x:row>
  </x:sheetData>
  <x:pageMargins left="0.7" right="0.7" top="0.75" bottom="0.75" header="0.3" footer="0.3"/>
  <x:tableParts count="1">
    <x:tablePart xmlns:r="http://schemas.openxmlformats.org/officeDocument/2006/relationships" r:id="R9b5bc6ddcbd745a1"/>
  </x:tableParts>
</x:worksheet>
</file>

<file path=xl/worksheets/sheet8.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28" hidden="0" customWidth="1"/>
    <x:col min="3" max="3" width="20" hidden="0" customWidth="1"/>
    <x:col min="4" max="4" width="18" hidden="0" customWidth="1"/>
    <x:col min="5" max="5" width="78" hidden="0" customWidth="1"/>
    <x:col min="6" max="6" width="50" hidden="0" customWidth="1"/>
  </x:cols>
  <x:sheetData>
    <x:row r="1">
      <x:c r="A1" s="2"/>
      <x:c r="B1" s="2"/>
      <x:c r="C1" s="2"/>
      <x:c r="D1" s="2"/>
      <x:c r="E1" s="2"/>
      <x:c r="F1" s="2"/>
    </x:row>
    <x:row r="2" ht="28" customHeight="1">
      <x:c r="A2" s="3" t="str">
        <x:v>没有常驻供货记录的商品：区域长期需求</x:v>
      </x:c>
      <x:c r="B2" s="2"/>
      <x:c r="C2" s="2"/>
      <x:c r="D2" s="2"/>
      <x:c r="E2" s="2"/>
      <x:c r="F2" s="2"/>
    </x:row>
    <x:row r="3">
      <x:c r="A3" s="5" t="str">
        <x:v>常驻供货商品（包括进口转售）优先使用港口供货表L；只有没有供货记录时才使用本表。</x:v>
      </x:c>
      <x:c r="B3" s="2"/>
      <x:c r="C3" s="2"/>
      <x:c r="D3" s="2"/>
      <x:c r="E3" s="2"/>
      <x:c r="F3" s="2"/>
    </x:row>
    <x:row r="4">
      <x:c r="A4" s="2"/>
      <x:c r="B4" s="2"/>
      <x:c r="C4" s="2"/>
      <x:c r="D4" s="2"/>
      <x:c r="E4" s="2"/>
      <x:c r="F4" s="2"/>
    </x:row>
    <x:row r="5" ht="34" customHeight="1">
      <x:c r="A5" s="10" t="str">
        <x:v>海域ID</x:v>
      </x:c>
      <x:c r="B5" s="10" t="str">
        <x:v>海域</x:v>
      </x:c>
      <x:c r="C5" s="10" t="str">
        <x:v>商品分类</x:v>
      </x:c>
      <x:c r="D5" s="10" t="str">
        <x:v>长期价系数</x:v>
      </x:c>
      <x:c r="E5" s="10" t="str">
        <x:v>适用范围</x:v>
      </x:c>
      <x:c r="F5" s="10" t="str">
        <x:v>数值含义</x:v>
      </x:c>
    </x:row>
    <x:row r="6" ht="42" customHeight="1">
      <x:c r="A6" s="12" t="str">
        <x:v>R01</x:v>
      </x:c>
      <x:c r="B6" s="12" t="str">
        <x:v>北海与波罗的海</x:v>
      </x:c>
      <x:c r="C6" s="12" t="str">
        <x:v>粮食</x:v>
      </x:c>
      <x:c r="D6" s="51" t="n">
        <x:v>1.05</x:v>
      </x:c>
      <x:c r="E6" s="12" t="str">
        <x:v>仅用于该港没有port_goods常设供货行的货品；有供货行时取该行local_price_factor，并保留本地生产或进口转口标识</x:v>
      </x:c>
      <x:c r="F6" s="12" t="str">
        <x:v>当地偏好与物资需求的原创设计基值</x:v>
      </x:c>
    </x:row>
    <x:row r="7" ht="42" customHeight="1">
      <x:c r="A7" s="15" t="str">
        <x:v>R01</x:v>
      </x:c>
      <x:c r="B7" s="15" t="str">
        <x:v>北海与波罗的海</x:v>
      </x:c>
      <x:c r="C7" s="15" t="str">
        <x:v>食品</x:v>
      </x:c>
      <x:c r="D7" s="54" t="n">
        <x:v>1.1</x:v>
      </x:c>
      <x:c r="E7" s="15" t="str">
        <x:v>仅用于该港没有port_goods常设供货行的货品；有供货行时取该行local_price_factor，并保留本地生产或进口转口标识</x:v>
      </x:c>
      <x:c r="F7" s="15" t="str">
        <x:v>当地偏好与物资需求的原创设计基值</x:v>
      </x:c>
    </x:row>
    <x:row r="8" ht="42" customHeight="1">
      <x:c r="A8" s="13" t="str">
        <x:v>R01</x:v>
      </x:c>
      <x:c r="B8" s="13" t="str">
        <x:v>北海与波罗的海</x:v>
      </x:c>
      <x:c r="C8" s="13" t="str">
        <x:v>酒类</x:v>
      </x:c>
      <x:c r="D8" s="52" t="n">
        <x:v>1.28</x:v>
      </x:c>
      <x:c r="E8" s="13" t="str">
        <x:v>仅用于该港没有port_goods常设供货行的货品；有供货行时取该行local_price_factor，并保留本地生产或进口转口标识</x:v>
      </x:c>
      <x:c r="F8" s="13" t="str">
        <x:v>当地偏好与物资需求的原创设计基值</x:v>
      </x:c>
    </x:row>
    <x:row r="9" ht="42" customHeight="1">
      <x:c r="A9" s="15" t="str">
        <x:v>R01</x:v>
      </x:c>
      <x:c r="B9" s="15" t="str">
        <x:v>北海与波罗的海</x:v>
      </x:c>
      <x:c r="C9" s="15" t="str">
        <x:v>纤维</x:v>
      </x:c>
      <x:c r="D9" s="54" t="n">
        <x:v>1.1</x:v>
      </x:c>
      <x:c r="E9" s="15" t="str">
        <x:v>仅用于该港没有port_goods常设供货行的货品；有供货行时取该行local_price_factor，并保留本地生产或进口转口标识</x:v>
      </x:c>
      <x:c r="F9" s="15" t="str">
        <x:v>当地偏好与物资需求的原创设计基值</x:v>
      </x:c>
    </x:row>
    <x:row r="10" ht="42" customHeight="1">
      <x:c r="A10" s="13" t="str">
        <x:v>R01</x:v>
      </x:c>
      <x:c r="B10" s="13" t="str">
        <x:v>北海与波罗的海</x:v>
      </x:c>
      <x:c r="C10" s="13" t="str">
        <x:v>织物</x:v>
      </x:c>
      <x:c r="D10" s="52" t="n">
        <x:v>0.95</x:v>
      </x:c>
      <x:c r="E10" s="13" t="str">
        <x:v>仅用于该港没有port_goods常设供货行的货品；有供货行时取该行local_price_factor，并保留本地生产或进口转口标识</x:v>
      </x:c>
      <x:c r="F10" s="13" t="str">
        <x:v>当地偏好与物资需求的原创设计基值</x:v>
      </x:c>
    </x:row>
    <x:row r="11" ht="42" customHeight="1">
      <x:c r="A11" s="15" t="str">
        <x:v>R01</x:v>
      </x:c>
      <x:c r="B11" s="15" t="str">
        <x:v>北海与波罗的海</x:v>
      </x:c>
      <x:c r="C11" s="15" t="str">
        <x:v>香辛料</x:v>
      </x:c>
      <x:c r="D11" s="54" t="n">
        <x:v>1.6</x:v>
      </x:c>
      <x:c r="E11" s="15" t="str">
        <x:v>仅用于该港没有port_goods常设供货行的货品；有供货行时取该行local_price_factor，并保留本地生产或进口转口标识</x:v>
      </x:c>
      <x:c r="F11" s="15" t="str">
        <x:v>当地偏好与物资需求的原创设计基值</x:v>
      </x:c>
    </x:row>
    <x:row r="12" ht="42" customHeight="1">
      <x:c r="A12" s="13" t="str">
        <x:v>R01</x:v>
      </x:c>
      <x:c r="B12" s="13" t="str">
        <x:v>北海与波罗的海</x:v>
      </x:c>
      <x:c r="C12" s="13" t="str">
        <x:v>香料</x:v>
      </x:c>
      <x:c r="D12" s="52" t="n">
        <x:v>1.32</x:v>
      </x:c>
      <x:c r="E12" s="13" t="str">
        <x:v>仅用于该港没有port_goods常设供货行的货品；有供货行时取该行local_price_factor，并保留本地生产或进口转口标识</x:v>
      </x:c>
      <x:c r="F12" s="13" t="str">
        <x:v>当地偏好与物资需求的原创设计基值</x:v>
      </x:c>
    </x:row>
    <x:row r="13" ht="42" customHeight="1">
      <x:c r="A13" s="15" t="str">
        <x:v>R01</x:v>
      </x:c>
      <x:c r="B13" s="15" t="str">
        <x:v>北海与波罗的海</x:v>
      </x:c>
      <x:c r="C13" s="15" t="str">
        <x:v>矿石</x:v>
      </x:c>
      <x:c r="D13" s="54" t="n">
        <x:v>0.92</x:v>
      </x:c>
      <x:c r="E13" s="15" t="str">
        <x:v>仅用于该港没有port_goods常设供货行的货品；有供货行时取该行local_price_factor，并保留本地生产或进口转口标识</x:v>
      </x:c>
      <x:c r="F13" s="15" t="str">
        <x:v>当地偏好与物资需求的原创设计基值</x:v>
      </x:c>
    </x:row>
    <x:row r="14" ht="42" customHeight="1">
      <x:c r="A14" s="13" t="str">
        <x:v>R01</x:v>
      </x:c>
      <x:c r="B14" s="13" t="str">
        <x:v>北海与波罗的海</x:v>
      </x:c>
      <x:c r="C14" s="13" t="str">
        <x:v>金属</x:v>
      </x:c>
      <x:c r="D14" s="52" t="n">
        <x:v>0.96</x:v>
      </x:c>
      <x:c r="E14" s="13" t="str">
        <x:v>仅用于该港没有port_goods常设供货行的货品；有供货行时取该行local_price_factor，并保留本地生产或进口转口标识</x:v>
      </x:c>
      <x:c r="F14" s="13" t="str">
        <x:v>当地偏好与物资需求的原创设计基值</x:v>
      </x:c>
    </x:row>
    <x:row r="15" ht="42" customHeight="1">
      <x:c r="A15" s="15" t="str">
        <x:v>R01</x:v>
      </x:c>
      <x:c r="B15" s="15" t="str">
        <x:v>北海与波罗的海</x:v>
      </x:c>
      <x:c r="C15" s="15" t="str">
        <x:v>木材</x:v>
      </x:c>
      <x:c r="D15" s="54" t="n">
        <x:v>0.88</x:v>
      </x:c>
      <x:c r="E15" s="15" t="str">
        <x:v>仅用于该港没有port_goods常设供货行的货品；有供货行时取该行local_price_factor，并保留本地生产或进口转口标识</x:v>
      </x:c>
      <x:c r="F15" s="15" t="str">
        <x:v>当地偏好与物资需求的原创设计基值</x:v>
      </x:c>
    </x:row>
    <x:row r="16" ht="42" customHeight="1">
      <x:c r="A16" s="13" t="str">
        <x:v>R01</x:v>
      </x:c>
      <x:c r="B16" s="13" t="str">
        <x:v>北海与波罗的海</x:v>
      </x:c>
      <x:c r="C16" s="13" t="str">
        <x:v>工业品</x:v>
      </x:c>
      <x:c r="D16" s="52" t="n">
        <x:v>0.94</x:v>
      </x:c>
      <x:c r="E16" s="13" t="str">
        <x:v>仅用于该港没有port_goods常设供货行的货品；有供货行时取该行local_price_factor，并保留本地生产或进口转口标识</x:v>
      </x:c>
      <x:c r="F16" s="13" t="str">
        <x:v>当地偏好与物资需求的原创设计基值</x:v>
      </x:c>
    </x:row>
    <x:row r="17" ht="42" customHeight="1">
      <x:c r="A17" s="15" t="str">
        <x:v>R01</x:v>
      </x:c>
      <x:c r="B17" s="15" t="str">
        <x:v>北海与波罗的海</x:v>
      </x:c>
      <x:c r="C17" s="15" t="str">
        <x:v>工艺品</x:v>
      </x:c>
      <x:c r="D17" s="54" t="n">
        <x:v>1.24</x:v>
      </x:c>
      <x:c r="E17" s="15" t="str">
        <x:v>仅用于该港没有port_goods常设供货行的货品；有供货行时取该行local_price_factor，并保留本地生产或进口转口标识</x:v>
      </x:c>
      <x:c r="F17" s="15" t="str">
        <x:v>当地偏好与物资需求的原创设计基值</x:v>
      </x:c>
    </x:row>
    <x:row r="18" ht="42" customHeight="1">
      <x:c r="A18" s="13" t="str">
        <x:v>R01</x:v>
      </x:c>
      <x:c r="B18" s="13" t="str">
        <x:v>北海与波罗的海</x:v>
      </x:c>
      <x:c r="C18" s="13" t="str">
        <x:v>宝石</x:v>
      </x:c>
      <x:c r="D18" s="52" t="n">
        <x:v>1.3</x:v>
      </x:c>
      <x:c r="E18" s="13" t="str">
        <x:v>仅用于该港没有port_goods常设供货行的货品；有供货行时取该行local_price_factor，并保留本地生产或进口转口标识</x:v>
      </x:c>
      <x:c r="F18" s="13" t="str">
        <x:v>当地偏好与物资需求的原创设计基值</x:v>
      </x:c>
    </x:row>
    <x:row r="19" ht="42" customHeight="1">
      <x:c r="A19" s="15" t="str">
        <x:v>R01</x:v>
      </x:c>
      <x:c r="B19" s="15" t="str">
        <x:v>北海与波罗的海</x:v>
      </x:c>
      <x:c r="C19" s="15" t="str">
        <x:v>药材</x:v>
      </x:c>
      <x:c r="D19" s="54" t="n">
        <x:v>1.12</x:v>
      </x:c>
      <x:c r="E19" s="15" t="str">
        <x:v>仅用于该港没有port_goods常设供货行的货品；有供货行时取该行local_price_factor，并保留本地生产或进口转口标识</x:v>
      </x:c>
      <x:c r="F19" s="15" t="str">
        <x:v>当地偏好与物资需求的原创设计基值</x:v>
      </x:c>
    </x:row>
    <x:row r="20" ht="42" customHeight="1">
      <x:c r="A20" s="13" t="str">
        <x:v>R01</x:v>
      </x:c>
      <x:c r="B20" s="13" t="str">
        <x:v>北海与波罗的海</x:v>
      </x:c>
      <x:c r="C20" s="13" t="str">
        <x:v>染料</x:v>
      </x:c>
      <x:c r="D20" s="52" t="n">
        <x:v>1.18</x:v>
      </x:c>
      <x:c r="E20" s="13" t="str">
        <x:v>仅用于该港没有port_goods常设供货行的货品；有供货行时取该行local_price_factor，并保留本地生产或进口转口标识</x:v>
      </x:c>
      <x:c r="F20" s="13" t="str">
        <x:v>当地偏好与物资需求的原创设计基值</x:v>
      </x:c>
    </x:row>
    <x:row r="21" ht="42" customHeight="1">
      <x:c r="A21" s="15" t="str">
        <x:v>R01</x:v>
      </x:c>
      <x:c r="B21" s="15" t="str">
        <x:v>北海与波罗的海</x:v>
      </x:c>
      <x:c r="C21" s="15" t="str">
        <x:v>奢侈品</x:v>
      </x:c>
      <x:c r="D21" s="54" t="n">
        <x:v>1.35</x:v>
      </x:c>
      <x:c r="E21" s="15" t="str">
        <x:v>仅用于该港没有port_goods常设供货行的货品；有供货行时取该行local_price_factor，并保留本地生产或进口转口标识</x:v>
      </x:c>
      <x:c r="F21" s="15" t="str">
        <x:v>当地偏好与物资需求的原创设计基值</x:v>
      </x:c>
    </x:row>
    <x:row r="22" ht="42" customHeight="1">
      <x:c r="A22" s="13" t="str">
        <x:v>R01</x:v>
      </x:c>
      <x:c r="B22" s="13" t="str">
        <x:v>北海与波罗的海</x:v>
      </x:c>
      <x:c r="C22" s="13" t="str">
        <x:v>嗜好品</x:v>
      </x:c>
      <x:c r="D22" s="52" t="n">
        <x:v>1.42</x:v>
      </x:c>
      <x:c r="E22" s="13" t="str">
        <x:v>仅用于该港没有port_goods常设供货行的货品；有供货行时取该行local_price_factor，并保留本地生产或进口转口标识</x:v>
      </x:c>
      <x:c r="F22" s="13" t="str">
        <x:v>当地偏好与物资需求的原创设计基值</x:v>
      </x:c>
    </x:row>
    <x:row r="23" ht="42" customHeight="1">
      <x:c r="A23" s="15" t="str">
        <x:v>R02</x:v>
      </x:c>
      <x:c r="B23" s="15" t="str">
        <x:v>西欧与伊比利亚</x:v>
      </x:c>
      <x:c r="C23" s="15" t="str">
        <x:v>粮食</x:v>
      </x:c>
      <x:c r="D23" s="54" t="n">
        <x:v>1.12</x:v>
      </x:c>
      <x:c r="E23" s="15" t="str">
        <x:v>仅用于该港没有port_goods常设供货行的货品；有供货行时取该行local_price_factor，并保留本地生产或进口转口标识</x:v>
      </x:c>
      <x:c r="F23" s="15" t="str">
        <x:v>当地偏好与物资需求的原创设计基值</x:v>
      </x:c>
    </x:row>
    <x:row r="24" ht="42" customHeight="1">
      <x:c r="A24" s="13" t="str">
        <x:v>R02</x:v>
      </x:c>
      <x:c r="B24" s="13" t="str">
        <x:v>西欧与伊比利亚</x:v>
      </x:c>
      <x:c r="C24" s="13" t="str">
        <x:v>食品</x:v>
      </x:c>
      <x:c r="D24" s="52" t="n">
        <x:v>1.03</x:v>
      </x:c>
      <x:c r="E24" s="13" t="str">
        <x:v>仅用于该港没有port_goods常设供货行的货品；有供货行时取该行local_price_factor，并保留本地生产或进口转口标识</x:v>
      </x:c>
      <x:c r="F24" s="13" t="str">
        <x:v>当地偏好与物资需求的原创设计基值</x:v>
      </x:c>
    </x:row>
    <x:row r="25" ht="42" customHeight="1">
      <x:c r="A25" s="15" t="str">
        <x:v>R02</x:v>
      </x:c>
      <x:c r="B25" s="15" t="str">
        <x:v>西欧与伊比利亚</x:v>
      </x:c>
      <x:c r="C25" s="15" t="str">
        <x:v>酒类</x:v>
      </x:c>
      <x:c r="D25" s="54" t="n">
        <x:v>0.88</x:v>
      </x:c>
      <x:c r="E25" s="15" t="str">
        <x:v>仅用于该港没有port_goods常设供货行的货品；有供货行时取该行local_price_factor，并保留本地生产或进口转口标识</x:v>
      </x:c>
      <x:c r="F25" s="15" t="str">
        <x:v>当地偏好与物资需求的原创设计基值</x:v>
      </x:c>
    </x:row>
    <x:row r="26" ht="42" customHeight="1">
      <x:c r="A26" s="13" t="str">
        <x:v>R02</x:v>
      </x:c>
      <x:c r="B26" s="13" t="str">
        <x:v>西欧与伊比利亚</x:v>
      </x:c>
      <x:c r="C26" s="13" t="str">
        <x:v>纤维</x:v>
      </x:c>
      <x:c r="D26" s="52" t="n">
        <x:v>1.04</x:v>
      </x:c>
      <x:c r="E26" s="13" t="str">
        <x:v>仅用于该港没有port_goods常设供货行的货品；有供货行时取该行local_price_factor，并保留本地生产或进口转口标识</x:v>
      </x:c>
      <x:c r="F26" s="13" t="str">
        <x:v>当地偏好与物资需求的原创设计基值</x:v>
      </x:c>
    </x:row>
    <x:row r="27" ht="42" customHeight="1">
      <x:c r="A27" s="15" t="str">
        <x:v>R02</x:v>
      </x:c>
      <x:c r="B27" s="15" t="str">
        <x:v>西欧与伊比利亚</x:v>
      </x:c>
      <x:c r="C27" s="15" t="str">
        <x:v>织物</x:v>
      </x:c>
      <x:c r="D27" s="54" t="n">
        <x:v>1.12</x:v>
      </x:c>
      <x:c r="E27" s="15" t="str">
        <x:v>仅用于该港没有port_goods常设供货行的货品；有供货行时取该行local_price_factor，并保留本地生产或进口转口标识</x:v>
      </x:c>
      <x:c r="F27" s="15" t="str">
        <x:v>当地偏好与物资需求的原创设计基值</x:v>
      </x:c>
    </x:row>
    <x:row r="28" ht="42" customHeight="1">
      <x:c r="A28" s="13" t="str">
        <x:v>R02</x:v>
      </x:c>
      <x:c r="B28" s="13" t="str">
        <x:v>西欧与伊比利亚</x:v>
      </x:c>
      <x:c r="C28" s="13" t="str">
        <x:v>香辛料</x:v>
      </x:c>
      <x:c r="D28" s="52" t="n">
        <x:v>1.55</x:v>
      </x:c>
      <x:c r="E28" s="13" t="str">
        <x:v>仅用于该港没有port_goods常设供货行的货品；有供货行时取该行local_price_factor，并保留本地生产或进口转口标识</x:v>
      </x:c>
      <x:c r="F28" s="13" t="str">
        <x:v>当地偏好与物资需求的原创设计基值</x:v>
      </x:c>
    </x:row>
    <x:row r="29" ht="42" customHeight="1">
      <x:c r="A29" s="15" t="str">
        <x:v>R02</x:v>
      </x:c>
      <x:c r="B29" s="15" t="str">
        <x:v>西欧与伊比利亚</x:v>
      </x:c>
      <x:c r="C29" s="15" t="str">
        <x:v>香料</x:v>
      </x:c>
      <x:c r="D29" s="54" t="n">
        <x:v>1.26</x:v>
      </x:c>
      <x:c r="E29" s="15" t="str">
        <x:v>仅用于该港没有port_goods常设供货行的货品；有供货行时取该行local_price_factor，并保留本地生产或进口转口标识</x:v>
      </x:c>
      <x:c r="F29" s="15" t="str">
        <x:v>当地偏好与物资需求的原创设计基值</x:v>
      </x:c>
    </x:row>
    <x:row r="30" ht="42" customHeight="1">
      <x:c r="A30" s="13" t="str">
        <x:v>R02</x:v>
      </x:c>
      <x:c r="B30" s="13" t="str">
        <x:v>西欧与伊比利亚</x:v>
      </x:c>
      <x:c r="C30" s="13" t="str">
        <x:v>矿石</x:v>
      </x:c>
      <x:c r="D30" s="52" t="n">
        <x:v>1.16</x:v>
      </x:c>
      <x:c r="E30" s="13" t="str">
        <x:v>仅用于该港没有port_goods常设供货行的货品；有供货行时取该行local_price_factor，并保留本地生产或进口转口标识</x:v>
      </x:c>
      <x:c r="F30" s="13" t="str">
        <x:v>当地偏好与物资需求的原创设计基值</x:v>
      </x:c>
    </x:row>
    <x:row r="31" ht="42" customHeight="1">
      <x:c r="A31" s="15" t="str">
        <x:v>R02</x:v>
      </x:c>
      <x:c r="B31" s="15" t="str">
        <x:v>西欧与伊比利亚</x:v>
      </x:c>
      <x:c r="C31" s="15" t="str">
        <x:v>金属</x:v>
      </x:c>
      <x:c r="D31" s="54" t="n">
        <x:v>1.05</x:v>
      </x:c>
      <x:c r="E31" s="15" t="str">
        <x:v>仅用于该港没有port_goods常设供货行的货品；有供货行时取该行local_price_factor，并保留本地生产或进口转口标识</x:v>
      </x:c>
      <x:c r="F31" s="15" t="str">
        <x:v>当地偏好与物资需求的原创设计基值</x:v>
      </x:c>
    </x:row>
    <x:row r="32" ht="42" customHeight="1">
      <x:c r="A32" s="13" t="str">
        <x:v>R02</x:v>
      </x:c>
      <x:c r="B32" s="13" t="str">
        <x:v>西欧与伊比利亚</x:v>
      </x:c>
      <x:c r="C32" s="13" t="str">
        <x:v>木材</x:v>
      </x:c>
      <x:c r="D32" s="52" t="n">
        <x:v>1.18</x:v>
      </x:c>
      <x:c r="E32" s="13" t="str">
        <x:v>仅用于该港没有port_goods常设供货行的货品；有供货行时取该行local_price_factor，并保留本地生产或进口转口标识</x:v>
      </x:c>
      <x:c r="F32" s="13" t="str">
        <x:v>当地偏好与物资需求的原创设计基值</x:v>
      </x:c>
    </x:row>
    <x:row r="33" ht="42" customHeight="1">
      <x:c r="A33" s="15" t="str">
        <x:v>R02</x:v>
      </x:c>
      <x:c r="B33" s="15" t="str">
        <x:v>西欧与伊比利亚</x:v>
      </x:c>
      <x:c r="C33" s="15" t="str">
        <x:v>工业品</x:v>
      </x:c>
      <x:c r="D33" s="54" t="n">
        <x:v>1.12</x:v>
      </x:c>
      <x:c r="E33" s="15" t="str">
        <x:v>仅用于该港没有port_goods常设供货行的货品；有供货行时取该行local_price_factor，并保留本地生产或进口转口标识</x:v>
      </x:c>
      <x:c r="F33" s="15" t="str">
        <x:v>当地偏好与物资需求的原创设计基值</x:v>
      </x:c>
    </x:row>
    <x:row r="34" ht="42" customHeight="1">
      <x:c r="A34" s="13" t="str">
        <x:v>R02</x:v>
      </x:c>
      <x:c r="B34" s="13" t="str">
        <x:v>西欧与伊比利亚</x:v>
      </x:c>
      <x:c r="C34" s="13" t="str">
        <x:v>工艺品</x:v>
      </x:c>
      <x:c r="D34" s="52" t="n">
        <x:v>1.14</x:v>
      </x:c>
      <x:c r="E34" s="13" t="str">
        <x:v>仅用于该港没有port_goods常设供货行的货品；有供货行时取该行local_price_factor，并保留本地生产或进口转口标识</x:v>
      </x:c>
      <x:c r="F34" s="13" t="str">
        <x:v>当地偏好与物资需求的原创设计基值</x:v>
      </x:c>
    </x:row>
    <x:row r="35" ht="42" customHeight="1">
      <x:c r="A35" s="15" t="str">
        <x:v>R02</x:v>
      </x:c>
      <x:c r="B35" s="15" t="str">
        <x:v>西欧与伊比利亚</x:v>
      </x:c>
      <x:c r="C35" s="15" t="str">
        <x:v>宝石</x:v>
      </x:c>
      <x:c r="D35" s="54" t="n">
        <x:v>1.36</x:v>
      </x:c>
      <x:c r="E35" s="15" t="str">
        <x:v>仅用于该港没有port_goods常设供货行的货品；有供货行时取该行local_price_factor，并保留本地生产或进口转口标识</x:v>
      </x:c>
      <x:c r="F35" s="15" t="str">
        <x:v>当地偏好与物资需求的原创设计基值</x:v>
      </x:c>
    </x:row>
    <x:row r="36" ht="42" customHeight="1">
      <x:c r="A36" s="13" t="str">
        <x:v>R02</x:v>
      </x:c>
      <x:c r="B36" s="13" t="str">
        <x:v>西欧与伊比利亚</x:v>
      </x:c>
      <x:c r="C36" s="13" t="str">
        <x:v>药材</x:v>
      </x:c>
      <x:c r="D36" s="52" t="n">
        <x:v>1.08</x:v>
      </x:c>
      <x:c r="E36" s="13" t="str">
        <x:v>仅用于该港没有port_goods常设供货行的货品；有供货行时取该行local_price_factor，并保留本地生产或进口转口标识</x:v>
      </x:c>
      <x:c r="F36" s="13" t="str">
        <x:v>当地偏好与物资需求的原创设计基值</x:v>
      </x:c>
    </x:row>
    <x:row r="37" ht="42" customHeight="1">
      <x:c r="A37" s="15" t="str">
        <x:v>R02</x:v>
      </x:c>
      <x:c r="B37" s="15" t="str">
        <x:v>西欧与伊比利亚</x:v>
      </x:c>
      <x:c r="C37" s="15" t="str">
        <x:v>染料</x:v>
      </x:c>
      <x:c r="D37" s="54" t="n">
        <x:v>1.22</x:v>
      </x:c>
      <x:c r="E37" s="15" t="str">
        <x:v>仅用于该港没有port_goods常设供货行的货品；有供货行时取该行local_price_factor，并保留本地生产或进口转口标识</x:v>
      </x:c>
      <x:c r="F37" s="15" t="str">
        <x:v>当地偏好与物资需求的原创设计基值</x:v>
      </x:c>
    </x:row>
    <x:row r="38" ht="42" customHeight="1">
      <x:c r="A38" s="13" t="str">
        <x:v>R02</x:v>
      </x:c>
      <x:c r="B38" s="13" t="str">
        <x:v>西欧与伊比利亚</x:v>
      </x:c>
      <x:c r="C38" s="13" t="str">
        <x:v>奢侈品</x:v>
      </x:c>
      <x:c r="D38" s="52" t="n">
        <x:v>1.3</x:v>
      </x:c>
      <x:c r="E38" s="13" t="str">
        <x:v>仅用于该港没有port_goods常设供货行的货品；有供货行时取该行local_price_factor，并保留本地生产或进口转口标识</x:v>
      </x:c>
      <x:c r="F38" s="13" t="str">
        <x:v>当地偏好与物资需求的原创设计基值</x:v>
      </x:c>
    </x:row>
    <x:row r="39" ht="42" customHeight="1">
      <x:c r="A39" s="15" t="str">
        <x:v>R02</x:v>
      </x:c>
      <x:c r="B39" s="15" t="str">
        <x:v>西欧与伊比利亚</x:v>
      </x:c>
      <x:c r="C39" s="15" t="str">
        <x:v>嗜好品</x:v>
      </x:c>
      <x:c r="D39" s="54" t="n">
        <x:v>1.38</x:v>
      </x:c>
      <x:c r="E39" s="15" t="str">
        <x:v>仅用于该港没有port_goods常设供货行的货品；有供货行时取该行local_price_factor，并保留本地生产或进口转口标识</x:v>
      </x:c>
      <x:c r="F39" s="15" t="str">
        <x:v>当地偏好与物资需求的原创设计基值</x:v>
      </x:c>
    </x:row>
    <x:row r="40" ht="42" customHeight="1">
      <x:c r="A40" s="13" t="str">
        <x:v>R03</x:v>
      </x:c>
      <x:c r="B40" s="13" t="str">
        <x:v>地中海与黑海</x:v>
      </x:c>
      <x:c r="C40" s="13" t="str">
        <x:v>粮食</x:v>
      </x:c>
      <x:c r="D40" s="52" t="n">
        <x:v>1.15</x:v>
      </x:c>
      <x:c r="E40" s="13" t="str">
        <x:v>仅用于该港没有port_goods常设供货行的货品；有供货行时取该行local_price_factor，并保留本地生产或进口转口标识</x:v>
      </x:c>
      <x:c r="F40" s="13" t="str">
        <x:v>当地偏好与物资需求的原创设计基值</x:v>
      </x:c>
    </x:row>
    <x:row r="41" ht="42" customHeight="1">
      <x:c r="A41" s="15" t="str">
        <x:v>R03</x:v>
      </x:c>
      <x:c r="B41" s="15" t="str">
        <x:v>地中海与黑海</x:v>
      </x:c>
      <x:c r="C41" s="15" t="str">
        <x:v>食品</x:v>
      </x:c>
      <x:c r="D41" s="54" t="n">
        <x:v>1.02</x:v>
      </x:c>
      <x:c r="E41" s="15" t="str">
        <x:v>仅用于该港没有port_goods常设供货行的货品；有供货行时取该行local_price_factor，并保留本地生产或进口转口标识</x:v>
      </x:c>
      <x:c r="F41" s="15" t="str">
        <x:v>当地偏好与物资需求的原创设计基值</x:v>
      </x:c>
    </x:row>
    <x:row r="42" ht="42" customHeight="1">
      <x:c r="A42" s="13" t="str">
        <x:v>R03</x:v>
      </x:c>
      <x:c r="B42" s="13" t="str">
        <x:v>地中海与黑海</x:v>
      </x:c>
      <x:c r="C42" s="13" t="str">
        <x:v>酒类</x:v>
      </x:c>
      <x:c r="D42" s="52" t="n">
        <x:v>0.96</x:v>
      </x:c>
      <x:c r="E42" s="13" t="str">
        <x:v>仅用于该港没有port_goods常设供货行的货品；有供货行时取该行local_price_factor，并保留本地生产或进口转口标识</x:v>
      </x:c>
      <x:c r="F42" s="13" t="str">
        <x:v>当地偏好与物资需求的原创设计基值</x:v>
      </x:c>
    </x:row>
    <x:row r="43" ht="42" customHeight="1">
      <x:c r="A43" s="15" t="str">
        <x:v>R03</x:v>
      </x:c>
      <x:c r="B43" s="15" t="str">
        <x:v>地中海与黑海</x:v>
      </x:c>
      <x:c r="C43" s="15" t="str">
        <x:v>纤维</x:v>
      </x:c>
      <x:c r="D43" s="54" t="n">
        <x:v>1.08</x:v>
      </x:c>
      <x:c r="E43" s="15" t="str">
        <x:v>仅用于该港没有port_goods常设供货行的货品；有供货行时取该行local_price_factor，并保留本地生产或进口转口标识</x:v>
      </x:c>
      <x:c r="F43" s="15" t="str">
        <x:v>当地偏好与物资需求的原创设计基值</x:v>
      </x:c>
    </x:row>
    <x:row r="44" ht="42" customHeight="1">
      <x:c r="A44" s="13" t="str">
        <x:v>R03</x:v>
      </x:c>
      <x:c r="B44" s="13" t="str">
        <x:v>地中海与黑海</x:v>
      </x:c>
      <x:c r="C44" s="13" t="str">
        <x:v>织物</x:v>
      </x:c>
      <x:c r="D44" s="52" t="n">
        <x:v>1.06</x:v>
      </x:c>
      <x:c r="E44" s="13" t="str">
        <x:v>仅用于该港没有port_goods常设供货行的货品；有供货行时取该行local_price_factor，并保留本地生产或进口转口标识</x:v>
      </x:c>
      <x:c r="F44" s="13" t="str">
        <x:v>当地偏好与物资需求的原创设计基值</x:v>
      </x:c>
    </x:row>
    <x:row r="45" ht="42" customHeight="1">
      <x:c r="A45" s="15" t="str">
        <x:v>R03</x:v>
      </x:c>
      <x:c r="B45" s="15" t="str">
        <x:v>地中海与黑海</x:v>
      </x:c>
      <x:c r="C45" s="15" t="str">
        <x:v>香辛料</x:v>
      </x:c>
      <x:c r="D45" s="54" t="n">
        <x:v>1.42</x:v>
      </x:c>
      <x:c r="E45" s="15" t="str">
        <x:v>仅用于该港没有port_goods常设供货行的货品；有供货行时取该行local_price_factor，并保留本地生产或进口转口标识</x:v>
      </x:c>
      <x:c r="F45" s="15" t="str">
        <x:v>当地偏好与物资需求的原创设计基值</x:v>
      </x:c>
    </x:row>
    <x:row r="46" ht="42" customHeight="1">
      <x:c r="A46" s="13" t="str">
        <x:v>R03</x:v>
      </x:c>
      <x:c r="B46" s="13" t="str">
        <x:v>地中海与黑海</x:v>
      </x:c>
      <x:c r="C46" s="13" t="str">
        <x:v>香料</x:v>
      </x:c>
      <x:c r="D46" s="52" t="n">
        <x:v>1.18</x:v>
      </x:c>
      <x:c r="E46" s="13" t="str">
        <x:v>仅用于该港没有port_goods常设供货行的货品；有供货行时取该行local_price_factor，并保留本地生产或进口转口标识</x:v>
      </x:c>
      <x:c r="F46" s="13" t="str">
        <x:v>当地偏好与物资需求的原创设计基值</x:v>
      </x:c>
    </x:row>
    <x:row r="47" ht="42" customHeight="1">
      <x:c r="A47" s="15" t="str">
        <x:v>R03</x:v>
      </x:c>
      <x:c r="B47" s="15" t="str">
        <x:v>地中海与黑海</x:v>
      </x:c>
      <x:c r="C47" s="15" t="str">
        <x:v>矿石</x:v>
      </x:c>
      <x:c r="D47" s="54" t="n">
        <x:v>1.18</x:v>
      </x:c>
      <x:c r="E47" s="15" t="str">
        <x:v>仅用于该港没有port_goods常设供货行的货品；有供货行时取该行local_price_factor，并保留本地生产或进口转口标识</x:v>
      </x:c>
      <x:c r="F47" s="15" t="str">
        <x:v>当地偏好与物资需求的原创设计基值</x:v>
      </x:c>
    </x:row>
    <x:row r="48" ht="42" customHeight="1">
      <x:c r="A48" s="13" t="str">
        <x:v>R03</x:v>
      </x:c>
      <x:c r="B48" s="13" t="str">
        <x:v>地中海与黑海</x:v>
      </x:c>
      <x:c r="C48" s="13" t="str">
        <x:v>金属</x:v>
      </x:c>
      <x:c r="D48" s="52" t="n">
        <x:v>1.12</x:v>
      </x:c>
      <x:c r="E48" s="13" t="str">
        <x:v>仅用于该港没有port_goods常设供货行的货品；有供货行时取该行local_price_factor，并保留本地生产或进口转口标识</x:v>
      </x:c>
      <x:c r="F48" s="13" t="str">
        <x:v>当地偏好与物资需求的原创设计基值</x:v>
      </x:c>
    </x:row>
    <x:row r="49" ht="42" customHeight="1">
      <x:c r="A49" s="15" t="str">
        <x:v>R03</x:v>
      </x:c>
      <x:c r="B49" s="15" t="str">
        <x:v>地中海与黑海</x:v>
      </x:c>
      <x:c r="C49" s="15" t="str">
        <x:v>木材</x:v>
      </x:c>
      <x:c r="D49" s="54" t="n">
        <x:v>1.22</x:v>
      </x:c>
      <x:c r="E49" s="15" t="str">
        <x:v>仅用于该港没有port_goods常设供货行的货品；有供货行时取该行local_price_factor，并保留本地生产或进口转口标识</x:v>
      </x:c>
      <x:c r="F49" s="15" t="str">
        <x:v>当地偏好与物资需求的原创设计基值</x:v>
      </x:c>
    </x:row>
    <x:row r="50" ht="42" customHeight="1">
      <x:c r="A50" s="13" t="str">
        <x:v>R03</x:v>
      </x:c>
      <x:c r="B50" s="13" t="str">
        <x:v>地中海与黑海</x:v>
      </x:c>
      <x:c r="C50" s="13" t="str">
        <x:v>工业品</x:v>
      </x:c>
      <x:c r="D50" s="52" t="n">
        <x:v>1.06</x:v>
      </x:c>
      <x:c r="E50" s="13" t="str">
        <x:v>仅用于该港没有port_goods常设供货行的货品；有供货行时取该行local_price_factor，并保留本地生产或进口转口标识</x:v>
      </x:c>
      <x:c r="F50" s="13" t="str">
        <x:v>当地偏好与物资需求的原创设计基值</x:v>
      </x:c>
    </x:row>
    <x:row r="51" ht="42" customHeight="1">
      <x:c r="A51" s="15" t="str">
        <x:v>R03</x:v>
      </x:c>
      <x:c r="B51" s="15" t="str">
        <x:v>地中海与黑海</x:v>
      </x:c>
      <x:c r="C51" s="15" t="str">
        <x:v>工艺品</x:v>
      </x:c>
      <x:c r="D51" s="54" t="n">
        <x:v>0.95</x:v>
      </x:c>
      <x:c r="E51" s="15" t="str">
        <x:v>仅用于该港没有port_goods常设供货行的货品；有供货行时取该行local_price_factor，并保留本地生产或进口转口标识</x:v>
      </x:c>
      <x:c r="F51" s="15" t="str">
        <x:v>当地偏好与物资需求的原创设计基值</x:v>
      </x:c>
    </x:row>
    <x:row r="52" ht="42" customHeight="1">
      <x:c r="A52" s="13" t="str">
        <x:v>R03</x:v>
      </x:c>
      <x:c r="B52" s="13" t="str">
        <x:v>地中海与黑海</x:v>
      </x:c>
      <x:c r="C52" s="13" t="str">
        <x:v>宝石</x:v>
      </x:c>
      <x:c r="D52" s="52" t="n">
        <x:v>1.28</x:v>
      </x:c>
      <x:c r="E52" s="13" t="str">
        <x:v>仅用于该港没有port_goods常设供货行的货品；有供货行时取该行local_price_factor，并保留本地生产或进口转口标识</x:v>
      </x:c>
      <x:c r="F52" s="13" t="str">
        <x:v>当地偏好与物资需求的原创设计基值</x:v>
      </x:c>
    </x:row>
    <x:row r="53" ht="42" customHeight="1">
      <x:c r="A53" s="15" t="str">
        <x:v>R03</x:v>
      </x:c>
      <x:c r="B53" s="15" t="str">
        <x:v>地中海与黑海</x:v>
      </x:c>
      <x:c r="C53" s="15" t="str">
        <x:v>药材</x:v>
      </x:c>
      <x:c r="D53" s="54" t="n">
        <x:v>1.05</x:v>
      </x:c>
      <x:c r="E53" s="15" t="str">
        <x:v>仅用于该港没有port_goods常设供货行的货品；有供货行时取该行local_price_factor，并保留本地生产或进口转口标识</x:v>
      </x:c>
      <x:c r="F53" s="15" t="str">
        <x:v>当地偏好与物资需求的原创设计基值</x:v>
      </x:c>
    </x:row>
    <x:row r="54" ht="42" customHeight="1">
      <x:c r="A54" s="13" t="str">
        <x:v>R03</x:v>
      </x:c>
      <x:c r="B54" s="13" t="str">
        <x:v>地中海与黑海</x:v>
      </x:c>
      <x:c r="C54" s="13" t="str">
        <x:v>染料</x:v>
      </x:c>
      <x:c r="D54" s="52" t="n">
        <x:v>1.18</x:v>
      </x:c>
      <x:c r="E54" s="13" t="str">
        <x:v>仅用于该港没有port_goods常设供货行的货品；有供货行时取该行local_price_factor，并保留本地生产或进口转口标识</x:v>
      </x:c>
      <x:c r="F54" s="13" t="str">
        <x:v>当地偏好与物资需求的原创设计基值</x:v>
      </x:c>
    </x:row>
    <x:row r="55" ht="42" customHeight="1">
      <x:c r="A55" s="15" t="str">
        <x:v>R03</x:v>
      </x:c>
      <x:c r="B55" s="15" t="str">
        <x:v>地中海与黑海</x:v>
      </x:c>
      <x:c r="C55" s="15" t="str">
        <x:v>奢侈品</x:v>
      </x:c>
      <x:c r="D55" s="54" t="n">
        <x:v>1.24</x:v>
      </x:c>
      <x:c r="E55" s="15" t="str">
        <x:v>仅用于该港没有port_goods常设供货行的货品；有供货行时取该行local_price_factor，并保留本地生产或进口转口标识</x:v>
      </x:c>
      <x:c r="F55" s="15" t="str">
        <x:v>当地偏好与物资需求的原创设计基值</x:v>
      </x:c>
    </x:row>
    <x:row r="56" ht="42" customHeight="1">
      <x:c r="A56" s="13" t="str">
        <x:v>R03</x:v>
      </x:c>
      <x:c r="B56" s="13" t="str">
        <x:v>地中海与黑海</x:v>
      </x:c>
      <x:c r="C56" s="13" t="str">
        <x:v>嗜好品</x:v>
      </x:c>
      <x:c r="D56" s="52" t="n">
        <x:v>1.3</x:v>
      </x:c>
      <x:c r="E56" s="13" t="str">
        <x:v>仅用于该港没有port_goods常设供货行的货品；有供货行时取该行local_price_factor，并保留本地生产或进口转口标识</x:v>
      </x:c>
      <x:c r="F56" s="13" t="str">
        <x:v>当地偏好与物资需求的原创设计基值</x:v>
      </x:c>
    </x:row>
    <x:row r="57" ht="42" customHeight="1">
      <x:c r="A57" s="15" t="str">
        <x:v>R04</x:v>
      </x:c>
      <x:c r="B57" s="15" t="str">
        <x:v>西非与大西洋群岛</x:v>
      </x:c>
      <x:c r="C57" s="15" t="str">
        <x:v>粮食</x:v>
      </x:c>
      <x:c r="D57" s="54" t="n">
        <x:v>1.06</x:v>
      </x:c>
      <x:c r="E57" s="15" t="str">
        <x:v>仅用于该港没有port_goods常设供货行的货品；有供货行时取该行local_price_factor，并保留本地生产或进口转口标识</x:v>
      </x:c>
      <x:c r="F57" s="15" t="str">
        <x:v>当地偏好与物资需求的原创设计基值</x:v>
      </x:c>
    </x:row>
    <x:row r="58" ht="42" customHeight="1">
      <x:c r="A58" s="13" t="str">
        <x:v>R04</x:v>
      </x:c>
      <x:c r="B58" s="13" t="str">
        <x:v>西非与大西洋群岛</x:v>
      </x:c>
      <x:c r="C58" s="13" t="str">
        <x:v>食品</x:v>
      </x:c>
      <x:c r="D58" s="52" t="n">
        <x:v>1.1</x:v>
      </x:c>
      <x:c r="E58" s="13" t="str">
        <x:v>仅用于该港没有port_goods常设供货行的货品；有供货行时取该行local_price_factor，并保留本地生产或进口转口标识</x:v>
      </x:c>
      <x:c r="F58" s="13" t="str">
        <x:v>当地偏好与物资需求的原创设计基值</x:v>
      </x:c>
    </x:row>
    <x:row r="59" ht="42" customHeight="1">
      <x:c r="A59" s="15" t="str">
        <x:v>R04</x:v>
      </x:c>
      <x:c r="B59" s="15" t="str">
        <x:v>西非与大西洋群岛</x:v>
      </x:c>
      <x:c r="C59" s="15" t="str">
        <x:v>酒类</x:v>
      </x:c>
      <x:c r="D59" s="54" t="n">
        <x:v>1.18</x:v>
      </x:c>
      <x:c r="E59" s="15" t="str">
        <x:v>仅用于该港没有port_goods常设供货行的货品；有供货行时取该行local_price_factor，并保留本地生产或进口转口标识</x:v>
      </x:c>
      <x:c r="F59" s="15" t="str">
        <x:v>当地偏好与物资需求的原创设计基值</x:v>
      </x:c>
    </x:row>
    <x:row r="60" ht="42" customHeight="1">
      <x:c r="A60" s="13" t="str">
        <x:v>R04</x:v>
      </x:c>
      <x:c r="B60" s="13" t="str">
        <x:v>西非与大西洋群岛</x:v>
      </x:c>
      <x:c r="C60" s="13" t="str">
        <x:v>纤维</x:v>
      </x:c>
      <x:c r="D60" s="52" t="n">
        <x:v>1.1</x:v>
      </x:c>
      <x:c r="E60" s="13" t="str">
        <x:v>仅用于该港没有port_goods常设供货行的货品；有供货行时取该行local_price_factor，并保留本地生产或进口转口标识</x:v>
      </x:c>
      <x:c r="F60" s="13" t="str">
        <x:v>当地偏好与物资需求的原创设计基值</x:v>
      </x:c>
    </x:row>
    <x:row r="61" ht="42" customHeight="1">
      <x:c r="A61" s="15" t="str">
        <x:v>R04</x:v>
      </x:c>
      <x:c r="B61" s="15" t="str">
        <x:v>西非与大西洋群岛</x:v>
      </x:c>
      <x:c r="C61" s="15" t="str">
        <x:v>织物</x:v>
      </x:c>
      <x:c r="D61" s="54" t="n">
        <x:v>1.28</x:v>
      </x:c>
      <x:c r="E61" s="15" t="str">
        <x:v>仅用于该港没有port_goods常设供货行的货品；有供货行时取该行local_price_factor，并保留本地生产或进口转口标识</x:v>
      </x:c>
      <x:c r="F61" s="15" t="str">
        <x:v>当地偏好与物资需求的原创设计基值</x:v>
      </x:c>
    </x:row>
    <x:row r="62" ht="42" customHeight="1">
      <x:c r="A62" s="13" t="str">
        <x:v>R04</x:v>
      </x:c>
      <x:c r="B62" s="13" t="str">
        <x:v>西非与大西洋群岛</x:v>
      </x:c>
      <x:c r="C62" s="13" t="str">
        <x:v>香辛料</x:v>
      </x:c>
      <x:c r="D62" s="52" t="n">
        <x:v>1.16</x:v>
      </x:c>
      <x:c r="E62" s="13" t="str">
        <x:v>仅用于该港没有port_goods常设供货行的货品；有供货行时取该行local_price_factor，并保留本地生产或进口转口标识</x:v>
      </x:c>
      <x:c r="F62" s="13" t="str">
        <x:v>当地偏好与物资需求的原创设计基值</x:v>
      </x:c>
    </x:row>
    <x:row r="63" ht="42" customHeight="1">
      <x:c r="A63" s="15" t="str">
        <x:v>R04</x:v>
      </x:c>
      <x:c r="B63" s="15" t="str">
        <x:v>西非与大西洋群岛</x:v>
      </x:c>
      <x:c r="C63" s="15" t="str">
        <x:v>香料</x:v>
      </x:c>
      <x:c r="D63" s="54" t="n">
        <x:v>1.18</x:v>
      </x:c>
      <x:c r="E63" s="15" t="str">
        <x:v>仅用于该港没有port_goods常设供货行的货品；有供货行时取该行local_price_factor，并保留本地生产或进口转口标识</x:v>
      </x:c>
      <x:c r="F63" s="15" t="str">
        <x:v>当地偏好与物资需求的原创设计基值</x:v>
      </x:c>
    </x:row>
    <x:row r="64" ht="42" customHeight="1">
      <x:c r="A64" s="13" t="str">
        <x:v>R04</x:v>
      </x:c>
      <x:c r="B64" s="13" t="str">
        <x:v>西非与大西洋群岛</x:v>
      </x:c>
      <x:c r="C64" s="13" t="str">
        <x:v>矿石</x:v>
      </x:c>
      <x:c r="D64" s="52" t="n">
        <x:v>1.05</x:v>
      </x:c>
      <x:c r="E64" s="13" t="str">
        <x:v>仅用于该港没有port_goods常设供货行的货品；有供货行时取该行local_price_factor，并保留本地生产或进口转口标识</x:v>
      </x:c>
      <x:c r="F64" s="13" t="str">
        <x:v>当地偏好与物资需求的原创设计基值</x:v>
      </x:c>
    </x:row>
    <x:row r="65" ht="42" customHeight="1">
      <x:c r="A65" s="15" t="str">
        <x:v>R04</x:v>
      </x:c>
      <x:c r="B65" s="15" t="str">
        <x:v>西非与大西洋群岛</x:v>
      </x:c>
      <x:c r="C65" s="15" t="str">
        <x:v>金属</x:v>
      </x:c>
      <x:c r="D65" s="54" t="n">
        <x:v>1.25</x:v>
      </x:c>
      <x:c r="E65" s="15" t="str">
        <x:v>仅用于该港没有port_goods常设供货行的货品；有供货行时取该行local_price_factor，并保留本地生产或进口转口标识</x:v>
      </x:c>
      <x:c r="F65" s="15" t="str">
        <x:v>当地偏好与物资需求的原创设计基值</x:v>
      </x:c>
    </x:row>
    <x:row r="66" ht="42" customHeight="1">
      <x:c r="A66" s="13" t="str">
        <x:v>R04</x:v>
      </x:c>
      <x:c r="B66" s="13" t="str">
        <x:v>西非与大西洋群岛</x:v>
      </x:c>
      <x:c r="C66" s="13" t="str">
        <x:v>木材</x:v>
      </x:c>
      <x:c r="D66" s="52" t="n">
        <x:v>1.04</x:v>
      </x:c>
      <x:c r="E66" s="13" t="str">
        <x:v>仅用于该港没有port_goods常设供货行的货品；有供货行时取该行local_price_factor，并保留本地生产或进口转口标识</x:v>
      </x:c>
      <x:c r="F66" s="13" t="str">
        <x:v>当地偏好与物资需求的原创设计基值</x:v>
      </x:c>
    </x:row>
    <x:row r="67" ht="42" customHeight="1">
      <x:c r="A67" s="15" t="str">
        <x:v>R04</x:v>
      </x:c>
      <x:c r="B67" s="15" t="str">
        <x:v>西非与大西洋群岛</x:v>
      </x:c>
      <x:c r="C67" s="15" t="str">
        <x:v>工业品</x:v>
      </x:c>
      <x:c r="D67" s="54" t="n">
        <x:v>1.45</x:v>
      </x:c>
      <x:c r="E67" s="15" t="str">
        <x:v>仅用于该港没有port_goods常设供货行的货品；有供货行时取该行local_price_factor，并保留本地生产或进口转口标识</x:v>
      </x:c>
      <x:c r="F67" s="15" t="str">
        <x:v>当地偏好与物资需求的原创设计基值</x:v>
      </x:c>
    </x:row>
    <x:row r="68" ht="42" customHeight="1">
      <x:c r="A68" s="13" t="str">
        <x:v>R04</x:v>
      </x:c>
      <x:c r="B68" s="13" t="str">
        <x:v>西非与大西洋群岛</x:v>
      </x:c>
      <x:c r="C68" s="13" t="str">
        <x:v>工艺品</x:v>
      </x:c>
      <x:c r="D68" s="52" t="n">
        <x:v>1.28</x:v>
      </x:c>
      <x:c r="E68" s="13" t="str">
        <x:v>仅用于该港没有port_goods常设供货行的货品；有供货行时取该行local_price_factor，并保留本地生产或进口转口标识</x:v>
      </x:c>
      <x:c r="F68" s="13" t="str">
        <x:v>当地偏好与物资需求的原创设计基值</x:v>
      </x:c>
    </x:row>
    <x:row r="69" ht="42" customHeight="1">
      <x:c r="A69" s="15" t="str">
        <x:v>R04</x:v>
      </x:c>
      <x:c r="B69" s="15" t="str">
        <x:v>西非与大西洋群岛</x:v>
      </x:c>
      <x:c r="C69" s="15" t="str">
        <x:v>宝石</x:v>
      </x:c>
      <x:c r="D69" s="54" t="n">
        <x:v>1.1</x:v>
      </x:c>
      <x:c r="E69" s="15" t="str">
        <x:v>仅用于该港没有port_goods常设供货行的货品；有供货行时取该行local_price_factor，并保留本地生产或进口转口标识</x:v>
      </x:c>
      <x:c r="F69" s="15" t="str">
        <x:v>当地偏好与物资需求的原创设计基值</x:v>
      </x:c>
    </x:row>
    <x:row r="70" ht="42" customHeight="1">
      <x:c r="A70" s="13" t="str">
        <x:v>R04</x:v>
      </x:c>
      <x:c r="B70" s="13" t="str">
        <x:v>西非与大西洋群岛</x:v>
      </x:c>
      <x:c r="C70" s="13" t="str">
        <x:v>药材</x:v>
      </x:c>
      <x:c r="D70" s="52" t="n">
        <x:v>1.2</x:v>
      </x:c>
      <x:c r="E70" s="13" t="str">
        <x:v>仅用于该港没有port_goods常设供货行的货品；有供货行时取该行local_price_factor，并保留本地生产或进口转口标识</x:v>
      </x:c>
      <x:c r="F70" s="13" t="str">
        <x:v>当地偏好与物资需求的原创设计基值</x:v>
      </x:c>
    </x:row>
    <x:row r="71" ht="42" customHeight="1">
      <x:c r="A71" s="15" t="str">
        <x:v>R04</x:v>
      </x:c>
      <x:c r="B71" s="15" t="str">
        <x:v>西非与大西洋群岛</x:v>
      </x:c>
      <x:c r="C71" s="15" t="str">
        <x:v>染料</x:v>
      </x:c>
      <x:c r="D71" s="54" t="n">
        <x:v>0.95</x:v>
      </x:c>
      <x:c r="E71" s="15" t="str">
        <x:v>仅用于该港没有port_goods常设供货行的货品；有供货行时取该行local_price_factor，并保留本地生产或进口转口标识</x:v>
      </x:c>
      <x:c r="F71" s="15" t="str">
        <x:v>当地偏好与物资需求的原创设计基值</x:v>
      </x:c>
    </x:row>
    <x:row r="72" ht="42" customHeight="1">
      <x:c r="A72" s="13" t="str">
        <x:v>R04</x:v>
      </x:c>
      <x:c r="B72" s="13" t="str">
        <x:v>西非与大西洋群岛</x:v>
      </x:c>
      <x:c r="C72" s="13" t="str">
        <x:v>奢侈品</x:v>
      </x:c>
      <x:c r="D72" s="52" t="n">
        <x:v>1.22</x:v>
      </x:c>
      <x:c r="E72" s="13" t="str">
        <x:v>仅用于该港没有port_goods常设供货行的货品；有供货行时取该行local_price_factor，并保留本地生产或进口转口标识</x:v>
      </x:c>
      <x:c r="F72" s="13" t="str">
        <x:v>当地偏好与物资需求的原创设计基值</x:v>
      </x:c>
    </x:row>
    <x:row r="73" ht="42" customHeight="1">
      <x:c r="A73" s="15" t="str">
        <x:v>R04</x:v>
      </x:c>
      <x:c r="B73" s="15" t="str">
        <x:v>西非与大西洋群岛</x:v>
      </x:c>
      <x:c r="C73" s="15" t="str">
        <x:v>嗜好品</x:v>
      </x:c>
      <x:c r="D73" s="54" t="n">
        <x:v>1.2</x:v>
      </x:c>
      <x:c r="E73" s="15" t="str">
        <x:v>仅用于该港没有port_goods常设供货行的货品；有供货行时取该行local_price_factor，并保留本地生产或进口转口标识</x:v>
      </x:c>
      <x:c r="F73" s="15" t="str">
        <x:v>当地偏好与物资需求的原创设计基值</x:v>
      </x:c>
    </x:row>
    <x:row r="74" ht="42" customHeight="1">
      <x:c r="A74" s="13" t="str">
        <x:v>R05</x:v>
      </x:c>
      <x:c r="B74" s="13" t="str">
        <x:v>东非与西印度洋</x:v>
      </x:c>
      <x:c r="C74" s="13" t="str">
        <x:v>粮食</x:v>
      </x:c>
      <x:c r="D74" s="52" t="n">
        <x:v>1.12</x:v>
      </x:c>
      <x:c r="E74" s="13" t="str">
        <x:v>仅用于该港没有port_goods常设供货行的货品；有供货行时取该行local_price_factor，并保留本地生产或进口转口标识</x:v>
      </x:c>
      <x:c r="F74" s="13" t="str">
        <x:v>当地偏好与物资需求的原创设计基值</x:v>
      </x:c>
    </x:row>
    <x:row r="75" ht="42" customHeight="1">
      <x:c r="A75" s="15" t="str">
        <x:v>R05</x:v>
      </x:c>
      <x:c r="B75" s="15" t="str">
        <x:v>东非与西印度洋</x:v>
      </x:c>
      <x:c r="C75" s="15" t="str">
        <x:v>食品</x:v>
      </x:c>
      <x:c r="D75" s="54" t="n">
        <x:v>1.02</x:v>
      </x:c>
      <x:c r="E75" s="15" t="str">
        <x:v>仅用于该港没有port_goods常设供货行的货品；有供货行时取该行local_price_factor，并保留本地生产或进口转口标识</x:v>
      </x:c>
      <x:c r="F75" s="15" t="str">
        <x:v>当地偏好与物资需求的原创设计基值</x:v>
      </x:c>
    </x:row>
    <x:row r="76" ht="42" customHeight="1">
      <x:c r="A76" s="13" t="str">
        <x:v>R05</x:v>
      </x:c>
      <x:c r="B76" s="13" t="str">
        <x:v>东非与西印度洋</x:v>
      </x:c>
      <x:c r="C76" s="13" t="str">
        <x:v>酒类</x:v>
      </x:c>
      <x:c r="D76" s="52" t="n">
        <x:v>1.15</x:v>
      </x:c>
      <x:c r="E76" s="13" t="str">
        <x:v>仅用于该港没有port_goods常设供货行的货品；有供货行时取该行local_price_factor，并保留本地生产或进口转口标识</x:v>
      </x:c>
      <x:c r="F76" s="13" t="str">
        <x:v>当地偏好与物资需求的原创设计基值</x:v>
      </x:c>
    </x:row>
    <x:row r="77" ht="42" customHeight="1">
      <x:c r="A77" s="15" t="str">
        <x:v>R05</x:v>
      </x:c>
      <x:c r="B77" s="15" t="str">
        <x:v>东非与西印度洋</x:v>
      </x:c>
      <x:c r="C77" s="15" t="str">
        <x:v>纤维</x:v>
      </x:c>
      <x:c r="D77" s="54" t="n">
        <x:v>1.16</x:v>
      </x:c>
      <x:c r="E77" s="15" t="str">
        <x:v>仅用于该港没有port_goods常设供货行的货品；有供货行时取该行local_price_factor，并保留本地生产或进口转口标识</x:v>
      </x:c>
      <x:c r="F77" s="15" t="str">
        <x:v>当地偏好与物资需求的原创设计基值</x:v>
      </x:c>
    </x:row>
    <x:row r="78" ht="42" customHeight="1">
      <x:c r="A78" s="13" t="str">
        <x:v>R05</x:v>
      </x:c>
      <x:c r="B78" s="13" t="str">
        <x:v>东非与西印度洋</x:v>
      </x:c>
      <x:c r="C78" s="13" t="str">
        <x:v>织物</x:v>
      </x:c>
      <x:c r="D78" s="52" t="n">
        <x:v>1.22</x:v>
      </x:c>
      <x:c r="E78" s="13" t="str">
        <x:v>仅用于该港没有port_goods常设供货行的货品；有供货行时取该行local_price_factor，并保留本地生产或进口转口标识</x:v>
      </x:c>
      <x:c r="F78" s="13" t="str">
        <x:v>当地偏好与物资需求的原创设计基值</x:v>
      </x:c>
    </x:row>
    <x:row r="79" ht="42" customHeight="1">
      <x:c r="A79" s="15" t="str">
        <x:v>R05</x:v>
      </x:c>
      <x:c r="B79" s="15" t="str">
        <x:v>东非与西印度洋</x:v>
      </x:c>
      <x:c r="C79" s="15" t="str">
        <x:v>香辛料</x:v>
      </x:c>
      <x:c r="D79" s="54" t="n">
        <x:v>1.14</x:v>
      </x:c>
      <x:c r="E79" s="15" t="str">
        <x:v>仅用于该港没有port_goods常设供货行的货品；有供货行时取该行local_price_factor，并保留本地生产或进口转口标识</x:v>
      </x:c>
      <x:c r="F79" s="15" t="str">
        <x:v>当地偏好与物资需求的原创设计基值</x:v>
      </x:c>
    </x:row>
    <x:row r="80" ht="42" customHeight="1">
      <x:c r="A80" s="13" t="str">
        <x:v>R05</x:v>
      </x:c>
      <x:c r="B80" s="13" t="str">
        <x:v>东非与西印度洋</x:v>
      </x:c>
      <x:c r="C80" s="13" t="str">
        <x:v>香料</x:v>
      </x:c>
      <x:c r="D80" s="52" t="n">
        <x:v>1.1</x:v>
      </x:c>
      <x:c r="E80" s="13" t="str">
        <x:v>仅用于该港没有port_goods常设供货行的货品；有供货行时取该行local_price_factor，并保留本地生产或进口转口标识</x:v>
      </x:c>
      <x:c r="F80" s="13" t="str">
        <x:v>当地偏好与物资需求的原创设计基值</x:v>
      </x:c>
    </x:row>
    <x:row r="81" ht="42" customHeight="1">
      <x:c r="A81" s="15" t="str">
        <x:v>R05</x:v>
      </x:c>
      <x:c r="B81" s="15" t="str">
        <x:v>东非与西印度洋</x:v>
      </x:c>
      <x:c r="C81" s="15" t="str">
        <x:v>矿石</x:v>
      </x:c>
      <x:c r="D81" s="54" t="n">
        <x:v>1.12</x:v>
      </x:c>
      <x:c r="E81" s="15" t="str">
        <x:v>仅用于该港没有port_goods常设供货行的货品；有供货行时取该行local_price_factor，并保留本地生产或进口转口标识</x:v>
      </x:c>
      <x:c r="F81" s="15" t="str">
        <x:v>当地偏好与物资需求的原创设计基值</x:v>
      </x:c>
    </x:row>
    <x:row r="82" ht="42" customHeight="1">
      <x:c r="A82" s="13" t="str">
        <x:v>R05</x:v>
      </x:c>
      <x:c r="B82" s="13" t="str">
        <x:v>东非与西印度洋</x:v>
      </x:c>
      <x:c r="C82" s="13" t="str">
        <x:v>金属</x:v>
      </x:c>
      <x:c r="D82" s="52" t="n">
        <x:v>1.24</x:v>
      </x:c>
      <x:c r="E82" s="13" t="str">
        <x:v>仅用于该港没有port_goods常设供货行的货品；有供货行时取该行local_price_factor，并保留本地生产或进口转口标识</x:v>
      </x:c>
      <x:c r="F82" s="13" t="str">
        <x:v>当地偏好与物资需求的原创设计基值</x:v>
      </x:c>
    </x:row>
    <x:row r="83" ht="42" customHeight="1">
      <x:c r="A83" s="15" t="str">
        <x:v>R05</x:v>
      </x:c>
      <x:c r="B83" s="15" t="str">
        <x:v>东非与西印度洋</x:v>
      </x:c>
      <x:c r="C83" s="15" t="str">
        <x:v>木材</x:v>
      </x:c>
      <x:c r="D83" s="54" t="n">
        <x:v>1.02</x:v>
      </x:c>
      <x:c r="E83" s="15" t="str">
        <x:v>仅用于该港没有port_goods常设供货行的货品；有供货行时取该行local_price_factor，并保留本地生产或进口转口标识</x:v>
      </x:c>
      <x:c r="F83" s="15" t="str">
        <x:v>当地偏好与物资需求的原创设计基值</x:v>
      </x:c>
    </x:row>
    <x:row r="84" ht="42" customHeight="1">
      <x:c r="A84" s="13" t="str">
        <x:v>R05</x:v>
      </x:c>
      <x:c r="B84" s="13" t="str">
        <x:v>东非与西印度洋</x:v>
      </x:c>
      <x:c r="C84" s="13" t="str">
        <x:v>工业品</x:v>
      </x:c>
      <x:c r="D84" s="52" t="n">
        <x:v>1.34</x:v>
      </x:c>
      <x:c r="E84" s="13" t="str">
        <x:v>仅用于该港没有port_goods常设供货行的货品；有供货行时取该行local_price_factor，并保留本地生产或进口转口标识</x:v>
      </x:c>
      <x:c r="F84" s="13" t="str">
        <x:v>当地偏好与物资需求的原创设计基值</x:v>
      </x:c>
    </x:row>
    <x:row r="85" ht="42" customHeight="1">
      <x:c r="A85" s="15" t="str">
        <x:v>R05</x:v>
      </x:c>
      <x:c r="B85" s="15" t="str">
        <x:v>东非与西印度洋</x:v>
      </x:c>
      <x:c r="C85" s="15" t="str">
        <x:v>工艺品</x:v>
      </x:c>
      <x:c r="D85" s="54" t="n">
        <x:v>1.26</x:v>
      </x:c>
      <x:c r="E85" s="15" t="str">
        <x:v>仅用于该港没有port_goods常设供货行的货品；有供货行时取该行local_price_factor，并保留本地生产或进口转口标识</x:v>
      </x:c>
      <x:c r="F85" s="15" t="str">
        <x:v>当地偏好与物资需求的原创设计基值</x:v>
      </x:c>
    </x:row>
    <x:row r="86" ht="42" customHeight="1">
      <x:c r="A86" s="13" t="str">
        <x:v>R05</x:v>
      </x:c>
      <x:c r="B86" s="13" t="str">
        <x:v>东非与西印度洋</x:v>
      </x:c>
      <x:c r="C86" s="13" t="str">
        <x:v>宝石</x:v>
      </x:c>
      <x:c r="D86" s="52" t="n">
        <x:v>1.08</x:v>
      </x:c>
      <x:c r="E86" s="13" t="str">
        <x:v>仅用于该港没有port_goods常设供货行的货品；有供货行时取该行local_price_factor，并保留本地生产或进口转口标识</x:v>
      </x:c>
      <x:c r="F86" s="13" t="str">
        <x:v>当地偏好与物资需求的原创设计基值</x:v>
      </x:c>
    </x:row>
    <x:row r="87" ht="42" customHeight="1">
      <x:c r="A87" s="15" t="str">
        <x:v>R05</x:v>
      </x:c>
      <x:c r="B87" s="15" t="str">
        <x:v>东非与西印度洋</x:v>
      </x:c>
      <x:c r="C87" s="15" t="str">
        <x:v>药材</x:v>
      </x:c>
      <x:c r="D87" s="54" t="n">
        <x:v>1.18</x:v>
      </x:c>
      <x:c r="E87" s="15" t="str">
        <x:v>仅用于该港没有port_goods常设供货行的货品；有供货行时取该行local_price_factor，并保留本地生产或进口转口标识</x:v>
      </x:c>
      <x:c r="F87" s="15" t="str">
        <x:v>当地偏好与物资需求的原创设计基值</x:v>
      </x:c>
    </x:row>
    <x:row r="88" ht="42" customHeight="1">
      <x:c r="A88" s="13" t="str">
        <x:v>R05</x:v>
      </x:c>
      <x:c r="B88" s="13" t="str">
        <x:v>东非与西印度洋</x:v>
      </x:c>
      <x:c r="C88" s="13" t="str">
        <x:v>染料</x:v>
      </x:c>
      <x:c r="D88" s="52" t="n">
        <x:v>1.12</x:v>
      </x:c>
      <x:c r="E88" s="13" t="str">
        <x:v>仅用于该港没有port_goods常设供货行的货品；有供货行时取该行local_price_factor，并保留本地生产或进口转口标识</x:v>
      </x:c>
      <x:c r="F88" s="13" t="str">
        <x:v>当地偏好与物资需求的原创设计基值</x:v>
      </x:c>
    </x:row>
    <x:row r="89" ht="42" customHeight="1">
      <x:c r="A89" s="15" t="str">
        <x:v>R05</x:v>
      </x:c>
      <x:c r="B89" s="15" t="str">
        <x:v>东非与西印度洋</x:v>
      </x:c>
      <x:c r="C89" s="15" t="str">
        <x:v>奢侈品</x:v>
      </x:c>
      <x:c r="D89" s="54" t="n">
        <x:v>1.18</x:v>
      </x:c>
      <x:c r="E89" s="15" t="str">
        <x:v>仅用于该港没有port_goods常设供货行的货品；有供货行时取该行local_price_factor，并保留本地生产或进口转口标识</x:v>
      </x:c>
      <x:c r="F89" s="15" t="str">
        <x:v>当地偏好与物资需求的原创设计基值</x:v>
      </x:c>
    </x:row>
    <x:row r="90" ht="42" customHeight="1">
      <x:c r="A90" s="13" t="str">
        <x:v>R05</x:v>
      </x:c>
      <x:c r="B90" s="13" t="str">
        <x:v>东非与西印度洋</x:v>
      </x:c>
      <x:c r="C90" s="13" t="str">
        <x:v>嗜好品</x:v>
      </x:c>
      <x:c r="D90" s="52" t="n">
        <x:v>1.18</x:v>
      </x:c>
      <x:c r="E90" s="13" t="str">
        <x:v>仅用于该港没有port_goods常设供货行的货品；有供货行时取该行local_price_factor，并保留本地生产或进口转口标识</x:v>
      </x:c>
      <x:c r="F90" s="13" t="str">
        <x:v>当地偏好与物资需求的原创设计基值</x:v>
      </x:c>
    </x:row>
    <x:row r="91" ht="42" customHeight="1">
      <x:c r="A91" s="15" t="str">
        <x:v>R06</x:v>
      </x:c>
      <x:c r="B91" s="15" t="str">
        <x:v>红海与波斯湾</x:v>
      </x:c>
      <x:c r="C91" s="15" t="str">
        <x:v>粮食</x:v>
      </x:c>
      <x:c r="D91" s="54" t="n">
        <x:v>1.35</x:v>
      </x:c>
      <x:c r="E91" s="15" t="str">
        <x:v>仅用于该港没有port_goods常设供货行的货品；有供货行时取该行local_price_factor，并保留本地生产或进口转口标识</x:v>
      </x:c>
      <x:c r="F91" s="15" t="str">
        <x:v>当地偏好与物资需求的原创设计基值</x:v>
      </x:c>
    </x:row>
    <x:row r="92" ht="42" customHeight="1">
      <x:c r="A92" s="13" t="str">
        <x:v>R06</x:v>
      </x:c>
      <x:c r="B92" s="13" t="str">
        <x:v>红海与波斯湾</x:v>
      </x:c>
      <x:c r="C92" s="13" t="str">
        <x:v>食品</x:v>
      </x:c>
      <x:c r="D92" s="52" t="n">
        <x:v>1.22</x:v>
      </x:c>
      <x:c r="E92" s="13" t="str">
        <x:v>仅用于该港没有port_goods常设供货行的货品；有供货行时取该行local_price_factor，并保留本地生产或进口转口标识</x:v>
      </x:c>
      <x:c r="F92" s="13" t="str">
        <x:v>当地偏好与物资需求的原创设计基值</x:v>
      </x:c>
    </x:row>
    <x:row r="93" ht="42" customHeight="1">
      <x:c r="A93" s="15" t="str">
        <x:v>R06</x:v>
      </x:c>
      <x:c r="B93" s="15" t="str">
        <x:v>红海与波斯湾</x:v>
      </x:c>
      <x:c r="C93" s="15" t="str">
        <x:v>酒类</x:v>
      </x:c>
      <x:c r="D93" s="54" t="n">
        <x:v>1</x:v>
      </x:c>
      <x:c r="E93" s="15" t="str">
        <x:v>仅用于该港没有port_goods常设供货行的货品；有供货行时取该行local_price_factor，并保留本地生产或进口转口标识</x:v>
      </x:c>
      <x:c r="F93" s="15" t="str">
        <x:v>当地偏好与物资需求的原创设计基值</x:v>
      </x:c>
    </x:row>
    <x:row r="94" ht="42" customHeight="1">
      <x:c r="A94" s="13" t="str">
        <x:v>R06</x:v>
      </x:c>
      <x:c r="B94" s="13" t="str">
        <x:v>红海与波斯湾</x:v>
      </x:c>
      <x:c r="C94" s="13" t="str">
        <x:v>纤维</x:v>
      </x:c>
      <x:c r="D94" s="52" t="n">
        <x:v>1.22</x:v>
      </x:c>
      <x:c r="E94" s="13" t="str">
        <x:v>仅用于该港没有port_goods常设供货行的货品；有供货行时取该行local_price_factor，并保留本地生产或进口转口标识</x:v>
      </x:c>
      <x:c r="F94" s="13" t="str">
        <x:v>当地偏好与物资需求的原创设计基值</x:v>
      </x:c>
    </x:row>
    <x:row r="95" ht="42" customHeight="1">
      <x:c r="A95" s="15" t="str">
        <x:v>R06</x:v>
      </x:c>
      <x:c r="B95" s="15" t="str">
        <x:v>红海与波斯湾</x:v>
      </x:c>
      <x:c r="C95" s="15" t="str">
        <x:v>织物</x:v>
      </x:c>
      <x:c r="D95" s="54" t="n">
        <x:v>1.16</x:v>
      </x:c>
      <x:c r="E95" s="15" t="str">
        <x:v>仅用于该港没有port_goods常设供货行的货品；有供货行时取该行local_price_factor，并保留本地生产或进口转口标识</x:v>
      </x:c>
      <x:c r="F95" s="15" t="str">
        <x:v>当地偏好与物资需求的原创设计基值</x:v>
      </x:c>
    </x:row>
    <x:row r="96" ht="42" customHeight="1">
      <x:c r="A96" s="13" t="str">
        <x:v>R06</x:v>
      </x:c>
      <x:c r="B96" s="13" t="str">
        <x:v>红海与波斯湾</x:v>
      </x:c>
      <x:c r="C96" s="13" t="str">
        <x:v>香辛料</x:v>
      </x:c>
      <x:c r="D96" s="52" t="n">
        <x:v>1.12</x:v>
      </x:c>
      <x:c r="E96" s="13" t="str">
        <x:v>仅用于该港没有port_goods常设供货行的货品；有供货行时取该行local_price_factor，并保留本地生产或进口转口标识</x:v>
      </x:c>
      <x:c r="F96" s="13" t="str">
        <x:v>当地偏好与物资需求的原创设计基值</x:v>
      </x:c>
    </x:row>
    <x:row r="97" ht="42" customHeight="1">
      <x:c r="A97" s="15" t="str">
        <x:v>R06</x:v>
      </x:c>
      <x:c r="B97" s="15" t="str">
        <x:v>红海与波斯湾</x:v>
      </x:c>
      <x:c r="C97" s="15" t="str">
        <x:v>香料</x:v>
      </x:c>
      <x:c r="D97" s="54" t="n">
        <x:v>0.9</x:v>
      </x:c>
      <x:c r="E97" s="15" t="str">
        <x:v>仅用于该港没有port_goods常设供货行的货品；有供货行时取该行local_price_factor，并保留本地生产或进口转口标识</x:v>
      </x:c>
      <x:c r="F97" s="15" t="str">
        <x:v>当地偏好与物资需求的原创设计基值</x:v>
      </x:c>
    </x:row>
    <x:row r="98" ht="42" customHeight="1">
      <x:c r="A98" s="13" t="str">
        <x:v>R06</x:v>
      </x:c>
      <x:c r="B98" s="13" t="str">
        <x:v>红海与波斯湾</x:v>
      </x:c>
      <x:c r="C98" s="13" t="str">
        <x:v>矿石</x:v>
      </x:c>
      <x:c r="D98" s="52" t="n">
        <x:v>1.2</x:v>
      </x:c>
      <x:c r="E98" s="13" t="str">
        <x:v>仅用于该港没有port_goods常设供货行的货品；有供货行时取该行local_price_factor，并保留本地生产或进口转口标识</x:v>
      </x:c>
      <x:c r="F98" s="13" t="str">
        <x:v>当地偏好与物资需求的原创设计基值</x:v>
      </x:c>
    </x:row>
    <x:row r="99" ht="42" customHeight="1">
      <x:c r="A99" s="15" t="str">
        <x:v>R06</x:v>
      </x:c>
      <x:c r="B99" s="15" t="str">
        <x:v>红海与波斯湾</x:v>
      </x:c>
      <x:c r="C99" s="15" t="str">
        <x:v>金属</x:v>
      </x:c>
      <x:c r="D99" s="54" t="n">
        <x:v>1.24</x:v>
      </x:c>
      <x:c r="E99" s="15" t="str">
        <x:v>仅用于该港没有port_goods常设供货行的货品；有供货行时取该行local_price_factor，并保留本地生产或进口转口标识</x:v>
      </x:c>
      <x:c r="F99" s="15" t="str">
        <x:v>当地偏好与物资需求的原创设计基值</x:v>
      </x:c>
    </x:row>
    <x:row r="100" ht="42" customHeight="1">
      <x:c r="A100" s="13" t="str">
        <x:v>R06</x:v>
      </x:c>
      <x:c r="B100" s="13" t="str">
        <x:v>红海与波斯湾</x:v>
      </x:c>
      <x:c r="C100" s="13" t="str">
        <x:v>木材</x:v>
      </x:c>
      <x:c r="D100" s="52" t="n">
        <x:v>1.42</x:v>
      </x:c>
      <x:c r="E100" s="13" t="str">
        <x:v>仅用于该港没有port_goods常设供货行的货品；有供货行时取该行local_price_factor，并保留本地生产或进口转口标识</x:v>
      </x:c>
      <x:c r="F100" s="13" t="str">
        <x:v>当地偏好与物资需求的原创设计基值</x:v>
      </x:c>
    </x:row>
    <x:row r="101" ht="42" customHeight="1">
      <x:c r="A101" s="15" t="str">
        <x:v>R06</x:v>
      </x:c>
      <x:c r="B101" s="15" t="str">
        <x:v>红海与波斯湾</x:v>
      </x:c>
      <x:c r="C101" s="15" t="str">
        <x:v>工业品</x:v>
      </x:c>
      <x:c r="D101" s="54" t="n">
        <x:v>1.22</x:v>
      </x:c>
      <x:c r="E101" s="15" t="str">
        <x:v>仅用于该港没有port_goods常设供货行的货品；有供货行时取该行local_price_factor，并保留本地生产或进口转口标识</x:v>
      </x:c>
      <x:c r="F101" s="15" t="str">
        <x:v>当地偏好与物资需求的原创设计基值</x:v>
      </x:c>
    </x:row>
    <x:row r="102" ht="42" customHeight="1">
      <x:c r="A102" s="13" t="str">
        <x:v>R06</x:v>
      </x:c>
      <x:c r="B102" s="13" t="str">
        <x:v>红海与波斯湾</x:v>
      </x:c>
      <x:c r="C102" s="13" t="str">
        <x:v>工艺品</x:v>
      </x:c>
      <x:c r="D102" s="52" t="n">
        <x:v>1.22</x:v>
      </x:c>
      <x:c r="E102" s="13" t="str">
        <x:v>仅用于该港没有port_goods常设供货行的货品；有供货行时取该行local_price_factor，并保留本地生产或进口转口标识</x:v>
      </x:c>
      <x:c r="F102" s="13" t="str">
        <x:v>当地偏好与物资需求的原创设计基值</x:v>
      </x:c>
    </x:row>
    <x:row r="103" ht="42" customHeight="1">
      <x:c r="A103" s="15" t="str">
        <x:v>R06</x:v>
      </x:c>
      <x:c r="B103" s="15" t="str">
        <x:v>红海与波斯湾</x:v>
      </x:c>
      <x:c r="C103" s="15" t="str">
        <x:v>宝石</x:v>
      </x:c>
      <x:c r="D103" s="54" t="n">
        <x:v>1.15</x:v>
      </x:c>
      <x:c r="E103" s="15" t="str">
        <x:v>仅用于该港没有port_goods常设供货行的货品；有供货行时取该行local_price_factor，并保留本地生产或进口转口标识</x:v>
      </x:c>
      <x:c r="F103" s="15" t="str">
        <x:v>当地偏好与物资需求的原创设计基值</x:v>
      </x:c>
    </x:row>
    <x:row r="104" ht="42" customHeight="1">
      <x:c r="A104" s="13" t="str">
        <x:v>R06</x:v>
      </x:c>
      <x:c r="B104" s="13" t="str">
        <x:v>红海与波斯湾</x:v>
      </x:c>
      <x:c r="C104" s="13" t="str">
        <x:v>药材</x:v>
      </x:c>
      <x:c r="D104" s="52" t="n">
        <x:v>1.18</x:v>
      </x:c>
      <x:c r="E104" s="13" t="str">
        <x:v>仅用于该港没有port_goods常设供货行的货品；有供货行时取该行local_price_factor，并保留本地生产或进口转口标识</x:v>
      </x:c>
      <x:c r="F104" s="13" t="str">
        <x:v>当地偏好与物资需求的原创设计基值</x:v>
      </x:c>
    </x:row>
    <x:row r="105" ht="42" customHeight="1">
      <x:c r="A105" s="15" t="str">
        <x:v>R06</x:v>
      </x:c>
      <x:c r="B105" s="15" t="str">
        <x:v>红海与波斯湾</x:v>
      </x:c>
      <x:c r="C105" s="15" t="str">
        <x:v>染料</x:v>
      </x:c>
      <x:c r="D105" s="54" t="n">
        <x:v>1.15</x:v>
      </x:c>
      <x:c r="E105" s="15" t="str">
        <x:v>仅用于该港没有port_goods常设供货行的货品；有供货行时取该行local_price_factor，并保留本地生产或进口转口标识</x:v>
      </x:c>
      <x:c r="F105" s="15" t="str">
        <x:v>当地偏好与物资需求的原创设计基值</x:v>
      </x:c>
    </x:row>
    <x:row r="106" ht="42" customHeight="1">
      <x:c r="A106" s="13" t="str">
        <x:v>R06</x:v>
      </x:c>
      <x:c r="B106" s="13" t="str">
        <x:v>红海与波斯湾</x:v>
      </x:c>
      <x:c r="C106" s="13" t="str">
        <x:v>奢侈品</x:v>
      </x:c>
      <x:c r="D106" s="52" t="n">
        <x:v>1.26</x:v>
      </x:c>
      <x:c r="E106" s="13" t="str">
        <x:v>仅用于该港没有port_goods常设供货行的货品；有供货行时取该行local_price_factor，并保留本地生产或进口转口标识</x:v>
      </x:c>
      <x:c r="F106" s="13" t="str">
        <x:v>当地偏好与物资需求的原创设计基值</x:v>
      </x:c>
    </x:row>
    <x:row r="107" ht="42" customHeight="1">
      <x:c r="A107" s="15" t="str">
        <x:v>R06</x:v>
      </x:c>
      <x:c r="B107" s="15" t="str">
        <x:v>红海与波斯湾</x:v>
      </x:c>
      <x:c r="C107" s="15" t="str">
        <x:v>嗜好品</x:v>
      </x:c>
      <x:c r="D107" s="54" t="n">
        <x:v>1.1</x:v>
      </x:c>
      <x:c r="E107" s="15" t="str">
        <x:v>仅用于该港没有port_goods常设供货行的货品；有供货行时取该行local_price_factor，并保留本地生产或进口转口标识</x:v>
      </x:c>
      <x:c r="F107" s="15" t="str">
        <x:v>当地偏好与物资需求的原创设计基值</x:v>
      </x:c>
    </x:row>
    <x:row r="108" ht="42" customHeight="1">
      <x:c r="A108" s="13" t="str">
        <x:v>R07</x:v>
      </x:c>
      <x:c r="B108" s="13" t="str">
        <x:v>印度与孟加拉湾</x:v>
      </x:c>
      <x:c r="C108" s="13" t="str">
        <x:v>粮食</x:v>
      </x:c>
      <x:c r="D108" s="52" t="n">
        <x:v>0.92</x:v>
      </x:c>
      <x:c r="E108" s="13" t="str">
        <x:v>仅用于该港没有port_goods常设供货行的货品；有供货行时取该行local_price_factor，并保留本地生产或进口转口标识</x:v>
      </x:c>
      <x:c r="F108" s="13" t="str">
        <x:v>当地偏好与物资需求的原创设计基值</x:v>
      </x:c>
    </x:row>
    <x:row r="109" ht="42" customHeight="1">
      <x:c r="A109" s="15" t="str">
        <x:v>R07</x:v>
      </x:c>
      <x:c r="B109" s="15" t="str">
        <x:v>印度与孟加拉湾</x:v>
      </x:c>
      <x:c r="C109" s="15" t="str">
        <x:v>食品</x:v>
      </x:c>
      <x:c r="D109" s="54" t="n">
        <x:v>0.95</x:v>
      </x:c>
      <x:c r="E109" s="15" t="str">
        <x:v>仅用于该港没有port_goods常设供货行的货品；有供货行时取该行local_price_factor，并保留本地生产或进口转口标识</x:v>
      </x:c>
      <x:c r="F109" s="15" t="str">
        <x:v>当地偏好与物资需求的原创设计基值</x:v>
      </x:c>
    </x:row>
    <x:row r="110" ht="42" customHeight="1">
      <x:c r="A110" s="13" t="str">
        <x:v>R07</x:v>
      </x:c>
      <x:c r="B110" s="13" t="str">
        <x:v>印度与孟加拉湾</x:v>
      </x:c>
      <x:c r="C110" s="13" t="str">
        <x:v>酒类</x:v>
      </x:c>
      <x:c r="D110" s="52" t="n">
        <x:v>1.22</x:v>
      </x:c>
      <x:c r="E110" s="13" t="str">
        <x:v>仅用于该港没有port_goods常设供货行的货品；有供货行时取该行local_price_factor，并保留本地生产或进口转口标识</x:v>
      </x:c>
      <x:c r="F110" s="13" t="str">
        <x:v>当地偏好与物资需求的原创设计基值</x:v>
      </x:c>
    </x:row>
    <x:row r="111" ht="42" customHeight="1">
      <x:c r="A111" s="15" t="str">
        <x:v>R07</x:v>
      </x:c>
      <x:c r="B111" s="15" t="str">
        <x:v>印度与孟加拉湾</x:v>
      </x:c>
      <x:c r="C111" s="15" t="str">
        <x:v>纤维</x:v>
      </x:c>
      <x:c r="D111" s="54" t="n">
        <x:v>0.9</x:v>
      </x:c>
      <x:c r="E111" s="15" t="str">
        <x:v>仅用于该港没有port_goods常设供货行的货品；有供货行时取该行local_price_factor，并保留本地生产或进口转口标识</x:v>
      </x:c>
      <x:c r="F111" s="15" t="str">
        <x:v>当地偏好与物资需求的原创设计基值</x:v>
      </x:c>
    </x:row>
    <x:row r="112" ht="42" customHeight="1">
      <x:c r="A112" s="13" t="str">
        <x:v>R07</x:v>
      </x:c>
      <x:c r="B112" s="13" t="str">
        <x:v>印度与孟加拉湾</x:v>
      </x:c>
      <x:c r="C112" s="13" t="str">
        <x:v>织物</x:v>
      </x:c>
      <x:c r="D112" s="52" t="n">
        <x:v>0.88</x:v>
      </x:c>
      <x:c r="E112" s="13" t="str">
        <x:v>仅用于该港没有port_goods常设供货行的货品；有供货行时取该行local_price_factor，并保留本地生产或进口转口标识</x:v>
      </x:c>
      <x:c r="F112" s="13" t="str">
        <x:v>当地偏好与物资需求的原创设计基值</x:v>
      </x:c>
    </x:row>
    <x:row r="113" ht="42" customHeight="1">
      <x:c r="A113" s="15" t="str">
        <x:v>R07</x:v>
      </x:c>
      <x:c r="B113" s="15" t="str">
        <x:v>印度与孟加拉湾</x:v>
      </x:c>
      <x:c r="C113" s="15" t="str">
        <x:v>香辛料</x:v>
      </x:c>
      <x:c r="D113" s="54" t="n">
        <x:v>0.94</x:v>
      </x:c>
      <x:c r="E113" s="15" t="str">
        <x:v>仅用于该港没有port_goods常设供货行的货品；有供货行时取该行local_price_factor，并保留本地生产或进口转口标识</x:v>
      </x:c>
      <x:c r="F113" s="15" t="str">
        <x:v>当地偏好与物资需求的原创设计基值</x:v>
      </x:c>
    </x:row>
    <x:row r="114" ht="42" customHeight="1">
      <x:c r="A114" s="13" t="str">
        <x:v>R07</x:v>
      </x:c>
      <x:c r="B114" s="13" t="str">
        <x:v>印度与孟加拉湾</x:v>
      </x:c>
      <x:c r="C114" s="13" t="str">
        <x:v>香料</x:v>
      </x:c>
      <x:c r="D114" s="52" t="n">
        <x:v>1.08</x:v>
      </x:c>
      <x:c r="E114" s="13" t="str">
        <x:v>仅用于该港没有port_goods常设供货行的货品；有供货行时取该行local_price_factor，并保留本地生产或进口转口标识</x:v>
      </x:c>
      <x:c r="F114" s="13" t="str">
        <x:v>当地偏好与物资需求的原创设计基值</x:v>
      </x:c>
    </x:row>
    <x:row r="115" ht="42" customHeight="1">
      <x:c r="A115" s="15" t="str">
        <x:v>R07</x:v>
      </x:c>
      <x:c r="B115" s="15" t="str">
        <x:v>印度与孟加拉湾</x:v>
      </x:c>
      <x:c r="C115" s="15" t="str">
        <x:v>矿石</x:v>
      </x:c>
      <x:c r="D115" s="54" t="n">
        <x:v>1.12</x:v>
      </x:c>
      <x:c r="E115" s="15" t="str">
        <x:v>仅用于该港没有port_goods常设供货行的货品；有供货行时取该行local_price_factor，并保留本地生产或进口转口标识</x:v>
      </x:c>
      <x:c r="F115" s="15" t="str">
        <x:v>当地偏好与物资需求的原创设计基值</x:v>
      </x:c>
    </x:row>
    <x:row r="116" ht="42" customHeight="1">
      <x:c r="A116" s="13" t="str">
        <x:v>R07</x:v>
      </x:c>
      <x:c r="B116" s="13" t="str">
        <x:v>印度与孟加拉湾</x:v>
      </x:c>
      <x:c r="C116" s="13" t="str">
        <x:v>金属</x:v>
      </x:c>
      <x:c r="D116" s="52" t="n">
        <x:v>1.22</x:v>
      </x:c>
      <x:c r="E116" s="13" t="str">
        <x:v>仅用于该港没有port_goods常设供货行的货品；有供货行时取该行local_price_factor，并保留本地生产或进口转口标识</x:v>
      </x:c>
      <x:c r="F116" s="13" t="str">
        <x:v>当地偏好与物资需求的原创设计基值</x:v>
      </x:c>
    </x:row>
    <x:row r="117" ht="42" customHeight="1">
      <x:c r="A117" s="15" t="str">
        <x:v>R07</x:v>
      </x:c>
      <x:c r="B117" s="15" t="str">
        <x:v>印度与孟加拉湾</x:v>
      </x:c>
      <x:c r="C117" s="15" t="str">
        <x:v>木材</x:v>
      </x:c>
      <x:c r="D117" s="54" t="n">
        <x:v>1.1</x:v>
      </x:c>
      <x:c r="E117" s="15" t="str">
        <x:v>仅用于该港没有port_goods常设供货行的货品；有供货行时取该行local_price_factor，并保留本地生产或进口转口标识</x:v>
      </x:c>
      <x:c r="F117" s="15" t="str">
        <x:v>当地偏好与物资需求的原创设计基值</x:v>
      </x:c>
    </x:row>
    <x:row r="118" ht="42" customHeight="1">
      <x:c r="A118" s="13" t="str">
        <x:v>R07</x:v>
      </x:c>
      <x:c r="B118" s="13" t="str">
        <x:v>印度与孟加拉湾</x:v>
      </x:c>
      <x:c r="C118" s="13" t="str">
        <x:v>工业品</x:v>
      </x:c>
      <x:c r="D118" s="52" t="n">
        <x:v>1.28</x:v>
      </x:c>
      <x:c r="E118" s="13" t="str">
        <x:v>仅用于该港没有port_goods常设供货行的货品；有供货行时取该行local_price_factor，并保留本地生产或进口转口标识</x:v>
      </x:c>
      <x:c r="F118" s="13" t="str">
        <x:v>当地偏好与物资需求的原创设计基值</x:v>
      </x:c>
    </x:row>
    <x:row r="119" ht="42" customHeight="1">
      <x:c r="A119" s="15" t="str">
        <x:v>R07</x:v>
      </x:c>
      <x:c r="B119" s="15" t="str">
        <x:v>印度与孟加拉湾</x:v>
      </x:c>
      <x:c r="C119" s="15" t="str">
        <x:v>工艺品</x:v>
      </x:c>
      <x:c r="D119" s="54" t="n">
        <x:v>1.2</x:v>
      </x:c>
      <x:c r="E119" s="15" t="str">
        <x:v>仅用于该港没有port_goods常设供货行的货品；有供货行时取该行local_price_factor，并保留本地生产或进口转口标识</x:v>
      </x:c>
      <x:c r="F119" s="15" t="str">
        <x:v>当地偏好与物资需求的原创设计基值</x:v>
      </x:c>
    </x:row>
    <x:row r="120" ht="42" customHeight="1">
      <x:c r="A120" s="13" t="str">
        <x:v>R07</x:v>
      </x:c>
      <x:c r="B120" s="13" t="str">
        <x:v>印度与孟加拉湾</x:v>
      </x:c>
      <x:c r="C120" s="13" t="str">
        <x:v>宝石</x:v>
      </x:c>
      <x:c r="D120" s="52" t="n">
        <x:v>1.18</x:v>
      </x:c>
      <x:c r="E120" s="13" t="str">
        <x:v>仅用于该港没有port_goods常设供货行的货品；有供货行时取该行local_price_factor，并保留本地生产或进口转口标识</x:v>
      </x:c>
      <x:c r="F120" s="13" t="str">
        <x:v>当地偏好与物资需求的原创设计基值</x:v>
      </x:c>
    </x:row>
    <x:row r="121" ht="42" customHeight="1">
      <x:c r="A121" s="15" t="str">
        <x:v>R07</x:v>
      </x:c>
      <x:c r="B121" s="15" t="str">
        <x:v>印度与孟加拉湾</x:v>
      </x:c>
      <x:c r="C121" s="15" t="str">
        <x:v>药材</x:v>
      </x:c>
      <x:c r="D121" s="54" t="n">
        <x:v>0.95</x:v>
      </x:c>
      <x:c r="E121" s="15" t="str">
        <x:v>仅用于该港没有port_goods常设供货行的货品；有供货行时取该行local_price_factor，并保留本地生产或进口转口标识</x:v>
      </x:c>
      <x:c r="F121" s="15" t="str">
        <x:v>当地偏好与物资需求的原创设计基值</x:v>
      </x:c>
    </x:row>
    <x:row r="122" ht="42" customHeight="1">
      <x:c r="A122" s="13" t="str">
        <x:v>R07</x:v>
      </x:c>
      <x:c r="B122" s="13" t="str">
        <x:v>印度与孟加拉湾</x:v>
      </x:c>
      <x:c r="C122" s="13" t="str">
        <x:v>染料</x:v>
      </x:c>
      <x:c r="D122" s="52" t="n">
        <x:v>0.92</x:v>
      </x:c>
      <x:c r="E122" s="13" t="str">
        <x:v>仅用于该港没有port_goods常设供货行的货品；有供货行时取该行local_price_factor，并保留本地生产或进口转口标识</x:v>
      </x:c>
      <x:c r="F122" s="13" t="str">
        <x:v>当地偏好与物资需求的原创设计基值</x:v>
      </x:c>
    </x:row>
    <x:row r="123" ht="42" customHeight="1">
      <x:c r="A123" s="15" t="str">
        <x:v>R07</x:v>
      </x:c>
      <x:c r="B123" s="15" t="str">
        <x:v>印度与孟加拉湾</x:v>
      </x:c>
      <x:c r="C123" s="15" t="str">
        <x:v>奢侈品</x:v>
      </x:c>
      <x:c r="D123" s="54" t="n">
        <x:v>1.25</x:v>
      </x:c>
      <x:c r="E123" s="15" t="str">
        <x:v>仅用于该港没有port_goods常设供货行的货品；有供货行时取该行local_price_factor，并保留本地生产或进口转口标识</x:v>
      </x:c>
      <x:c r="F123" s="15" t="str">
        <x:v>当地偏好与物资需求的原创设计基值</x:v>
      </x:c>
    </x:row>
    <x:row r="124" ht="42" customHeight="1">
      <x:c r="A124" s="13" t="str">
        <x:v>R07</x:v>
      </x:c>
      <x:c r="B124" s="13" t="str">
        <x:v>印度与孟加拉湾</x:v>
      </x:c>
      <x:c r="C124" s="13" t="str">
        <x:v>嗜好品</x:v>
      </x:c>
      <x:c r="D124" s="52" t="n">
        <x:v>1.14</x:v>
      </x:c>
      <x:c r="E124" s="13" t="str">
        <x:v>仅用于该港没有port_goods常设供货行的货品；有供货行时取该行local_price_factor，并保留本地生产或进口转口标识</x:v>
      </x:c>
      <x:c r="F124" s="13" t="str">
        <x:v>当地偏好与物资需求的原创设计基值</x:v>
      </x:c>
    </x:row>
    <x:row r="125" ht="42" customHeight="1">
      <x:c r="A125" s="15" t="str">
        <x:v>R08</x:v>
      </x:c>
      <x:c r="B125" s="15" t="str">
        <x:v>东南亚与香料群岛</x:v>
      </x:c>
      <x:c r="C125" s="15" t="str">
        <x:v>粮食</x:v>
      </x:c>
      <x:c r="D125" s="54" t="n">
        <x:v>0.96</x:v>
      </x:c>
      <x:c r="E125" s="15" t="str">
        <x:v>仅用于该港没有port_goods常设供货行的货品；有供货行时取该行local_price_factor，并保留本地生产或进口转口标识</x:v>
      </x:c>
      <x:c r="F125" s="15" t="str">
        <x:v>当地偏好与物资需求的原创设计基值</x:v>
      </x:c>
    </x:row>
    <x:row r="126" ht="42" customHeight="1">
      <x:c r="A126" s="13" t="str">
        <x:v>R08</x:v>
      </x:c>
      <x:c r="B126" s="13" t="str">
        <x:v>东南亚与香料群岛</x:v>
      </x:c>
      <x:c r="C126" s="13" t="str">
        <x:v>食品</x:v>
      </x:c>
      <x:c r="D126" s="52" t="n">
        <x:v>1</x:v>
      </x:c>
      <x:c r="E126" s="13" t="str">
        <x:v>仅用于该港没有port_goods常设供货行的货品；有供货行时取该行local_price_factor，并保留本地生产或进口转口标识</x:v>
      </x:c>
      <x:c r="F126" s="13" t="str">
        <x:v>当地偏好与物资需求的原创设计基值</x:v>
      </x:c>
    </x:row>
    <x:row r="127" ht="42" customHeight="1">
      <x:c r="A127" s="15" t="str">
        <x:v>R08</x:v>
      </x:c>
      <x:c r="B127" s="15" t="str">
        <x:v>东南亚与香料群岛</x:v>
      </x:c>
      <x:c r="C127" s="15" t="str">
        <x:v>酒类</x:v>
      </x:c>
      <x:c r="D127" s="54" t="n">
        <x:v>1.22</x:v>
      </x:c>
      <x:c r="E127" s="15" t="str">
        <x:v>仅用于该港没有port_goods常设供货行的货品；有供货行时取该行local_price_factor，并保留本地生产或进口转口标识</x:v>
      </x:c>
      <x:c r="F127" s="15" t="str">
        <x:v>当地偏好与物资需求的原创设计基值</x:v>
      </x:c>
    </x:row>
    <x:row r="128" ht="42" customHeight="1">
      <x:c r="A128" s="13" t="str">
        <x:v>R08</x:v>
      </x:c>
      <x:c r="B128" s="13" t="str">
        <x:v>东南亚与香料群岛</x:v>
      </x:c>
      <x:c r="C128" s="13" t="str">
        <x:v>纤维</x:v>
      </x:c>
      <x:c r="D128" s="52" t="n">
        <x:v>1.12</x:v>
      </x:c>
      <x:c r="E128" s="13" t="str">
        <x:v>仅用于该港没有port_goods常设供货行的货品；有供货行时取该行local_price_factor，并保留本地生产或进口转口标识</x:v>
      </x:c>
      <x:c r="F128" s="13" t="str">
        <x:v>当地偏好与物资需求的原创设计基值</x:v>
      </x:c>
    </x:row>
    <x:row r="129" ht="42" customHeight="1">
      <x:c r="A129" s="15" t="str">
        <x:v>R08</x:v>
      </x:c>
      <x:c r="B129" s="15" t="str">
        <x:v>东南亚与香料群岛</x:v>
      </x:c>
      <x:c r="C129" s="15" t="str">
        <x:v>织物</x:v>
      </x:c>
      <x:c r="D129" s="54" t="n">
        <x:v>1.3</x:v>
      </x:c>
      <x:c r="E129" s="15" t="str">
        <x:v>仅用于该港没有port_goods常设供货行的货品；有供货行时取该行local_price_factor，并保留本地生产或进口转口标识</x:v>
      </x:c>
      <x:c r="F129" s="15" t="str">
        <x:v>当地偏好与物资需求的原创设计基值</x:v>
      </x:c>
    </x:row>
    <x:row r="130" ht="42" customHeight="1">
      <x:c r="A130" s="13" t="str">
        <x:v>R08</x:v>
      </x:c>
      <x:c r="B130" s="13" t="str">
        <x:v>东南亚与香料群岛</x:v>
      </x:c>
      <x:c r="C130" s="13" t="str">
        <x:v>香辛料</x:v>
      </x:c>
      <x:c r="D130" s="52" t="n">
        <x:v>0.85</x:v>
      </x:c>
      <x:c r="E130" s="13" t="str">
        <x:v>仅用于该港没有port_goods常设供货行的货品；有供货行时取该行local_price_factor，并保留本地生产或进口转口标识</x:v>
      </x:c>
      <x:c r="F130" s="13" t="str">
        <x:v>当地偏好与物资需求的原创设计基值</x:v>
      </x:c>
    </x:row>
    <x:row r="131" ht="42" customHeight="1">
      <x:c r="A131" s="15" t="str">
        <x:v>R08</x:v>
      </x:c>
      <x:c r="B131" s="15" t="str">
        <x:v>东南亚与香料群岛</x:v>
      </x:c>
      <x:c r="C131" s="15" t="str">
        <x:v>香料</x:v>
      </x:c>
      <x:c r="D131" s="54" t="n">
        <x:v>1.05</x:v>
      </x:c>
      <x:c r="E131" s="15" t="str">
        <x:v>仅用于该港没有port_goods常设供货行的货品；有供货行时取该行local_price_factor，并保留本地生产或进口转口标识</x:v>
      </x:c>
      <x:c r="F131" s="15" t="str">
        <x:v>当地偏好与物资需求的原创设计基值</x:v>
      </x:c>
    </x:row>
    <x:row r="132" ht="42" customHeight="1">
      <x:c r="A132" s="13" t="str">
        <x:v>R08</x:v>
      </x:c>
      <x:c r="B132" s="13" t="str">
        <x:v>东南亚与香料群岛</x:v>
      </x:c>
      <x:c r="C132" s="13" t="str">
        <x:v>矿石</x:v>
      </x:c>
      <x:c r="D132" s="52" t="n">
        <x:v>1.16</x:v>
      </x:c>
      <x:c r="E132" s="13" t="str">
        <x:v>仅用于该港没有port_goods常设供货行的货品；有供货行时取该行local_price_factor，并保留本地生产或进口转口标识</x:v>
      </x:c>
      <x:c r="F132" s="13" t="str">
        <x:v>当地偏好与物资需求的原创设计基值</x:v>
      </x:c>
    </x:row>
    <x:row r="133" ht="42" customHeight="1">
      <x:c r="A133" s="15" t="str">
        <x:v>R08</x:v>
      </x:c>
      <x:c r="B133" s="15" t="str">
        <x:v>东南亚与香料群岛</x:v>
      </x:c>
      <x:c r="C133" s="15" t="str">
        <x:v>金属</x:v>
      </x:c>
      <x:c r="D133" s="54" t="n">
        <x:v>1.28</x:v>
      </x:c>
      <x:c r="E133" s="15" t="str">
        <x:v>仅用于该港没有port_goods常设供货行的货品；有供货行时取该行local_price_factor，并保留本地生产或进口转口标识</x:v>
      </x:c>
      <x:c r="F133" s="15" t="str">
        <x:v>当地偏好与物资需求的原创设计基值</x:v>
      </x:c>
    </x:row>
    <x:row r="134" ht="42" customHeight="1">
      <x:c r="A134" s="13" t="str">
        <x:v>R08</x:v>
      </x:c>
      <x:c r="B134" s="13" t="str">
        <x:v>东南亚与香料群岛</x:v>
      </x:c>
      <x:c r="C134" s="13" t="str">
        <x:v>木材</x:v>
      </x:c>
      <x:c r="D134" s="52" t="n">
        <x:v>0.92</x:v>
      </x:c>
      <x:c r="E134" s="13" t="str">
        <x:v>仅用于该港没有port_goods常设供货行的货品；有供货行时取该行local_price_factor，并保留本地生产或进口转口标识</x:v>
      </x:c>
      <x:c r="F134" s="13" t="str">
        <x:v>当地偏好与物资需求的原创设计基值</x:v>
      </x:c>
    </x:row>
    <x:row r="135" ht="42" customHeight="1">
      <x:c r="A135" s="15" t="str">
        <x:v>R08</x:v>
      </x:c>
      <x:c r="B135" s="15" t="str">
        <x:v>东南亚与香料群岛</x:v>
      </x:c>
      <x:c r="C135" s="15" t="str">
        <x:v>工业品</x:v>
      </x:c>
      <x:c r="D135" s="54" t="n">
        <x:v>1.36</x:v>
      </x:c>
      <x:c r="E135" s="15" t="str">
        <x:v>仅用于该港没有port_goods常设供货行的货品；有供货行时取该行local_price_factor，并保留本地生产或进口转口标识</x:v>
      </x:c>
      <x:c r="F135" s="15" t="str">
        <x:v>当地偏好与物资需求的原创设计基值</x:v>
      </x:c>
    </x:row>
    <x:row r="136" ht="42" customHeight="1">
      <x:c r="A136" s="13" t="str">
        <x:v>R08</x:v>
      </x:c>
      <x:c r="B136" s="13" t="str">
        <x:v>东南亚与香料群岛</x:v>
      </x:c>
      <x:c r="C136" s="13" t="str">
        <x:v>工艺品</x:v>
      </x:c>
      <x:c r="D136" s="52" t="n">
        <x:v>1.32</x:v>
      </x:c>
      <x:c r="E136" s="13" t="str">
        <x:v>仅用于该港没有port_goods常设供货行的货品；有供货行时取该行local_price_factor，并保留本地生产或进口转口标识</x:v>
      </x:c>
      <x:c r="F136" s="13" t="str">
        <x:v>当地偏好与物资需求的原创设计基值</x:v>
      </x:c>
    </x:row>
    <x:row r="137" ht="42" customHeight="1">
      <x:c r="A137" s="15" t="str">
        <x:v>R08</x:v>
      </x:c>
      <x:c r="B137" s="15" t="str">
        <x:v>东南亚与香料群岛</x:v>
      </x:c>
      <x:c r="C137" s="15" t="str">
        <x:v>宝石</x:v>
      </x:c>
      <x:c r="D137" s="54" t="n">
        <x:v>1.2</x:v>
      </x:c>
      <x:c r="E137" s="15" t="str">
        <x:v>仅用于该港没有port_goods常设供货行的货品；有供货行时取该行local_price_factor，并保留本地生产或进口转口标识</x:v>
      </x:c>
      <x:c r="F137" s="15" t="str">
        <x:v>当地偏好与物资需求的原创设计基值</x:v>
      </x:c>
    </x:row>
    <x:row r="138" ht="42" customHeight="1">
      <x:c r="A138" s="13" t="str">
        <x:v>R08</x:v>
      </x:c>
      <x:c r="B138" s="13" t="str">
        <x:v>东南亚与香料群岛</x:v>
      </x:c>
      <x:c r="C138" s="13" t="str">
        <x:v>药材</x:v>
      </x:c>
      <x:c r="D138" s="52" t="n">
        <x:v>1.1</x:v>
      </x:c>
      <x:c r="E138" s="13" t="str">
        <x:v>仅用于该港没有port_goods常设供货行的货品；有供货行时取该行local_price_factor，并保留本地生产或进口转口标识</x:v>
      </x:c>
      <x:c r="F138" s="13" t="str">
        <x:v>当地偏好与物资需求的原创设计基值</x:v>
      </x:c>
    </x:row>
    <x:row r="139" ht="42" customHeight="1">
      <x:c r="A139" s="15" t="str">
        <x:v>R08</x:v>
      </x:c>
      <x:c r="B139" s="15" t="str">
        <x:v>东南亚与香料群岛</x:v>
      </x:c>
      <x:c r="C139" s="15" t="str">
        <x:v>染料</x:v>
      </x:c>
      <x:c r="D139" s="54" t="n">
        <x:v>1.15</x:v>
      </x:c>
      <x:c r="E139" s="15" t="str">
        <x:v>仅用于该港没有port_goods常设供货行的货品；有供货行时取该行local_price_factor，并保留本地生产或进口转口标识</x:v>
      </x:c>
      <x:c r="F139" s="15" t="str">
        <x:v>当地偏好与物资需求的原创设计基值</x:v>
      </x:c>
    </x:row>
    <x:row r="140" ht="42" customHeight="1">
      <x:c r="A140" s="13" t="str">
        <x:v>R08</x:v>
      </x:c>
      <x:c r="B140" s="13" t="str">
        <x:v>东南亚与香料群岛</x:v>
      </x:c>
      <x:c r="C140" s="13" t="str">
        <x:v>奢侈品</x:v>
      </x:c>
      <x:c r="D140" s="52" t="n">
        <x:v>1.28</x:v>
      </x:c>
      <x:c r="E140" s="13" t="str">
        <x:v>仅用于该港没有port_goods常设供货行的货品；有供货行时取该行local_price_factor，并保留本地生产或进口转口标识</x:v>
      </x:c>
      <x:c r="F140" s="13" t="str">
        <x:v>当地偏好与物资需求的原创设计基值</x:v>
      </x:c>
    </x:row>
    <x:row r="141" ht="42" customHeight="1">
      <x:c r="A141" s="15" t="str">
        <x:v>R08</x:v>
      </x:c>
      <x:c r="B141" s="15" t="str">
        <x:v>东南亚与香料群岛</x:v>
      </x:c>
      <x:c r="C141" s="15" t="str">
        <x:v>嗜好品</x:v>
      </x:c>
      <x:c r="D141" s="54" t="n">
        <x:v>1.12</x:v>
      </x:c>
      <x:c r="E141" s="15" t="str">
        <x:v>仅用于该港没有port_goods常设供货行的货品；有供货行时取该行local_price_factor，并保留本地生产或进口转口标识</x:v>
      </x:c>
      <x:c r="F141" s="15" t="str">
        <x:v>当地偏好与物资需求的原创设计基值</x:v>
      </x:c>
    </x:row>
    <x:row r="142" ht="42" customHeight="1">
      <x:c r="A142" s="13" t="str">
        <x:v>R09</x:v>
      </x:c>
      <x:c r="B142" s="13" t="str">
        <x:v>东亚</x:v>
      </x:c>
      <x:c r="C142" s="13" t="str">
        <x:v>粮食</x:v>
      </x:c>
      <x:c r="D142" s="52" t="n">
        <x:v>0.95</x:v>
      </x:c>
      <x:c r="E142" s="13" t="str">
        <x:v>仅用于该港没有port_goods常设供货行的货品；有供货行时取该行local_price_factor，并保留本地生产或进口转口标识</x:v>
      </x:c>
      <x:c r="F142" s="13" t="str">
        <x:v>当地偏好与物资需求的原创设计基值</x:v>
      </x:c>
    </x:row>
    <x:row r="143" ht="42" customHeight="1">
      <x:c r="A143" s="15" t="str">
        <x:v>R09</x:v>
      </x:c>
      <x:c r="B143" s="15" t="str">
        <x:v>东亚</x:v>
      </x:c>
      <x:c r="C143" s="15" t="str">
        <x:v>食品</x:v>
      </x:c>
      <x:c r="D143" s="54" t="n">
        <x:v>1</x:v>
      </x:c>
      <x:c r="E143" s="15" t="str">
        <x:v>仅用于该港没有port_goods常设供货行的货品；有供货行时取该行local_price_factor，并保留本地生产或进口转口标识</x:v>
      </x:c>
      <x:c r="F143" s="15" t="str">
        <x:v>当地偏好与物资需求的原创设计基值</x:v>
      </x:c>
    </x:row>
    <x:row r="144" ht="42" customHeight="1">
      <x:c r="A144" s="13" t="str">
        <x:v>R09</x:v>
      </x:c>
      <x:c r="B144" s="13" t="str">
        <x:v>东亚</x:v>
      </x:c>
      <x:c r="C144" s="13" t="str">
        <x:v>酒类</x:v>
      </x:c>
      <x:c r="D144" s="52" t="n">
        <x:v>1.12</x:v>
      </x:c>
      <x:c r="E144" s="13" t="str">
        <x:v>仅用于该港没有port_goods常设供货行的货品；有供货行时取该行local_price_factor，并保留本地生产或进口转口标识</x:v>
      </x:c>
      <x:c r="F144" s="13" t="str">
        <x:v>当地偏好与物资需求的原创设计基值</x:v>
      </x:c>
    </x:row>
    <x:row r="145" ht="42" customHeight="1">
      <x:c r="A145" s="15" t="str">
        <x:v>R09</x:v>
      </x:c>
      <x:c r="B145" s="15" t="str">
        <x:v>东亚</x:v>
      </x:c>
      <x:c r="C145" s="15" t="str">
        <x:v>纤维</x:v>
      </x:c>
      <x:c r="D145" s="54" t="n">
        <x:v>1.06</x:v>
      </x:c>
      <x:c r="E145" s="15" t="str">
        <x:v>仅用于该港没有port_goods常设供货行的货品；有供货行时取该行local_price_factor，并保留本地生产或进口转口标识</x:v>
      </x:c>
      <x:c r="F145" s="15" t="str">
        <x:v>当地偏好与物资需求的原创设计基值</x:v>
      </x:c>
    </x:row>
    <x:row r="146" ht="42" customHeight="1">
      <x:c r="A146" s="13" t="str">
        <x:v>R09</x:v>
      </x:c>
      <x:c r="B146" s="13" t="str">
        <x:v>东亚</x:v>
      </x:c>
      <x:c r="C146" s="13" t="str">
        <x:v>织物</x:v>
      </x:c>
      <x:c r="D146" s="52" t="n">
        <x:v>0.96</x:v>
      </x:c>
      <x:c r="E146" s="13" t="str">
        <x:v>仅用于该港没有port_goods常设供货行的货品；有供货行时取该行local_price_factor，并保留本地生产或进口转口标识</x:v>
      </x:c>
      <x:c r="F146" s="13" t="str">
        <x:v>当地偏好与物资需求的原创设计基值</x:v>
      </x:c>
    </x:row>
    <x:row r="147" ht="42" customHeight="1">
      <x:c r="A147" s="15" t="str">
        <x:v>R09</x:v>
      </x:c>
      <x:c r="B147" s="15" t="str">
        <x:v>东亚</x:v>
      </x:c>
      <x:c r="C147" s="15" t="str">
        <x:v>香辛料</x:v>
      </x:c>
      <x:c r="D147" s="54" t="n">
        <x:v>1.35</x:v>
      </x:c>
      <x:c r="E147" s="15" t="str">
        <x:v>仅用于该港没有port_goods常设供货行的货品；有供货行时取该行local_price_factor，并保留本地生产或进口转口标识</x:v>
      </x:c>
      <x:c r="F147" s="15" t="str">
        <x:v>当地偏好与物资需求的原创设计基值</x:v>
      </x:c>
    </x:row>
    <x:row r="148" ht="42" customHeight="1">
      <x:c r="A148" s="13" t="str">
        <x:v>R09</x:v>
      </x:c>
      <x:c r="B148" s="13" t="str">
        <x:v>东亚</x:v>
      </x:c>
      <x:c r="C148" s="13" t="str">
        <x:v>香料</x:v>
      </x:c>
      <x:c r="D148" s="52" t="n">
        <x:v>1.25</x:v>
      </x:c>
      <x:c r="E148" s="13" t="str">
        <x:v>仅用于该港没有port_goods常设供货行的货品；有供货行时取该行local_price_factor，并保留本地生产或进口转口标识</x:v>
      </x:c>
      <x:c r="F148" s="13" t="str">
        <x:v>当地偏好与物资需求的原创设计基值</x:v>
      </x:c>
    </x:row>
    <x:row r="149" ht="42" customHeight="1">
      <x:c r="A149" s="15" t="str">
        <x:v>R09</x:v>
      </x:c>
      <x:c r="B149" s="15" t="str">
        <x:v>东亚</x:v>
      </x:c>
      <x:c r="C149" s="15" t="str">
        <x:v>矿石</x:v>
      </x:c>
      <x:c r="D149" s="54" t="n">
        <x:v>1.12</x:v>
      </x:c>
      <x:c r="E149" s="15" t="str">
        <x:v>仅用于该港没有port_goods常设供货行的货品；有供货行时取该行local_price_factor，并保留本地生产或进口转口标识</x:v>
      </x:c>
      <x:c r="F149" s="15" t="str">
        <x:v>当地偏好与物资需求的原创设计基值</x:v>
      </x:c>
    </x:row>
    <x:row r="150" ht="42" customHeight="1">
      <x:c r="A150" s="13" t="str">
        <x:v>R09</x:v>
      </x:c>
      <x:c r="B150" s="13" t="str">
        <x:v>东亚</x:v>
      </x:c>
      <x:c r="C150" s="13" t="str">
        <x:v>金属</x:v>
      </x:c>
      <x:c r="D150" s="52" t="n">
        <x:v>1.24</x:v>
      </x:c>
      <x:c r="E150" s="13" t="str">
        <x:v>仅用于该港没有port_goods常设供货行的货品；有供货行时取该行local_price_factor，并保留本地生产或进口转口标识</x:v>
      </x:c>
      <x:c r="F150" s="13" t="str">
        <x:v>当地偏好与物资需求的原创设计基值</x:v>
      </x:c>
    </x:row>
    <x:row r="151" ht="42" customHeight="1">
      <x:c r="A151" s="15" t="str">
        <x:v>R09</x:v>
      </x:c>
      <x:c r="B151" s="15" t="str">
        <x:v>东亚</x:v>
      </x:c>
      <x:c r="C151" s="15" t="str">
        <x:v>木材</x:v>
      </x:c>
      <x:c r="D151" s="54" t="n">
        <x:v>1.08</x:v>
      </x:c>
      <x:c r="E151" s="15" t="str">
        <x:v>仅用于该港没有port_goods常设供货行的货品；有供货行时取该行local_price_factor，并保留本地生产或进口转口标识</x:v>
      </x:c>
      <x:c r="F151" s="15" t="str">
        <x:v>当地偏好与物资需求的原创设计基值</x:v>
      </x:c>
    </x:row>
    <x:row r="152" ht="42" customHeight="1">
      <x:c r="A152" s="13" t="str">
        <x:v>R09</x:v>
      </x:c>
      <x:c r="B152" s="13" t="str">
        <x:v>东亚</x:v>
      </x:c>
      <x:c r="C152" s="13" t="str">
        <x:v>工业品</x:v>
      </x:c>
      <x:c r="D152" s="52" t="n">
        <x:v>1.14</x:v>
      </x:c>
      <x:c r="E152" s="13" t="str">
        <x:v>仅用于该港没有port_goods常设供货行的货品；有供货行时取该行local_price_factor，并保留本地生产或进口转口标识</x:v>
      </x:c>
      <x:c r="F152" s="13" t="str">
        <x:v>当地偏好与物资需求的原创设计基值</x:v>
      </x:c>
    </x:row>
    <x:row r="153" ht="42" customHeight="1">
      <x:c r="A153" s="15" t="str">
        <x:v>R09</x:v>
      </x:c>
      <x:c r="B153" s="15" t="str">
        <x:v>东亚</x:v>
      </x:c>
      <x:c r="C153" s="15" t="str">
        <x:v>工艺品</x:v>
      </x:c>
      <x:c r="D153" s="54" t="n">
        <x:v>0.92</x:v>
      </x:c>
      <x:c r="E153" s="15" t="str">
        <x:v>仅用于该港没有port_goods常设供货行的货品；有供货行时取该行local_price_factor，并保留本地生产或进口转口标识</x:v>
      </x:c>
      <x:c r="F153" s="15" t="str">
        <x:v>当地偏好与物资需求的原创设计基值</x:v>
      </x:c>
    </x:row>
    <x:row r="154" ht="42" customHeight="1">
      <x:c r="A154" s="13" t="str">
        <x:v>R09</x:v>
      </x:c>
      <x:c r="B154" s="13" t="str">
        <x:v>东亚</x:v>
      </x:c>
      <x:c r="C154" s="13" t="str">
        <x:v>宝石</x:v>
      </x:c>
      <x:c r="D154" s="52" t="n">
        <x:v>1.3</x:v>
      </x:c>
      <x:c r="E154" s="13" t="str">
        <x:v>仅用于该港没有port_goods常设供货行的货品；有供货行时取该行local_price_factor，并保留本地生产或进口转口标识</x:v>
      </x:c>
      <x:c r="F154" s="13" t="str">
        <x:v>当地偏好与物资需求的原创设计基值</x:v>
      </x:c>
    </x:row>
    <x:row r="155" ht="42" customHeight="1">
      <x:c r="A155" s="15" t="str">
        <x:v>R09</x:v>
      </x:c>
      <x:c r="B155" s="15" t="str">
        <x:v>东亚</x:v>
      </x:c>
      <x:c r="C155" s="15" t="str">
        <x:v>药材</x:v>
      </x:c>
      <x:c r="D155" s="54" t="n">
        <x:v>1.15</x:v>
      </x:c>
      <x:c r="E155" s="15" t="str">
        <x:v>仅用于该港没有port_goods常设供货行的货品；有供货行时取该行local_price_factor，并保留本地生产或进口转口标识</x:v>
      </x:c>
      <x:c r="F155" s="15" t="str">
        <x:v>当地偏好与物资需求的原创设计基值</x:v>
      </x:c>
    </x:row>
    <x:row r="156" ht="42" customHeight="1">
      <x:c r="A156" s="13" t="str">
        <x:v>R09</x:v>
      </x:c>
      <x:c r="B156" s="13" t="str">
        <x:v>东亚</x:v>
      </x:c>
      <x:c r="C156" s="13" t="str">
        <x:v>染料</x:v>
      </x:c>
      <x:c r="D156" s="52" t="n">
        <x:v>1.2</x:v>
      </x:c>
      <x:c r="E156" s="13" t="str">
        <x:v>仅用于该港没有port_goods常设供货行的货品；有供货行时取该行local_price_factor，并保留本地生产或进口转口标识</x:v>
      </x:c>
      <x:c r="F156" s="13" t="str">
        <x:v>当地偏好与物资需求的原创设计基值</x:v>
      </x:c>
    </x:row>
    <x:row r="157" ht="42" customHeight="1">
      <x:c r="A157" s="15" t="str">
        <x:v>R09</x:v>
      </x:c>
      <x:c r="B157" s="15" t="str">
        <x:v>东亚</x:v>
      </x:c>
      <x:c r="C157" s="15" t="str">
        <x:v>奢侈品</x:v>
      </x:c>
      <x:c r="D157" s="54" t="n">
        <x:v>1.25</x:v>
      </x:c>
      <x:c r="E157" s="15" t="str">
        <x:v>仅用于该港没有port_goods常设供货行的货品；有供货行时取该行local_price_factor，并保留本地生产或进口转口标识</x:v>
      </x:c>
      <x:c r="F157" s="15" t="str">
        <x:v>当地偏好与物资需求的原创设计基值</x:v>
      </x:c>
    </x:row>
    <x:row r="158" ht="42" customHeight="1">
      <x:c r="A158" s="13" t="str">
        <x:v>R09</x:v>
      </x:c>
      <x:c r="B158" s="13" t="str">
        <x:v>东亚</x:v>
      </x:c>
      <x:c r="C158" s="13" t="str">
        <x:v>嗜好品</x:v>
      </x:c>
      <x:c r="D158" s="52" t="n">
        <x:v>0.98</x:v>
      </x:c>
      <x:c r="E158" s="13" t="str">
        <x:v>仅用于该港没有port_goods常设供货行的货品；有供货行时取该行local_price_factor，并保留本地生产或进口转口标识</x:v>
      </x:c>
      <x:c r="F158" s="13" t="str">
        <x:v>当地偏好与物资需求的原创设计基值</x:v>
      </x:c>
    </x:row>
    <x:row r="159" ht="42" customHeight="1">
      <x:c r="A159" s="15" t="str">
        <x:v>R10</x:v>
      </x:c>
      <x:c r="B159" s="15" t="str">
        <x:v>加勒比与北美东岸</x:v>
      </x:c>
      <x:c r="C159" s="15" t="str">
        <x:v>粮食</x:v>
      </x:c>
      <x:c r="D159" s="54" t="n">
        <x:v>1.24</x:v>
      </x:c>
      <x:c r="E159" s="15" t="str">
        <x:v>仅用于该港没有port_goods常设供货行的货品；有供货行时取该行local_price_factor，并保留本地生产或进口转口标识</x:v>
      </x:c>
      <x:c r="F159" s="15" t="str">
        <x:v>当地偏好与物资需求的原创设计基值</x:v>
      </x:c>
    </x:row>
    <x:row r="160" ht="42" customHeight="1">
      <x:c r="A160" s="13" t="str">
        <x:v>R10</x:v>
      </x:c>
      <x:c r="B160" s="13" t="str">
        <x:v>加勒比与北美东岸</x:v>
      </x:c>
      <x:c r="C160" s="13" t="str">
        <x:v>食品</x:v>
      </x:c>
      <x:c r="D160" s="52" t="n">
        <x:v>1.08</x:v>
      </x:c>
      <x:c r="E160" s="13" t="str">
        <x:v>仅用于该港没有port_goods常设供货行的货品；有供货行时取该行local_price_factor，并保留本地生产或进口转口标识</x:v>
      </x:c>
      <x:c r="F160" s="13" t="str">
        <x:v>当地偏好与物资需求的原创设计基值</x:v>
      </x:c>
    </x:row>
    <x:row r="161" ht="42" customHeight="1">
      <x:c r="A161" s="15" t="str">
        <x:v>R10</x:v>
      </x:c>
      <x:c r="B161" s="15" t="str">
        <x:v>加勒比与北美东岸</x:v>
      </x:c>
      <x:c r="C161" s="15" t="str">
        <x:v>酒类</x:v>
      </x:c>
      <x:c r="D161" s="54" t="n">
        <x:v>1.18</x:v>
      </x:c>
      <x:c r="E161" s="15" t="str">
        <x:v>仅用于该港没有port_goods常设供货行的货品；有供货行时取该行local_price_factor，并保留本地生产或进口转口标识</x:v>
      </x:c>
      <x:c r="F161" s="15" t="str">
        <x:v>当地偏好与物资需求的原创设计基值</x:v>
      </x:c>
    </x:row>
    <x:row r="162" ht="42" customHeight="1">
      <x:c r="A162" s="13" t="str">
        <x:v>R10</x:v>
      </x:c>
      <x:c r="B162" s="13" t="str">
        <x:v>加勒比与北美东岸</x:v>
      </x:c>
      <x:c r="C162" s="13" t="str">
        <x:v>纤维</x:v>
      </x:c>
      <x:c r="D162" s="52" t="n">
        <x:v>1.2</x:v>
      </x:c>
      <x:c r="E162" s="13" t="str">
        <x:v>仅用于该港没有port_goods常设供货行的货品；有供货行时取该行local_price_factor，并保留本地生产或进口转口标识</x:v>
      </x:c>
      <x:c r="F162" s="13" t="str">
        <x:v>当地偏好与物资需求的原创设计基值</x:v>
      </x:c>
    </x:row>
    <x:row r="163" ht="42" customHeight="1">
      <x:c r="A163" s="15" t="str">
        <x:v>R10</x:v>
      </x:c>
      <x:c r="B163" s="15" t="str">
        <x:v>加勒比与北美东岸</x:v>
      </x:c>
      <x:c r="C163" s="15" t="str">
        <x:v>织物</x:v>
      </x:c>
      <x:c r="D163" s="54" t="n">
        <x:v>1.32</x:v>
      </x:c>
      <x:c r="E163" s="15" t="str">
        <x:v>仅用于该港没有port_goods常设供货行的货品；有供货行时取该行local_price_factor，并保留本地生产或进口转口标识</x:v>
      </x:c>
      <x:c r="F163" s="15" t="str">
        <x:v>当地偏好与物资需求的原创设计基值</x:v>
      </x:c>
    </x:row>
    <x:row r="164" ht="42" customHeight="1">
      <x:c r="A164" s="13" t="str">
        <x:v>R10</x:v>
      </x:c>
      <x:c r="B164" s="13" t="str">
        <x:v>加勒比与北美东岸</x:v>
      </x:c>
      <x:c r="C164" s="13" t="str">
        <x:v>香辛料</x:v>
      </x:c>
      <x:c r="D164" s="52" t="n">
        <x:v>1.28</x:v>
      </x:c>
      <x:c r="E164" s="13" t="str">
        <x:v>仅用于该港没有port_goods常设供货行的货品；有供货行时取该行local_price_factor，并保留本地生产或进口转口标识</x:v>
      </x:c>
      <x:c r="F164" s="13" t="str">
        <x:v>当地偏好与物资需求的原创设计基值</x:v>
      </x:c>
    </x:row>
    <x:row r="165" ht="42" customHeight="1">
      <x:c r="A165" s="15" t="str">
        <x:v>R10</x:v>
      </x:c>
      <x:c r="B165" s="15" t="str">
        <x:v>加勒比与北美东岸</x:v>
      </x:c>
      <x:c r="C165" s="15" t="str">
        <x:v>香料</x:v>
      </x:c>
      <x:c r="D165" s="54" t="n">
        <x:v>1.3</x:v>
      </x:c>
      <x:c r="E165" s="15" t="str">
        <x:v>仅用于该港没有port_goods常设供货行的货品；有供货行时取该行local_price_factor，并保留本地生产或进口转口标识</x:v>
      </x:c>
      <x:c r="F165" s="15" t="str">
        <x:v>当地偏好与物资需求的原创设计基值</x:v>
      </x:c>
    </x:row>
    <x:row r="166" ht="42" customHeight="1">
      <x:c r="A166" s="13" t="str">
        <x:v>R10</x:v>
      </x:c>
      <x:c r="B166" s="13" t="str">
        <x:v>加勒比与北美东岸</x:v>
      </x:c>
      <x:c r="C166" s="13" t="str">
        <x:v>矿石</x:v>
      </x:c>
      <x:c r="D166" s="52" t="n">
        <x:v>1.16</x:v>
      </x:c>
      <x:c r="E166" s="13" t="str">
        <x:v>仅用于该港没有port_goods常设供货行的货品；有供货行时取该行local_price_factor，并保留本地生产或进口转口标识</x:v>
      </x:c>
      <x:c r="F166" s="13" t="str">
        <x:v>当地偏好与物资需求的原创设计基值</x:v>
      </x:c>
    </x:row>
    <x:row r="167" ht="42" customHeight="1">
      <x:c r="A167" s="15" t="str">
        <x:v>R10</x:v>
      </x:c>
      <x:c r="B167" s="15" t="str">
        <x:v>加勒比与北美东岸</x:v>
      </x:c>
      <x:c r="C167" s="15" t="str">
        <x:v>金属</x:v>
      </x:c>
      <x:c r="D167" s="54" t="n">
        <x:v>1.26</x:v>
      </x:c>
      <x:c r="E167" s="15" t="str">
        <x:v>仅用于该港没有port_goods常设供货行的货品；有供货行时取该行local_price_factor，并保留本地生产或进口转口标识</x:v>
      </x:c>
      <x:c r="F167" s="15" t="str">
        <x:v>当地偏好与物资需求的原创设计基值</x:v>
      </x:c>
    </x:row>
    <x:row r="168" ht="42" customHeight="1">
      <x:c r="A168" s="13" t="str">
        <x:v>R10</x:v>
      </x:c>
      <x:c r="B168" s="13" t="str">
        <x:v>加勒比与北美东岸</x:v>
      </x:c>
      <x:c r="C168" s="13" t="str">
        <x:v>木材</x:v>
      </x:c>
      <x:c r="D168" s="52" t="n">
        <x:v>0.94</x:v>
      </x:c>
      <x:c r="E168" s="13" t="str">
        <x:v>仅用于该港没有port_goods常设供货行的货品；有供货行时取该行local_price_factor，并保留本地生产或进口转口标识</x:v>
      </x:c>
      <x:c r="F168" s="13" t="str">
        <x:v>当地偏好与物资需求的原创设计基值</x:v>
      </x:c>
    </x:row>
    <x:row r="169" ht="42" customHeight="1">
      <x:c r="A169" s="15" t="str">
        <x:v>R10</x:v>
      </x:c>
      <x:c r="B169" s="15" t="str">
        <x:v>加勒比与北美东岸</x:v>
      </x:c>
      <x:c r="C169" s="15" t="str">
        <x:v>工业品</x:v>
      </x:c>
      <x:c r="D169" s="54" t="n">
        <x:v>1.45</x:v>
      </x:c>
      <x:c r="E169" s="15" t="str">
        <x:v>仅用于该港没有port_goods常设供货行的货品；有供货行时取该行local_price_factor，并保留本地生产或进口转口标识</x:v>
      </x:c>
      <x:c r="F169" s="15" t="str">
        <x:v>当地偏好与物资需求的原创设计基值</x:v>
      </x:c>
    </x:row>
    <x:row r="170" ht="42" customHeight="1">
      <x:c r="A170" s="13" t="str">
        <x:v>R10</x:v>
      </x:c>
      <x:c r="B170" s="13" t="str">
        <x:v>加勒比与北美东岸</x:v>
      </x:c>
      <x:c r="C170" s="13" t="str">
        <x:v>工艺品</x:v>
      </x:c>
      <x:c r="D170" s="52" t="n">
        <x:v>1.35</x:v>
      </x:c>
      <x:c r="E170" s="13" t="str">
        <x:v>仅用于该港没有port_goods常设供货行的货品；有供货行时取该行local_price_factor，并保留本地生产或进口转口标识</x:v>
      </x:c>
      <x:c r="F170" s="13" t="str">
        <x:v>当地偏好与物资需求的原创设计基值</x:v>
      </x:c>
    </x:row>
    <x:row r="171" ht="42" customHeight="1">
      <x:c r="A171" s="15" t="str">
        <x:v>R10</x:v>
      </x:c>
      <x:c r="B171" s="15" t="str">
        <x:v>加勒比与北美东岸</x:v>
      </x:c>
      <x:c r="C171" s="15" t="str">
        <x:v>宝石</x:v>
      </x:c>
      <x:c r="D171" s="54" t="n">
        <x:v>1.18</x:v>
      </x:c>
      <x:c r="E171" s="15" t="str">
        <x:v>仅用于该港没有port_goods常设供货行的货品；有供货行时取该行local_price_factor，并保留本地生产或进口转口标识</x:v>
      </x:c>
      <x:c r="F171" s="15" t="str">
        <x:v>当地偏好与物资需求的原创设计基值</x:v>
      </x:c>
    </x:row>
    <x:row r="172" ht="42" customHeight="1">
      <x:c r="A172" s="13" t="str">
        <x:v>R10</x:v>
      </x:c>
      <x:c r="B172" s="13" t="str">
        <x:v>加勒比与北美东岸</x:v>
      </x:c>
      <x:c r="C172" s="13" t="str">
        <x:v>药材</x:v>
      </x:c>
      <x:c r="D172" s="52" t="n">
        <x:v>1.18</x:v>
      </x:c>
      <x:c r="E172" s="13" t="str">
        <x:v>仅用于该港没有port_goods常设供货行的货品；有供货行时取该行local_price_factor，并保留本地生产或进口转口标识</x:v>
      </x:c>
      <x:c r="F172" s="13" t="str">
        <x:v>当地偏好与物资需求的原创设计基值</x:v>
      </x:c>
    </x:row>
    <x:row r="173" ht="42" customHeight="1">
      <x:c r="A173" s="15" t="str">
        <x:v>R10</x:v>
      </x:c>
      <x:c r="B173" s="15" t="str">
        <x:v>加勒比与北美东岸</x:v>
      </x:c>
      <x:c r="C173" s="15" t="str">
        <x:v>染料</x:v>
      </x:c>
      <x:c r="D173" s="54" t="n">
        <x:v>1.04</x:v>
      </x:c>
      <x:c r="E173" s="15" t="str">
        <x:v>仅用于该港没有port_goods常设供货行的货品；有供货行时取该行local_price_factor，并保留本地生产或进口转口标识</x:v>
      </x:c>
      <x:c r="F173" s="15" t="str">
        <x:v>当地偏好与物资需求的原创设计基值</x:v>
      </x:c>
    </x:row>
    <x:row r="174" ht="42" customHeight="1">
      <x:c r="A174" s="13" t="str">
        <x:v>R10</x:v>
      </x:c>
      <x:c r="B174" s="13" t="str">
        <x:v>加勒比与北美东岸</x:v>
      </x:c>
      <x:c r="C174" s="13" t="str">
        <x:v>奢侈品</x:v>
      </x:c>
      <x:c r="D174" s="52" t="n">
        <x:v>1.38</x:v>
      </x:c>
      <x:c r="E174" s="13" t="str">
        <x:v>仅用于该港没有port_goods常设供货行的货品；有供货行时取该行local_price_factor，并保留本地生产或进口转口标识</x:v>
      </x:c>
      <x:c r="F174" s="13" t="str">
        <x:v>当地偏好与物资需求的原创设计基值</x:v>
      </x:c>
    </x:row>
    <x:row r="175" ht="42" customHeight="1">
      <x:c r="A175" s="15" t="str">
        <x:v>R10</x:v>
      </x:c>
      <x:c r="B175" s="15" t="str">
        <x:v>加勒比与北美东岸</x:v>
      </x:c>
      <x:c r="C175" s="15" t="str">
        <x:v>嗜好品</x:v>
      </x:c>
      <x:c r="D175" s="54" t="n">
        <x:v>0.96</x:v>
      </x:c>
      <x:c r="E175" s="15" t="str">
        <x:v>仅用于该港没有port_goods常设供货行的货品；有供货行时取该行local_price_factor，并保留本地生产或进口转口标识</x:v>
      </x:c>
      <x:c r="F175" s="15" t="str">
        <x:v>当地偏好与物资需求的原创设计基值</x:v>
      </x:c>
    </x:row>
    <x:row r="176" ht="42" customHeight="1">
      <x:c r="A176" s="13" t="str">
        <x:v>R11</x:v>
      </x:c>
      <x:c r="B176" s="13" t="str">
        <x:v>南美</x:v>
      </x:c>
      <x:c r="C176" s="13" t="str">
        <x:v>粮食</x:v>
      </x:c>
      <x:c r="D176" s="52" t="n">
        <x:v>1.06</x:v>
      </x:c>
      <x:c r="E176" s="13" t="str">
        <x:v>仅用于该港没有port_goods常设供货行的货品；有供货行时取该行local_price_factor，并保留本地生产或进口转口标识</x:v>
      </x:c>
      <x:c r="F176" s="13" t="str">
        <x:v>当地偏好与物资需求的原创设计基值</x:v>
      </x:c>
    </x:row>
    <x:row r="177" ht="42" customHeight="1">
      <x:c r="A177" s="15" t="str">
        <x:v>R11</x:v>
      </x:c>
      <x:c r="B177" s="15" t="str">
        <x:v>南美</x:v>
      </x:c>
      <x:c r="C177" s="15" t="str">
        <x:v>食品</x:v>
      </x:c>
      <x:c r="D177" s="54" t="n">
        <x:v>1.06</x:v>
      </x:c>
      <x:c r="E177" s="15" t="str">
        <x:v>仅用于该港没有port_goods常设供货行的货品；有供货行时取该行local_price_factor，并保留本地生产或进口转口标识</x:v>
      </x:c>
      <x:c r="F177" s="15" t="str">
        <x:v>当地偏好与物资需求的原创设计基值</x:v>
      </x:c>
    </x:row>
    <x:row r="178" ht="42" customHeight="1">
      <x:c r="A178" s="13" t="str">
        <x:v>R11</x:v>
      </x:c>
      <x:c r="B178" s="13" t="str">
        <x:v>南美</x:v>
      </x:c>
      <x:c r="C178" s="13" t="str">
        <x:v>酒类</x:v>
      </x:c>
      <x:c r="D178" s="52" t="n">
        <x:v>1.18</x:v>
      </x:c>
      <x:c r="E178" s="13" t="str">
        <x:v>仅用于该港没有port_goods常设供货行的货品；有供货行时取该行local_price_factor，并保留本地生产或进口转口标识</x:v>
      </x:c>
      <x:c r="F178" s="13" t="str">
        <x:v>当地偏好与物资需求的原创设计基值</x:v>
      </x:c>
    </x:row>
    <x:row r="179" ht="42" customHeight="1">
      <x:c r="A179" s="15" t="str">
        <x:v>R11</x:v>
      </x:c>
      <x:c r="B179" s="15" t="str">
        <x:v>南美</x:v>
      </x:c>
      <x:c r="C179" s="15" t="str">
        <x:v>纤维</x:v>
      </x:c>
      <x:c r="D179" s="54" t="n">
        <x:v>0.98</x:v>
      </x:c>
      <x:c r="E179" s="15" t="str">
        <x:v>仅用于该港没有port_goods常设供货行的货品；有供货行时取该行local_price_factor，并保留本地生产或进口转口标识</x:v>
      </x:c>
      <x:c r="F179" s="15" t="str">
        <x:v>当地偏好与物资需求的原创设计基值</x:v>
      </x:c>
    </x:row>
    <x:row r="180" ht="42" customHeight="1">
      <x:c r="A180" s="13" t="str">
        <x:v>R11</x:v>
      </x:c>
      <x:c r="B180" s="13" t="str">
        <x:v>南美</x:v>
      </x:c>
      <x:c r="C180" s="13" t="str">
        <x:v>织物</x:v>
      </x:c>
      <x:c r="D180" s="52" t="n">
        <x:v>1.3</x:v>
      </x:c>
      <x:c r="E180" s="13" t="str">
        <x:v>仅用于该港没有port_goods常设供货行的货品；有供货行时取该行local_price_factor，并保留本地生产或进口转口标识</x:v>
      </x:c>
      <x:c r="F180" s="13" t="str">
        <x:v>当地偏好与物资需求的原创设计基值</x:v>
      </x:c>
    </x:row>
    <x:row r="181" ht="42" customHeight="1">
      <x:c r="A181" s="15" t="str">
        <x:v>R11</x:v>
      </x:c>
      <x:c r="B181" s="15" t="str">
        <x:v>南美</x:v>
      </x:c>
      <x:c r="C181" s="15" t="str">
        <x:v>香辛料</x:v>
      </x:c>
      <x:c r="D181" s="54" t="n">
        <x:v>1.35</x:v>
      </x:c>
      <x:c r="E181" s="15" t="str">
        <x:v>仅用于该港没有port_goods常设供货行的货品；有供货行时取该行local_price_factor，并保留本地生产或进口转口标识</x:v>
      </x:c>
      <x:c r="F181" s="15" t="str">
        <x:v>当地偏好与物资需求的原创设计基值</x:v>
      </x:c>
    </x:row>
    <x:row r="182" ht="42" customHeight="1">
      <x:c r="A182" s="13" t="str">
        <x:v>R11</x:v>
      </x:c>
      <x:c r="B182" s="13" t="str">
        <x:v>南美</x:v>
      </x:c>
      <x:c r="C182" s="13" t="str">
        <x:v>香料</x:v>
      </x:c>
      <x:c r="D182" s="52" t="n">
        <x:v>1.28</x:v>
      </x:c>
      <x:c r="E182" s="13" t="str">
        <x:v>仅用于该港没有port_goods常设供货行的货品；有供货行时取该行local_price_factor，并保留本地生产或进口转口标识</x:v>
      </x:c>
      <x:c r="F182" s="13" t="str">
        <x:v>当地偏好与物资需求的原创设计基值</x:v>
      </x:c>
    </x:row>
    <x:row r="183" ht="42" customHeight="1">
      <x:c r="A183" s="15" t="str">
        <x:v>R11</x:v>
      </x:c>
      <x:c r="B183" s="15" t="str">
        <x:v>南美</x:v>
      </x:c>
      <x:c r="C183" s="15" t="str">
        <x:v>矿石</x:v>
      </x:c>
      <x:c r="D183" s="54" t="n">
        <x:v>0.94</x:v>
      </x:c>
      <x:c r="E183" s="15" t="str">
        <x:v>仅用于该港没有port_goods常设供货行的货品；有供货行时取该行local_price_factor，并保留本地生产或进口转口标识</x:v>
      </x:c>
      <x:c r="F183" s="15" t="str">
        <x:v>当地偏好与物资需求的原创设计基值</x:v>
      </x:c>
    </x:row>
    <x:row r="184" ht="42" customHeight="1">
      <x:c r="A184" s="13" t="str">
        <x:v>R11</x:v>
      </x:c>
      <x:c r="B184" s="13" t="str">
        <x:v>南美</x:v>
      </x:c>
      <x:c r="C184" s="13" t="str">
        <x:v>金属</x:v>
      </x:c>
      <x:c r="D184" s="52" t="n">
        <x:v>0.92</x:v>
      </x:c>
      <x:c r="E184" s="13" t="str">
        <x:v>仅用于该港没有port_goods常设供货行的货品；有供货行时取该行local_price_factor，并保留本地生产或进口转口标识</x:v>
      </x:c>
      <x:c r="F184" s="13" t="str">
        <x:v>当地偏好与物资需求的原创设计基值</x:v>
      </x:c>
    </x:row>
    <x:row r="185" ht="42" customHeight="1">
      <x:c r="A185" s="15" t="str">
        <x:v>R11</x:v>
      </x:c>
      <x:c r="B185" s="15" t="str">
        <x:v>南美</x:v>
      </x:c>
      <x:c r="C185" s="15" t="str">
        <x:v>木材</x:v>
      </x:c>
      <x:c r="D185" s="54" t="n">
        <x:v>0.9</x:v>
      </x:c>
      <x:c r="E185" s="15" t="str">
        <x:v>仅用于该港没有port_goods常设供货行的货品；有供货行时取该行local_price_factor，并保留本地生产或进口转口标识</x:v>
      </x:c>
      <x:c r="F185" s="15" t="str">
        <x:v>当地偏好与物资需求的原创设计基值</x:v>
      </x:c>
    </x:row>
    <x:row r="186" ht="42" customHeight="1">
      <x:c r="A186" s="13" t="str">
        <x:v>R11</x:v>
      </x:c>
      <x:c r="B186" s="13" t="str">
        <x:v>南美</x:v>
      </x:c>
      <x:c r="C186" s="13" t="str">
        <x:v>工业品</x:v>
      </x:c>
      <x:c r="D186" s="52" t="n">
        <x:v>1.42</x:v>
      </x:c>
      <x:c r="E186" s="13" t="str">
        <x:v>仅用于该港没有port_goods常设供货行的货品；有供货行时取该行local_price_factor，并保留本地生产或进口转口标识</x:v>
      </x:c>
      <x:c r="F186" s="13" t="str">
        <x:v>当地偏好与物资需求的原创设计基值</x:v>
      </x:c>
    </x:row>
    <x:row r="187" ht="42" customHeight="1">
      <x:c r="A187" s="15" t="str">
        <x:v>R11</x:v>
      </x:c>
      <x:c r="B187" s="15" t="str">
        <x:v>南美</x:v>
      </x:c>
      <x:c r="C187" s="15" t="str">
        <x:v>工艺品</x:v>
      </x:c>
      <x:c r="D187" s="54" t="n">
        <x:v>1.36</x:v>
      </x:c>
      <x:c r="E187" s="15" t="str">
        <x:v>仅用于该港没有port_goods常设供货行的货品；有供货行时取该行local_price_factor，并保留本地生产或进口转口标识</x:v>
      </x:c>
      <x:c r="F187" s="15" t="str">
        <x:v>当地偏好与物资需求的原创设计基值</x:v>
      </x:c>
    </x:row>
    <x:row r="188" ht="42" customHeight="1">
      <x:c r="A188" s="13" t="str">
        <x:v>R11</x:v>
      </x:c>
      <x:c r="B188" s="13" t="str">
        <x:v>南美</x:v>
      </x:c>
      <x:c r="C188" s="13" t="str">
        <x:v>宝石</x:v>
      </x:c>
      <x:c r="D188" s="52" t="n">
        <x:v>1.15</x:v>
      </x:c>
      <x:c r="E188" s="13" t="str">
        <x:v>仅用于该港没有port_goods常设供货行的货品；有供货行时取该行local_price_factor，并保留本地生产或进口转口标识</x:v>
      </x:c>
      <x:c r="F188" s="13" t="str">
        <x:v>当地偏好与物资需求的原创设计基值</x:v>
      </x:c>
    </x:row>
    <x:row r="189" ht="42" customHeight="1">
      <x:c r="A189" s="15" t="str">
        <x:v>R11</x:v>
      </x:c>
      <x:c r="B189" s="15" t="str">
        <x:v>南美</x:v>
      </x:c>
      <x:c r="C189" s="15" t="str">
        <x:v>药材</x:v>
      </x:c>
      <x:c r="D189" s="54" t="n">
        <x:v>0.98</x:v>
      </x:c>
      <x:c r="E189" s="15" t="str">
        <x:v>仅用于该港没有port_goods常设供货行的货品；有供货行时取该行local_price_factor，并保留本地生产或进口转口标识</x:v>
      </x:c>
      <x:c r="F189" s="15" t="str">
        <x:v>当地偏好与物资需求的原创设计基值</x:v>
      </x:c>
    </x:row>
    <x:row r="190" ht="42" customHeight="1">
      <x:c r="A190" s="13" t="str">
        <x:v>R11</x:v>
      </x:c>
      <x:c r="B190" s="13" t="str">
        <x:v>南美</x:v>
      </x:c>
      <x:c r="C190" s="13" t="str">
        <x:v>染料</x:v>
      </x:c>
      <x:c r="D190" s="52" t="n">
        <x:v>1.04</x:v>
      </x:c>
      <x:c r="E190" s="13" t="str">
        <x:v>仅用于该港没有port_goods常设供货行的货品；有供货行时取该行local_price_factor，并保留本地生产或进口转口标识</x:v>
      </x:c>
      <x:c r="F190" s="13" t="str">
        <x:v>当地偏好与物资需求的原创设计基值</x:v>
      </x:c>
    </x:row>
    <x:row r="191" ht="42" customHeight="1">
      <x:c r="A191" s="15" t="str">
        <x:v>R11</x:v>
      </x:c>
      <x:c r="B191" s="15" t="str">
        <x:v>南美</x:v>
      </x:c>
      <x:c r="C191" s="15" t="str">
        <x:v>奢侈品</x:v>
      </x:c>
      <x:c r="D191" s="54" t="n">
        <x:v>1.3</x:v>
      </x:c>
      <x:c r="E191" s="15" t="str">
        <x:v>仅用于该港没有port_goods常设供货行的货品；有供货行时取该行local_price_factor，并保留本地生产或进口转口标识</x:v>
      </x:c>
      <x:c r="F191" s="15" t="str">
        <x:v>当地偏好与物资需求的原创设计基值</x:v>
      </x:c>
    </x:row>
    <x:row r="192" ht="42" customHeight="1">
      <x:c r="A192" s="13" t="str">
        <x:v>R11</x:v>
      </x:c>
      <x:c r="B192" s="13" t="str">
        <x:v>南美</x:v>
      </x:c>
      <x:c r="C192" s="13" t="str">
        <x:v>嗜好品</x:v>
      </x:c>
      <x:c r="D192" s="52" t="n">
        <x:v>1</x:v>
      </x:c>
      <x:c r="E192" s="13" t="str">
        <x:v>仅用于该港没有port_goods常设供货行的货品；有供货行时取该行local_price_factor，并保留本地生产或进口转口标识</x:v>
      </x:c>
      <x:c r="F192" s="13" t="str">
        <x:v>当地偏好与物资需求的原创设计基值</x:v>
      </x:c>
    </x:row>
    <x:row r="193" ht="42" customHeight="1">
      <x:c r="A193" s="15" t="str">
        <x:v>R12</x:v>
      </x:c>
      <x:c r="B193" s="15" t="str">
        <x:v>大洋洲与太平洋</x:v>
      </x:c>
      <x:c r="C193" s="15" t="str">
        <x:v>粮食</x:v>
      </x:c>
      <x:c r="D193" s="54" t="n">
        <x:v>1.06</x:v>
      </x:c>
      <x:c r="E193" s="15" t="str">
        <x:v>仅用于该港没有port_goods常设供货行的货品；有供货行时取该行local_price_factor，并保留本地生产或进口转口标识</x:v>
      </x:c>
      <x:c r="F193" s="15" t="str">
        <x:v>当地偏好与物资需求的原创设计基值</x:v>
      </x:c>
    </x:row>
    <x:row r="194" ht="42" customHeight="1">
      <x:c r="A194" s="13" t="str">
        <x:v>R12</x:v>
      </x:c>
      <x:c r="B194" s="13" t="str">
        <x:v>大洋洲与太平洋</x:v>
      </x:c>
      <x:c r="C194" s="13" t="str">
        <x:v>食品</x:v>
      </x:c>
      <x:c r="D194" s="52" t="n">
        <x:v>1.12</x:v>
      </x:c>
      <x:c r="E194" s="13" t="str">
        <x:v>仅用于该港没有port_goods常设供货行的货品；有供货行时取该行local_price_factor，并保留本地生产或进口转口标识</x:v>
      </x:c>
      <x:c r="F194" s="13" t="str">
        <x:v>当地偏好与物资需求的原创设计基值</x:v>
      </x:c>
    </x:row>
    <x:row r="195" ht="42" customHeight="1">
      <x:c r="A195" s="15" t="str">
        <x:v>R12</x:v>
      </x:c>
      <x:c r="B195" s="15" t="str">
        <x:v>大洋洲与太平洋</x:v>
      </x:c>
      <x:c r="C195" s="15" t="str">
        <x:v>酒类</x:v>
      </x:c>
      <x:c r="D195" s="54" t="n">
        <x:v>1.2</x:v>
      </x:c>
      <x:c r="E195" s="15" t="str">
        <x:v>仅用于该港没有port_goods常设供货行的货品；有供货行时取该行local_price_factor，并保留本地生产或进口转口标识</x:v>
      </x:c>
      <x:c r="F195" s="15" t="str">
        <x:v>当地偏好与物资需求的原创设计基值</x:v>
      </x:c>
    </x:row>
    <x:row r="196" ht="42" customHeight="1">
      <x:c r="A196" s="13" t="str">
        <x:v>R12</x:v>
      </x:c>
      <x:c r="B196" s="13" t="str">
        <x:v>大洋洲与太平洋</x:v>
      </x:c>
      <x:c r="C196" s="13" t="str">
        <x:v>纤维</x:v>
      </x:c>
      <x:c r="D196" s="52" t="n">
        <x:v>1.1</x:v>
      </x:c>
      <x:c r="E196" s="13" t="str">
        <x:v>仅用于该港没有port_goods常设供货行的货品；有供货行时取该行local_price_factor，并保留本地生产或进口转口标识</x:v>
      </x:c>
      <x:c r="F196" s="13" t="str">
        <x:v>当地偏好与物资需求的原创设计基值</x:v>
      </x:c>
    </x:row>
    <x:row r="197" ht="42" customHeight="1">
      <x:c r="A197" s="15" t="str">
        <x:v>R12</x:v>
      </x:c>
      <x:c r="B197" s="15" t="str">
        <x:v>大洋洲与太平洋</x:v>
      </x:c>
      <x:c r="C197" s="15" t="str">
        <x:v>织物</x:v>
      </x:c>
      <x:c r="D197" s="54" t="n">
        <x:v>1.34</x:v>
      </x:c>
      <x:c r="E197" s="15" t="str">
        <x:v>仅用于该港没有port_goods常设供货行的货品；有供货行时取该行local_price_factor，并保留本地生产或进口转口标识</x:v>
      </x:c>
      <x:c r="F197" s="15" t="str">
        <x:v>当地偏好与物资需求的原创设计基值</x:v>
      </x:c>
    </x:row>
    <x:row r="198" ht="42" customHeight="1">
      <x:c r="A198" s="13" t="str">
        <x:v>R12</x:v>
      </x:c>
      <x:c r="B198" s="13" t="str">
        <x:v>大洋洲与太平洋</x:v>
      </x:c>
      <x:c r="C198" s="13" t="str">
        <x:v>香辛料</x:v>
      </x:c>
      <x:c r="D198" s="52" t="n">
        <x:v>1.18</x:v>
      </x:c>
      <x:c r="E198" s="13" t="str">
        <x:v>仅用于该港没有port_goods常设供货行的货品；有供货行时取该行local_price_factor，并保留本地生产或进口转口标识</x:v>
      </x:c>
      <x:c r="F198" s="13" t="str">
        <x:v>当地偏好与物资需求的原创设计基值</x:v>
      </x:c>
    </x:row>
    <x:row r="199" ht="42" customHeight="1">
      <x:c r="A199" s="15" t="str">
        <x:v>R12</x:v>
      </x:c>
      <x:c r="B199" s="15" t="str">
        <x:v>大洋洲与太平洋</x:v>
      </x:c>
      <x:c r="C199" s="15" t="str">
        <x:v>香料</x:v>
      </x:c>
      <x:c r="D199" s="54" t="n">
        <x:v>1.2</x:v>
      </x:c>
      <x:c r="E199" s="15" t="str">
        <x:v>仅用于该港没有port_goods常设供货行的货品；有供货行时取该行local_price_factor，并保留本地生产或进口转口标识</x:v>
      </x:c>
      <x:c r="F199" s="15" t="str">
        <x:v>当地偏好与物资需求的原创设计基值</x:v>
      </x:c>
    </x:row>
    <x:row r="200" ht="42" customHeight="1">
      <x:c r="A200" s="13" t="str">
        <x:v>R12</x:v>
      </x:c>
      <x:c r="B200" s="13" t="str">
        <x:v>大洋洲与太平洋</x:v>
      </x:c>
      <x:c r="C200" s="13" t="str">
        <x:v>矿石</x:v>
      </x:c>
      <x:c r="D200" s="52" t="n">
        <x:v>1.32</x:v>
      </x:c>
      <x:c r="E200" s="13" t="str">
        <x:v>仅用于该港没有port_goods常设供货行的货品；有供货行时取该行local_price_factor，并保留本地生产或进口转口标识</x:v>
      </x:c>
      <x:c r="F200" s="13" t="str">
        <x:v>当地偏好与物资需求的原创设计基值</x:v>
      </x:c>
    </x:row>
    <x:row r="201" ht="42" customHeight="1">
      <x:c r="A201" s="15" t="str">
        <x:v>R12</x:v>
      </x:c>
      <x:c r="B201" s="15" t="str">
        <x:v>大洋洲与太平洋</x:v>
      </x:c>
      <x:c r="C201" s="15" t="str">
        <x:v>金属</x:v>
      </x:c>
      <x:c r="D201" s="54" t="n">
        <x:v>1.4</x:v>
      </x:c>
      <x:c r="E201" s="15" t="str">
        <x:v>仅用于该港没有port_goods常设供货行的货品；有供货行时取该行local_price_factor，并保留本地生产或进口转口标识</x:v>
      </x:c>
      <x:c r="F201" s="15" t="str">
        <x:v>当地偏好与物资需求的原创设计基值</x:v>
      </x:c>
    </x:row>
    <x:row r="202" ht="42" customHeight="1">
      <x:c r="A202" s="13" t="str">
        <x:v>R12</x:v>
      </x:c>
      <x:c r="B202" s="13" t="str">
        <x:v>大洋洲与太平洋</x:v>
      </x:c>
      <x:c r="C202" s="13" t="str">
        <x:v>木材</x:v>
      </x:c>
      <x:c r="D202" s="52" t="n">
        <x:v>1</x:v>
      </x:c>
      <x:c r="E202" s="13" t="str">
        <x:v>仅用于该港没有port_goods常设供货行的货品；有供货行时取该行local_price_factor，并保留本地生产或进口转口标识</x:v>
      </x:c>
      <x:c r="F202" s="13" t="str">
        <x:v>当地偏好与物资需求的原创设计基值</x:v>
      </x:c>
    </x:row>
    <x:row r="203" ht="42" customHeight="1">
      <x:c r="A203" s="15" t="str">
        <x:v>R12</x:v>
      </x:c>
      <x:c r="B203" s="15" t="str">
        <x:v>大洋洲与太平洋</x:v>
      </x:c>
      <x:c r="C203" s="15" t="str">
        <x:v>工业品</x:v>
      </x:c>
      <x:c r="D203" s="54" t="n">
        <x:v>1.52</x:v>
      </x:c>
      <x:c r="E203" s="15" t="str">
        <x:v>仅用于该港没有port_goods常设供货行的货品；有供货行时取该行local_price_factor，并保留本地生产或进口转口标识</x:v>
      </x:c>
      <x:c r="F203" s="15" t="str">
        <x:v>当地偏好与物资需求的原创设计基值</x:v>
      </x:c>
    </x:row>
    <x:row r="204" ht="42" customHeight="1">
      <x:c r="A204" s="13" t="str">
        <x:v>R12</x:v>
      </x:c>
      <x:c r="B204" s="13" t="str">
        <x:v>大洋洲与太平洋</x:v>
      </x:c>
      <x:c r="C204" s="13" t="str">
        <x:v>工艺品</x:v>
      </x:c>
      <x:c r="D204" s="52" t="n">
        <x:v>1.25</x:v>
      </x:c>
      <x:c r="E204" s="13" t="str">
        <x:v>仅用于该港没有port_goods常设供货行的货品；有供货行时取该行local_price_factor，并保留本地生产或进口转口标识</x:v>
      </x:c>
      <x:c r="F204" s="13" t="str">
        <x:v>当地偏好与物资需求的原创设计基值</x:v>
      </x:c>
    </x:row>
    <x:row r="205" ht="42" customHeight="1">
      <x:c r="A205" s="15" t="str">
        <x:v>R12</x:v>
      </x:c>
      <x:c r="B205" s="15" t="str">
        <x:v>大洋洲与太平洋</x:v>
      </x:c>
      <x:c r="C205" s="15" t="str">
        <x:v>宝石</x:v>
      </x:c>
      <x:c r="D205" s="54" t="n">
        <x:v>1.15</x:v>
      </x:c>
      <x:c r="E205" s="15" t="str">
        <x:v>仅用于该港没有port_goods常设供货行的货品；有供货行时取该行local_price_factor，并保留本地生产或进口转口标识</x:v>
      </x:c>
      <x:c r="F205" s="15" t="str">
        <x:v>当地偏好与物资需求的原创设计基值</x:v>
      </x:c>
    </x:row>
    <x:row r="206" ht="42" customHeight="1">
      <x:c r="A206" s="13" t="str">
        <x:v>R12</x:v>
      </x:c>
      <x:c r="B206" s="13" t="str">
        <x:v>大洋洲与太平洋</x:v>
      </x:c>
      <x:c r="C206" s="13" t="str">
        <x:v>药材</x:v>
      </x:c>
      <x:c r="D206" s="52" t="n">
        <x:v>1.24</x:v>
      </x:c>
      <x:c r="E206" s="13" t="str">
        <x:v>仅用于该港没有port_goods常设供货行的货品；有供货行时取该行local_price_factor，并保留本地生产或进口转口标识</x:v>
      </x:c>
      <x:c r="F206" s="13" t="str">
        <x:v>当地偏好与物资需求的原创设计基值</x:v>
      </x:c>
    </x:row>
    <x:row r="207" ht="42" customHeight="1">
      <x:c r="A207" s="15" t="str">
        <x:v>R12</x:v>
      </x:c>
      <x:c r="B207" s="15" t="str">
        <x:v>大洋洲与太平洋</x:v>
      </x:c>
      <x:c r="C207" s="15" t="str">
        <x:v>染料</x:v>
      </x:c>
      <x:c r="D207" s="54" t="n">
        <x:v>1.18</x:v>
      </x:c>
      <x:c r="E207" s="15" t="str">
        <x:v>仅用于该港没有port_goods常设供货行的货品；有供货行时取该行local_price_factor，并保留本地生产或进口转口标识</x:v>
      </x:c>
      <x:c r="F207" s="15" t="str">
        <x:v>当地偏好与物资需求的原创设计基值</x:v>
      </x:c>
    </x:row>
    <x:row r="208" ht="42" customHeight="1">
      <x:c r="A208" s="13" t="str">
        <x:v>R12</x:v>
      </x:c>
      <x:c r="B208" s="13" t="str">
        <x:v>大洋洲与太平洋</x:v>
      </x:c>
      <x:c r="C208" s="13" t="str">
        <x:v>奢侈品</x:v>
      </x:c>
      <x:c r="D208" s="52" t="n">
        <x:v>1.22</x:v>
      </x:c>
      <x:c r="E208" s="13" t="str">
        <x:v>仅用于该港没有port_goods常设供货行的货品；有供货行时取该行local_price_factor，并保留本地生产或进口转口标识</x:v>
      </x:c>
      <x:c r="F208" s="13" t="str">
        <x:v>当地偏好与物资需求的原创设计基值</x:v>
      </x:c>
    </x:row>
    <x:row r="209" ht="42" customHeight="1">
      <x:c r="A209" s="16" t="str">
        <x:v>R12</x:v>
      </x:c>
      <x:c r="B209" s="16" t="str">
        <x:v>大洋洲与太平洋</x:v>
      </x:c>
      <x:c r="C209" s="16" t="str">
        <x:v>嗜好品</x:v>
      </x:c>
      <x:c r="D209" s="55" t="n">
        <x:v>1.22</x:v>
      </x:c>
      <x:c r="E209" s="16" t="str">
        <x:v>仅用于该港没有port_goods常设供货行的货品；有供货行时取该行local_price_factor，并保留本地生产或进口转口标识</x:v>
      </x:c>
      <x:c r="F209" s="16" t="str">
        <x:v>当地偏好与物资需求的原创设计基值</x:v>
      </x:c>
    </x:row>
    <x:row r="210">
      <x:c r="A210" s="2"/>
      <x:c r="B210" s="2"/>
      <x:c r="C210" s="2"/>
      <x:c r="D210" s="2"/>
      <x:c r="E210" s="2"/>
      <x:c r="F210" s="2"/>
    </x:row>
  </x:sheetData>
  <x:pageMargins left="0.7" right="0.7" top="0.75" bottom="0.75" header="0.3" footer="0.3"/>
  <x:tableParts count="1">
    <x:tablePart xmlns:r="http://schemas.openxmlformats.org/officeDocument/2006/relationships" r:id="Ra3d1b17ded834948"/>
  </x:tableParts>
</x:worksheet>
</file>

<file path=xl/worksheets/sheet9.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24" hidden="0" customWidth="1"/>
    <x:col min="3" max="3" width="94" hidden="0" customWidth="1"/>
    <x:col min="4" max="4" width="58" hidden="0" customWidth="1"/>
    <x:col min="5" max="5" width="59" hidden="0" customWidth="1"/>
  </x:cols>
  <x:sheetData>
    <x:row r="1">
      <x:c r="A1" s="2"/>
      <x:c r="B1" s="2"/>
      <x:c r="C1" s="2"/>
      <x:c r="D1" s="2"/>
      <x:c r="E1" s="2"/>
    </x:row>
    <x:row r="2" ht="28" customHeight="1">
      <x:c r="A2" s="3" t="str">
        <x:v>跑商玩法与动态物价规则</x:v>
      </x:c>
      <x:c r="B2" s="2"/>
      <x:c r="C2" s="2"/>
      <x:c r="D2" s="2"/>
      <x:c r="E2" s="2"/>
    </x:row>
    <x:row r="3">
      <x:c r="A3" s="2"/>
      <x:c r="B3" s="2"/>
      <x:c r="C3" s="2"/>
      <x:c r="D3" s="2"/>
      <x:c r="E3" s="2"/>
    </x:row>
    <x:row r="4">
      <x:c r="A4" s="2"/>
      <x:c r="B4" s="2"/>
      <x:c r="C4" s="2"/>
      <x:c r="D4" s="2"/>
      <x:c r="E4" s="2"/>
    </x:row>
    <x:row r="5" ht="34" customHeight="1">
      <x:c r="A5" s="10" t="str">
        <x:v>编号</x:v>
      </x:c>
      <x:c r="B5" s="10" t="str">
        <x:v>模块</x:v>
      </x:c>
      <x:c r="C5" s="10" t="str">
        <x:v>规则或公式</x:v>
      </x:c>
      <x:c r="D5" s="10" t="str">
        <x:v>玩家操作</x:v>
      </x:c>
      <x:c r="E5" s="10" t="str">
        <x:v>可见反馈</x:v>
      </x:c>
    </x:row>
    <x:row r="6" ht="31" customHeight="1">
      <x:c r="A6" s="12" t="str">
        <x:v>EC01</x:v>
      </x:c>
      <x:c r="B6" s="12" t="str">
        <x:v>基础价格</x:v>
      </x:c>
      <x:c r="C6" s="12" t="str">
        <x:v>每种商品B为银币/货载单位；正常品质、基准库存、普通季节的全球价值锚。具体B见商品总表。</x:v>
      </x:c>
      <x:c r="D6" s="12" t="str">
        <x:v>根据单位舱容、产地和需求选择商品。</x:v>
      </x:c>
      <x:c r="E6" s="12" t="str">
        <x:v>货物卡显示基础价、当地报价和产地。</x:v>
      </x:c>
    </x:row>
    <x:row r="7" ht="42" customHeight="1">
      <x:c r="A7" s="15" t="str">
        <x:v>EC02</x:v>
      </x:c>
      <x:c r="B7" s="15" t="str">
        <x:v>当地长期价系数L</x:v>
      </x:c>
      <x:c r="C7" s="15" t="str">
        <x:v>港口有常设供货记录（含本地生产、加工、腹地集散和进口转口）时取港口商品表local_price_factor；无供货记录的商品取区域需求表。独特特产离开其产区时，再乘1.15的异域认知系数。</x:v>
      </x:c>
      <x:c r="D7" s="15" t="str">
        <x:v>寻找有真实需求的销区，特产通常有更好的舱容收益。</x:v>
      </x:c>
      <x:c r="E7" s="15" t="str">
        <x:v>注明“产地供给”“当地偏好”“异域特产”来源。</x:v>
      </x:c>
    </x:row>
    <x:row r="8" ht="42" customHeight="1">
      <x:c r="A8" s="13" t="str">
        <x:v>EC03</x:v>
      </x:c>
      <x:c r="B8" s="13" t="str">
        <x:v>库存系数S</x:v>
      </x:c>
      <x:c r="C8" s="13" t="str">
        <x:v>S=MAX(0.65,MIN(1.65,(目标库存/当前库存)^0.6))；库存为0时使用1.65。目标库存=base_stock×(1+0.12×当前D等级)。</x:v>
      </x:c>
      <x:c r="D8" s="13" t="str">
        <x:v>买空会抬高后续买价，集中抛售会压低卖价。</x:v>
      </x:c>
      <x:c r="E8" s="13" t="str">
        <x:v>显示库存紧张/充裕和价格变化原因。</x:v>
      </x:c>
    </x:row>
    <x:row r="9" ht="31" customHeight="1">
      <x:c r="A9" s="15" t="str">
        <x:v>EC04</x:v>
      </x:c>
      <x:c r="B9" s="15" t="str">
        <x:v>季节系数T</x:v>
      </x:c>
      <x:c r="C9" s="15" t="str">
        <x:v>由商品产区和目的港消费季节决定，通常0.80—1.30；特定收获节或节庆写在事件表。无季节差异时为1。</x:v>
      </x:c>
      <x:c r="D9" s="15" t="str">
        <x:v>在丰收时采购、在节日或冬季供给。</x:v>
      </x:c>
      <x:c r="E9" s="15" t="str">
        <x:v>市场日历显示可预见的月份变化。</x:v>
      </x:c>
    </x:row>
    <x:row r="10" ht="31" customHeight="1">
      <x:c r="A10" s="13" t="str">
        <x:v>EC05</x:v>
      </x:c>
      <x:c r="B10" s="13" t="str">
        <x:v>事件系数E</x:v>
      </x:c>
      <x:c r="C10" s="13" t="str">
        <x:v>由当前有效事件相乘后限制在0.55—2.20；影响具体品类与港口，结束后用3游戏日回归1。</x:v>
      </x:c>
      <x:c r="D10" s="13" t="str">
        <x:v>追逐短期机会、解决供给事件。</x:v>
      </x:c>
      <x:c r="E10" s="13" t="str">
        <x:v>新闻写清受影响货物、消息日期与估计持续期。</x:v>
      </x:c>
    </x:row>
    <x:row r="11" ht="31" customHeight="1">
      <x:c r="A11" s="15" t="str">
        <x:v>EC06</x:v>
      </x:c>
      <x:c r="B11" s="15" t="str">
        <x:v>品质系数Q</x:v>
      </x:c>
      <x:c r="C11" s="15" t="str">
        <x:v>普通1.00、精选1.15、大师1.35；品质附着货批而非港口价格。加工订单或特定海员可提升品质。</x:v>
      </x:c>
      <x:c r="D11" s="15" t="str">
        <x:v>用好舱室保存成品，选择卖货或保留高级材料。</x:v>
      </x:c>
      <x:c r="E11" s="15" t="str">
        <x:v>货批分别显示品质和购入成本。</x:v>
      </x:c>
    </x:row>
    <x:row r="12" ht="31" customHeight="1">
      <x:c r="A12" s="13" t="str">
        <x:v>EC07</x:v>
      </x:c>
      <x:c r="B12" s="13" t="str">
        <x:v>中间价</x:v>
      </x:c>
      <x:c r="C12" s="13" t="str">
        <x:v>V=B×L×S×T×E×Q，计算中保留小数，最终单价四舍五入为整数银币。</x:v>
      </x:c>
      <x:c r="D12" s="13" t="str">
        <x:v>用贸易面板看到影响价格的五项因素。</x:v>
      </x:c>
      <x:c r="E12" s="13" t="str">
        <x:v>不使用不可解释的后台随机涨跌。</x:v>
      </x:c>
    </x:row>
    <x:row r="13" ht="31" customHeight="1">
      <x:c r="A13" s="15" t="str">
        <x:v>EC08</x:v>
      </x:c>
      <x:c r="B13" s="15" t="str">
        <x:v>买卖报价</x:v>
      </x:c>
      <x:c r="C13" s="15" t="str">
        <x:v>玩家买价=ROUND(V×1.08×(1+采购税率),0)；玩家卖价=ROUND(V×0.92×(1-销售税率),0)。默认两税率均4%。</x:v>
      </x:c>
      <x:c r="D13" s="15" t="str">
        <x:v>通过关系和谈判降低税率或买卖价差。</x:v>
      </x:c>
      <x:c r="E13" s="15" t="str">
        <x:v>同港同状态买价高于卖价，报价在确认时锁定该批。</x:v>
      </x:c>
    </x:row>
    <x:row r="14" ht="31" customHeight="1">
      <x:c r="A14" s="13" t="str">
        <x:v>EC09</x:v>
      </x:c>
      <x:c r="B14" s="13" t="str">
        <x:v>大单均价</x:v>
      </x:c>
      <x:c r="C14" s="13" t="str">
        <x:v>订单每5单位一批，逐批更新库存与S；面板显示整单均价和总额。小于5单位按实际数量。</x:v>
      </x:c>
      <x:c r="D14" s="13" t="str">
        <x:v>分批、分港销售，或找需求明确的大额合同。</x:v>
      </x:c>
      <x:c r="E14" s="13" t="str">
        <x:v>大单预览给出第一批与最后一批价格。</x:v>
      </x:c>
    </x:row>
    <x:row r="15" ht="42" customHeight="1">
      <x:c r="A15" s="15" t="str">
        <x:v>EC10</x:v>
      </x:c>
      <x:c r="B15" s="15" t="str">
        <x:v>库存更新</x:v>
      </x:c>
      <x:c r="C15" s="15" t="str">
        <x:v>每日生产=weekly_supply/7×(1+0.10×D等级)；本地消费=目标库存×0.025/日。玩家与NPC买入减库存、卖出增库存。</x:v>
      </x:c>
      <x:c r="D15" s="15" t="str">
        <x:v>投资增加供给；给工坊供原料也能触发订单。</x:v>
      </x:c>
      <x:c r="E15" s="15" t="str">
        <x:v>生产与消费各有独立条目，交易后立刻反映。</x:v>
      </x:c>
    </x:row>
    <x:row r="16" ht="31" customHeight="1">
      <x:c r="A16" s="13" t="str">
        <x:v>EC11</x:v>
      </x:c>
      <x:c r="B16" s="13" t="str">
        <x:v>非产地市场</x:v>
      </x:c>
      <x:c r="C16" s="13" t="str">
        <x:v>非出售港也接受常规货物；首次生成需求库存=同分类当地容量×0.6，目标库存随港口规模确定。</x:v>
      </x:c>
      <x:c r="D16" s="13" t="str">
        <x:v>小港同样可以成为新销路。</x:v>
      </x:c>
      <x:c r="E16" s="13" t="str">
        <x:v>“当地收购但不生产”与可购买库存区分显示。</x:v>
      </x:c>
    </x:row>
    <x:row r="17" ht="31" customHeight="1">
      <x:c r="A17" s="15" t="str">
        <x:v>EC12</x:v>
      </x:c>
      <x:c r="B17" s="15" t="str">
        <x:v>价格情报</x:v>
      </x:c>
      <x:c r="C17" s="15" t="str">
        <x:v>仅显示亲访或获得商报时的报价；每条行情带游戏日日期。地区商报延迟2—7日，跨洋消息10—21日。</x:v>
      </x:c>
      <x:c r="D17" s="15" t="str">
        <x:v>购买情报，派驻会计，比较近期而非永久真实价格。</x:v>
      </x:c>
      <x:c r="E17" s="15" t="str">
        <x:v>旧情报逐渐淡化，仍可查看上次交易利润。</x:v>
      </x:c>
    </x:row>
    <x:row r="18" ht="31" customHeight="1">
      <x:c r="A18" s="13" t="str">
        <x:v>EC13</x:v>
      </x:c>
      <x:c r="B18" s="13" t="str">
        <x:v>交易清单</x:v>
      </x:c>
      <x:c r="C18" s="13" t="str">
        <x:v>同屏列数量、单价、总价、来源、占舱、保质期和预估落地利润；可保存常用采购清单。</x:v>
      </x:c>
      <x:c r="D18" s="13" t="str">
        <x:v>一次规划多货种，保留返程补给空间。</x:v>
      </x:c>
      <x:c r="E18" s="13" t="str">
        <x:v>剩余货舱和银币实时更新。</x:v>
      </x:c>
    </x:row>
    <x:row r="19" ht="42" customHeight="1">
      <x:c r="A19" s="15" t="str">
        <x:v>EC14</x:v>
      </x:c>
      <x:c r="B19" s="15" t="str">
        <x:v>真实利润</x:v>
      </x:c>
      <x:c r="C19" s="15" t="str">
        <x:v>航次净利润=销售收入-买货成本-两端税费中未含部分-补给-普通水手工资-独特海员工资-修理-靠港费；报价已含的税不再扣。</x:v>
      </x:c>
      <x:c r="D19" s="15" t="str">
        <x:v>比较短程高周转与长程高单价。</x:v>
      </x:c>
      <x:c r="E19" s="15" t="str">
        <x:v>航海账簿按航次结算，显示利润/航行日。</x:v>
      </x:c>
    </x:row>
    <x:row r="20" ht="31" customHeight="1">
      <x:c r="A20" s="13" t="str">
        <x:v>EC15</x:v>
      </x:c>
      <x:c r="B20" s="13" t="str">
        <x:v>补给</x:v>
      </x:c>
      <x:c r="C20" s="13" t="str">
        <x:v>食物1货载单位供300水手日，水1单位供200水手日；普通海员也占人数。基础采购食物40、水8银币/单位。</x:v>
      </x:c>
      <x:c r="D20" s="13" t="str">
        <x:v>按停靠计划分段装载补给。</x:v>
      </x:c>
      <x:c r="E20" s="13" t="str">
        <x:v>显示预计可航行天数，不需反复心算。</x:v>
      </x:c>
    </x:row>
    <x:row r="21" ht="31" customHeight="1">
      <x:c r="A21" s="15" t="str">
        <x:v>EC16</x:v>
      </x:c>
      <x:c r="B21" s="15" t="str">
        <x:v>负载与航速</x:v>
      </x:c>
      <x:c r="C21" s="15" t="str">
        <x:v>实际平静海面航速=船基速×(1-0.18×装载率)×风况系数×船体状况系数；舰队航程按最慢随行船估算。</x:v>
      </x:c>
      <x:c r="D21" s="15" t="str">
        <x:v>决定以货舱、护卫还是快速高价小货为主。</x:v>
      </x:c>
      <x:c r="E21" s="15" t="str">
        <x:v>出港前给出各船速度与航程。</x:v>
      </x:c>
    </x:row>
    <x:row r="22" ht="31" customHeight="1">
      <x:c r="A22" s="13" t="str">
        <x:v>EC17</x:v>
      </x:c>
      <x:c r="B22" s="13" t="str">
        <x:v>航程估算</x:v>
      </x:c>
      <x:c r="C22" s="13" t="str">
        <x:v>航行日=海上航路海里/(预计节速×24)；海里来自绕过陆地的航线节点，不是城市直线距离。</x:v>
      </x:c>
      <x:c r="D22" s="13" t="str">
        <x:v>沿季风或靠近岸线选择不同路线。</x:v>
      </x:c>
      <x:c r="E22" s="13" t="str">
        <x:v>天气区间与停靠次数一起显示。</x:v>
      </x:c>
    </x:row>
    <x:row r="23" ht="31" customHeight="1">
      <x:c r="A23" s="15" t="str">
        <x:v>EC18</x:v>
      </x:c>
      <x:c r="B23" s="15" t="str">
        <x:v>腐坏</x:v>
      </x:c>
      <x:c r="C23" s="15" t="str">
        <x:v>超过shelf_life_days后每天损失该货批初始量的2%；食品冷舱或腌制改造延长有效期；0表示耐储。</x:v>
      </x:c>
      <x:c r="D23" s="15" t="str">
        <x:v>把鲜货送邻港，远洋采用干货和成品。</x:v>
      </x:c>
      <x:c r="E23" s="15" t="str">
        <x:v>货物不突然整批消失，到港预估可售数量可见。</x:v>
      </x:c>
    </x:row>
    <x:row r="24" ht="31" customHeight="1">
      <x:c r="A24" s="13" t="str">
        <x:v>EC19</x:v>
      </x:c>
      <x:c r="B24" s="13" t="str">
        <x:v>地方流行</x:v>
      </x:c>
      <x:c r="C24" s="13" t="str">
        <x:v>交付节庆订单或举办品鉴可让指定品类在相邻3港流行20日；同一地区每季一次。</x:v>
      </x:c>
      <x:c r="D24" s="13" t="str">
        <x:v>用地方需求塑造销路，而不是只跟随报价。</x:v>
      </x:c>
      <x:c r="E24" s="13" t="str">
        <x:v>港口摆出商品装饰，角色讨论新风尚。</x:v>
      </x:c>
    </x:row>
    <x:row r="25" ht="31" customHeight="1">
      <x:c r="A25" s="15" t="str">
        <x:v>EC20</x:v>
      </x:c>
      <x:c r="B25" s="15" t="str">
        <x:v>工坊加工</x:v>
      </x:c>
      <x:c r="C25" s="15" t="str">
        <x:v>原料和加工费换定额货批；需对应D等级和工艺任务。加工使用游戏日，占当地订单槽。</x:v>
      </x:c>
      <x:c r="D25" s="15" t="str">
        <x:v>跑原料回程，再把地方精工品运出去。</x:v>
      </x:c>
      <x:c r="E25" s="15" t="str">
        <x:v>订单明确所需原料、耗时和成品数量。</x:v>
      </x:c>
    </x:row>
    <x:row r="26" ht="31" customHeight="1">
      <x:c r="A26" s="13" t="str">
        <x:v>EC21</x:v>
      </x:c>
      <x:c r="B26" s="13" t="str">
        <x:v>贸易关系</x:v>
      </x:c>
      <x:c r="C26" s="13" t="str">
        <x:v>关系-100—100；0可普通贸易，25接地方订单，50获得额外采购量25%，75获得工坊引荐，100进入结盟剧情。</x:v>
      </x:c>
      <x:c r="D26" s="13" t="str">
        <x:v>帮助当地需求和人物，不靠单一金钱刷满。</x:v>
      </x:c>
      <x:c r="E26" s="13" t="str">
        <x:v>关系利益和下一条故事条件同时显示。</x:v>
      </x:c>
    </x:row>
    <x:row r="27" ht="31" customHeight="1">
      <x:c r="A27" s="15" t="str">
        <x:v>EC22</x:v>
      </x:c>
      <x:c r="B27" s="15" t="str">
        <x:v>港口影响</x:v>
      </x:c>
      <x:c r="C27" s="15" t="str">
        <x:v>港口份额分玩家、当地商团和外来势力，总和100；投资主要提升玩家份额，但大港始终保留地方经营席位。</x:v>
      </x:c>
      <x:c r="D27" s="15" t="str">
        <x:v>竞争合同、谈判换仓位、组织护航。</x:v>
      </x:c>
      <x:c r="E27" s="15" t="str">
        <x:v>玩家控制的是商贸设施与合同，地方社会仍有主体。</x:v>
      </x:c>
    </x:row>
    <x:row r="28" ht="31" customHeight="1">
      <x:c r="A28" s="13" t="str">
        <x:v>EC23</x:v>
      </x:c>
      <x:c r="B28" s="13" t="str">
        <x:v>商会与地方商队</x:v>
      </x:c>
      <x:c r="C28" s="13" t="str">
        <x:v>航线、采购上限、最低卖价、补给点和舰长由玩家设置；只在已亲自走通航路运营。</x:v>
      </x:c>
      <x:c r="D28" s="13" t="str">
        <x:v>成熟短程路线交给伙伴，主舰队继续远航。</x:v>
      </x:c>
      <x:c r="E28" s="13" t="str">
        <x:v>每次返航给一页收入、消息、人物小事件。</x:v>
      </x:c>
    </x:row>
    <x:row r="29" ht="31" customHeight="1">
      <x:c r="A29" s="15" t="str">
        <x:v>EC24</x:v>
      </x:c>
      <x:c r="B29" s="15" t="str">
        <x:v>名声与委托</x:v>
      </x:c>
      <x:c r="C29" s="15" t="str">
        <x:v>贸易、探索、海战声望分开记；某一领域足够即可取得相应委托，不要求三线全刷。</x:v>
      </x:c>
      <x:c r="D29" s="15" t="str">
        <x:v>选择经商、探险或武装护航的主要身份。</x:v>
      </x:c>
      <x:c r="E29" s="15" t="str">
        <x:v>港口委托列表注明哪个名声满足要求。</x:v>
      </x:c>
    </x:row>
    <x:row r="30" ht="31" customHeight="1">
      <x:c r="A30" s="13" t="str">
        <x:v>EC25</x:v>
      </x:c>
      <x:c r="B30" s="13" t="str">
        <x:v>城市规模与消费</x:v>
      </x:c>
      <x:c r="C30" s="13" t="str">
        <x:v>小港需求容量60、中港160、大港360货载单位/分类；季节或剧情大单另有明确需求量。</x:v>
      </x:c>
      <x:c r="D30" s="13" t="str">
        <x:v>高价货送大港，日用品支援小港。</x:v>
      </x:c>
      <x:c r="E30" s="13" t="str">
        <x:v>城市会消化进口货，但不会即时无限吞货。</x:v>
      </x:c>
    </x:row>
    <x:row r="31" ht="31" customHeight="1">
      <x:c r="A31" s="15" t="str">
        <x:v>EC26</x:v>
      </x:c>
      <x:c r="B31" s="15" t="str">
        <x:v>风与航季</x:v>
      </x:c>
      <x:c r="C31" s="15" t="str">
        <x:v>季风顺逆影响航时和停靠计划；同一路线去程与返程的最佳月份可不同。</x:v>
      </x:c>
      <x:c r="D31" s="15" t="str">
        <x:v>决定等风做支线，或多花补给逆风走。</x:v>
      </x:c>
      <x:c r="E31" s="15" t="str">
        <x:v>航图显示推荐月份与替代航线。</x:v>
      </x:c>
    </x:row>
    <x:row r="32" ht="31" customHeight="1">
      <x:c r="A32" s="13" t="str">
        <x:v>EC27</x:v>
      </x:c>
      <x:c r="B32" s="13" t="str">
        <x:v>出售入口</x:v>
      </x:c>
      <x:c r="C32" s="13" t="str">
        <x:v>普通货物可市场卖；古物与独特发现走博物馆/赞助人/地方收藏，发现记录不会因出售物件删除。</x:v>
      </x:c>
      <x:c r="D32" s="13" t="str">
        <x:v>区分周转货、研究物与个人纪念物。</x:v>
      </x:c>
      <x:c r="E32" s="13" t="str">
        <x:v>可比较一次银币与永久知识奖励。</x:v>
      </x:c>
    </x:row>
    <x:row r="33" ht="31" customHeight="1">
      <x:c r="A33" s="15" t="str">
        <x:v>EC29</x:v>
      </x:c>
      <x:c r="B33" s="15" t="str">
        <x:v>水手薪资</x:v>
      </x:c>
      <x:c r="C33" s="15" t="str">
        <x:v>普通水手每人每30游戏日20银币；独特海员按各自月薪计费。逐日累计，在航次账簿同时列两项。</x:v>
      </x:c>
      <x:c r="D33" s="15" t="str">
        <x:v>按船只功能分配编制，人物另有签约与个人故事。</x:v>
      </x:c>
      <x:c r="E33" s="15" t="str">
        <x:v>工资支出可追溯到水手编制与独特海员名单。</x:v>
      </x:c>
    </x:row>
    <x:row r="34" ht="31" customHeight="1">
      <x:c r="A34" s="14" t="str">
        <x:v>EC28</x:v>
      </x:c>
      <x:c r="B34" s="14" t="str">
        <x:v>价格示例用途</x:v>
      </x:c>
      <x:c r="C34" s="14" t="str">
        <x:v>物价演算表提供一个可修改的胡椒航次，计算公式可编辑；该表中的销区库存和事件是演示状态。</x:v>
      </x:c>
      <x:c r="D34" s="14" t="str">
        <x:v>用基础参数快速检查设计意图。</x:v>
      </x:c>
      <x:c r="E34" s="14" t="str">
        <x:v>明确“设计演算”而非实际交易历史数据。</x:v>
      </x:c>
    </x:row>
    <x:row r="35">
      <x:c r="A35" s="2"/>
      <x:c r="B35" s="2"/>
      <x:c r="C35" s="2"/>
      <x:c r="D35" s="2"/>
      <x:c r="E35" s="2"/>
    </x:row>
  </x:sheetData>
  <x:pageMargins left="0.7" right="0.7" top="0.75" bottom="0.75" header="0.3" footer="0.3"/>
  <x:tableParts count="1">
    <x:tablePart xmlns:r="http://schemas.openxmlformats.org/officeDocument/2006/relationships" r:id="R3ec71f7d33364b56"/>
  </x:tableParts>
</x:worksheet>
</file>

<file path=xl/worksheets/sheet10.xml><?xml version="1.0" encoding="utf-8"?>
<x:worksheet xmlns:x="http://schemas.openxmlformats.org/spreadsheetml/2006/main">
  <x:sheetPr>
    <x:tabColor rgb="FFAA7C35"/>
  </x:sheetPr>
  <x:sheetViews>
    <x:sheetView showGridLines="0" workbookViewId="0">
      <x:pane ySplit="5" topLeftCell="A6" activePane="bottomLeft" state="frozen"/>
    </x:sheetView>
  </x:sheetViews>
  <x:sheetFormatPr defaultRowHeight="15"/>
  <x:cols>
    <x:col min="1" max="1" width="23" hidden="0" customWidth="1"/>
    <x:col min="2" max="2" width="18" hidden="0" customWidth="1"/>
    <x:col min="3" max="3" width="18" hidden="0" customWidth="1"/>
    <x:col min="4" max="4" width="48"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s>
  <x:sheetData>
    <x:row r="1">
      <x:c r="A1" s="56"/>
      <x:c r="B1" s="56"/>
      <x:c r="C1" s="56"/>
      <x:c r="D1" s="56"/>
      <x:c r="E1" s="56"/>
      <x:c r="F1" s="56"/>
      <x:c r="G1" s="56"/>
      <x:c r="H1" s="56"/>
      <x:c r="I1" s="56"/>
      <x:c r="J1" s="56"/>
      <x:c r="K1" s="56"/>
    </x:row>
    <x:row r="2" ht="30" customHeight="1">
      <x:c r="A2" s="57" t="str">
        <x:v>胡椒航次的物价演算</x:v>
      </x:c>
      <x:c r="B2" s="56"/>
      <x:c r="C2" s="56"/>
      <x:c r="D2" s="56"/>
      <x:c r="E2" s="56"/>
      <x:c r="F2" s="56"/>
      <x:c r="G2" s="56"/>
      <x:c r="H2" s="56"/>
      <x:c r="I2" s="56"/>
      <x:c r="J2" s="56"/>
      <x:c r="K2" s="56"/>
    </x:row>
    <x:row r="3">
      <x:c r="A3" s="58" t="str">
        <x:v>输入为原创设计场景；每5单位逐批成交，买入抬高产地价格、卖出降低销区价格。</x:v>
      </x:c>
      <x:c r="B3" s="56"/>
      <x:c r="C3" s="56"/>
      <x:c r="D3" s="56"/>
      <x:c r="E3" s="56"/>
      <x:c r="F3" s="56"/>
      <x:c r="G3" s="56"/>
      <x:c r="H3" s="56"/>
      <x:c r="I3" s="56"/>
      <x:c r="J3" s="56"/>
      <x:c r="K3" s="56"/>
    </x:row>
    <x:row r="4">
      <x:c r="A4" s="56"/>
      <x:c r="B4" s="56"/>
      <x:c r="C4" s="56"/>
      <x:c r="D4" s="56"/>
      <x:c r="E4" s="56"/>
      <x:c r="F4" s="56"/>
      <x:c r="G4" s="56"/>
      <x:c r="H4" s="56"/>
      <x:c r="I4" s="56"/>
      <x:c r="J4" s="56"/>
      <x:c r="K4" s="56"/>
    </x:row>
    <x:row r="5" ht="32" customHeight="1">
      <x:c r="A5" s="60" t="str">
        <x:v>因素</x:v>
      </x:c>
      <x:c r="B5" s="60" t="str">
        <x:v>卡利卡特采购</x:v>
      </x:c>
      <x:c r="C5" s="60" t="str">
        <x:v>里斯本出售</x:v>
      </x:c>
      <x:c r="D5" s="60" t="str">
        <x:v>含义</x:v>
      </x:c>
      <x:c r="E5" s="56"/>
      <x:c r="F5" s="56"/>
      <x:c r="G5" s="56"/>
      <x:c r="H5" s="56"/>
      <x:c r="I5" s="56"/>
      <x:c r="J5" s="56"/>
      <x:c r="K5" s="56"/>
    </x:row>
    <x:row r="6" ht="38" customHeight="1">
      <x:c r="A6" s="56" t="str">
        <x:v>商品</x:v>
      </x:c>
      <x:c r="B6" s="56" t="str">
        <x:v>胡椒</x:v>
      </x:c>
      <x:c r="C6" s="56" t="str">
        <x:v>胡椒</x:v>
      </x:c>
      <x:c r="D6" s="71" t="str">
        <x:v>同一货批运往不同文化需求区</x:v>
      </x:c>
      <x:c r="E6" s="56"/>
      <x:c r="F6" s="56"/>
      <x:c r="G6" s="56"/>
      <x:c r="H6" s="56"/>
      <x:c r="I6" s="56"/>
      <x:c r="J6" s="56"/>
      <x:c r="K6" s="56"/>
    </x:row>
    <x:row r="7" ht="38" customHeight="1">
      <x:c r="A7" s="56" t="str">
        <x:v>基础价 B</x:v>
      </x:c>
      <x:c r="B7" s="65" t="n">
        <x:f>'03贸易品'!D34</x:f>
        <x:v>260</x:v>
      </x:c>
      <x:c r="C7" s="65" t="n">
        <x:f>B7</x:f>
        <x:v>260</x:v>
      </x:c>
      <x:c r="D7" s="71" t="str">
        <x:v>银币/货载单位，链接商品总表</x:v>
      </x:c>
      <x:c r="E7" s="56"/>
      <x:c r="F7" s="56"/>
      <x:c r="G7" s="56"/>
      <x:c r="H7" s="56"/>
      <x:c r="I7" s="56"/>
      <x:c r="J7" s="56"/>
      <x:c r="K7" s="56"/>
    </x:row>
    <x:row r="8" ht="38" customHeight="1">
      <x:c r="A8" s="56" t="str">
        <x:v>当地长期系数 L</x:v>
      </x:c>
      <x:c r="B8" s="63" t="n">
        <x:v>0.74</x:v>
      </x:c>
      <x:c r="C8" s="63" t="n">
        <x:v>1.08</x:v>
      </x:c>
      <x:c r="D8" s="71" t="str">
        <x:v>有常驻供货记录优先用该港系数；缺记录才取区域需求</x:v>
      </x:c>
      <x:c r="E8" s="56"/>
      <x:c r="F8" s="56"/>
      <x:c r="G8" s="56"/>
      <x:c r="H8" s="56"/>
      <x:c r="I8" s="56"/>
      <x:c r="J8" s="56"/>
      <x:c r="K8" s="56"/>
    </x:row>
    <x:row r="9" ht="38" customHeight="1">
      <x:c r="A9" s="56" t="str">
        <x:v>目标库存</x:v>
      </x:c>
      <x:c r="B9" s="61" t="n">
        <x:v>150</x:v>
      </x:c>
      <x:c r="C9" s="61" t="n">
        <x:v>120</x:v>
      </x:c>
      <x:c r="D9" s="71" t="str">
        <x:v>货载单位；演示港口库存状态</x:v>
      </x:c>
      <x:c r="E9" s="56"/>
      <x:c r="F9" s="56"/>
      <x:c r="G9" s="56"/>
      <x:c r="H9" s="56"/>
      <x:c r="I9" s="56"/>
      <x:c r="J9" s="56"/>
      <x:c r="K9" s="56"/>
    </x:row>
    <x:row r="10" ht="38" customHeight="1">
      <x:c r="A10" s="56" t="str">
        <x:v>当前库存</x:v>
      </x:c>
      <x:c r="B10" s="61" t="n">
        <x:v>180</x:v>
      </x:c>
      <x:c r="C10" s="61" t="n">
        <x:v>80</x:v>
      </x:c>
      <x:c r="D10" s="71" t="str">
        <x:v>采购扣减、销售增加</x:v>
      </x:c>
      <x:c r="E10" s="56"/>
      <x:c r="F10" s="56"/>
      <x:c r="G10" s="56"/>
      <x:c r="H10" s="56"/>
      <x:c r="I10" s="56"/>
      <x:c r="J10" s="56"/>
      <x:c r="K10" s="56"/>
    </x:row>
    <x:row r="11" ht="38" customHeight="1">
      <x:c r="A11" s="56" t="str">
        <x:v>库存系数 S</x:v>
      </x:c>
      <x:c r="B11" s="64" t="n">
        <x:f>IF(B10=0,1.65,MAX(0.65,MIN(1.65,(B9/B10)^0.6)))</x:f>
        <x:v>0.8963781307771418</x:v>
      </x:c>
      <x:c r="C11" s="64" t="n">
        <x:f>IF(C10=0,1.65,MAX(0.65,MIN(1.65,(C9/C10)^0.6)))</x:f>
        <x:v>1.2754245006257907</x:v>
      </x:c>
      <x:c r="D11" s="71" t="str">
        <x:v>(目标/当前)^0.6，限制0.65—1.65</x:v>
      </x:c>
      <x:c r="E11" s="56"/>
      <x:c r="F11" s="56"/>
      <x:c r="G11" s="56"/>
      <x:c r="H11" s="56"/>
      <x:c r="I11" s="56"/>
      <x:c r="J11" s="56"/>
      <x:c r="K11" s="56"/>
    </x:row>
    <x:row r="12" ht="38" customHeight="1">
      <x:c r="A12" s="56" t="str">
        <x:v>季节系数 T</x:v>
      </x:c>
      <x:c r="B12" s="63" t="n">
        <x:v>1</x:v>
      </x:c>
      <x:c r="C12" s="63" t="n">
        <x:v>1.1</x:v>
      </x:c>
      <x:c r="D12" s="71" t="str">
        <x:v>例：销区消费旺季</x:v>
      </x:c>
      <x:c r="E12" s="56"/>
      <x:c r="F12" s="56"/>
      <x:c r="G12" s="56"/>
      <x:c r="H12" s="56"/>
      <x:c r="I12" s="56"/>
      <x:c r="J12" s="56"/>
      <x:c r="K12" s="56"/>
    </x:row>
    <x:row r="13" ht="38" customHeight="1">
      <x:c r="A13" s="56" t="str">
        <x:v>事件系数 E</x:v>
      </x:c>
      <x:c r="B13" s="63" t="n">
        <x:v>1</x:v>
      </x:c>
      <x:c r="C13" s="63" t="n">
        <x:v>1.15</x:v>
      </x:c>
      <x:c r="D13" s="71" t="str">
        <x:v>例：销区节庆订单</x:v>
      </x:c>
      <x:c r="E13" s="56"/>
      <x:c r="F13" s="56"/>
      <x:c r="G13" s="56"/>
      <x:c r="H13" s="56"/>
      <x:c r="I13" s="56"/>
      <x:c r="J13" s="56"/>
      <x:c r="K13" s="56"/>
    </x:row>
    <x:row r="14" ht="38" customHeight="1">
      <x:c r="A14" s="56" t="str">
        <x:v>品质系数 Q</x:v>
      </x:c>
      <x:c r="B14" s="63" t="n">
        <x:v>1</x:v>
      </x:c>
      <x:c r="C14" s="63" t="n">
        <x:v>1</x:v>
      </x:c>
      <x:c r="D14" s="71" t="str">
        <x:v>普通1.00，精选1.15，大师1.35</x:v>
      </x:c>
      <x:c r="E14" s="56"/>
      <x:c r="F14" s="56"/>
      <x:c r="G14" s="56"/>
      <x:c r="H14" s="56"/>
      <x:c r="I14" s="56"/>
      <x:c r="J14" s="56"/>
      <x:c r="K14" s="56"/>
    </x:row>
    <x:row r="15" ht="38" customHeight="1">
      <x:c r="A15" s="56" t="str">
        <x:v>公允中间价 V</x:v>
      </x:c>
      <x:c r="B15" s="64" t="n">
        <x:f>B7*B8*B11*B12*B13*B14</x:f>
        <x:v>172.46315236152208</x:v>
      </x:c>
      <x:c r="C15" s="64" t="n">
        <x:f>C7*C8*C11*C12*C13*C14</x:f>
        <x:v>453.0460877162884</x:v>
      </x:c>
      <x:c r="D15" s="71" t="str">
        <x:v>B × L × S × T × E × Q</x:v>
      </x:c>
      <x:c r="E15" s="56"/>
      <x:c r="F15" s="56"/>
      <x:c r="G15" s="56"/>
      <x:c r="H15" s="56"/>
      <x:c r="I15" s="56"/>
      <x:c r="J15" s="56"/>
      <x:c r="K15" s="56"/>
    </x:row>
    <x:row r="16" ht="38" customHeight="1">
      <x:c r="A16" s="56" t="str">
        <x:v>报价系数</x:v>
      </x:c>
      <x:c r="B16" s="63" t="n">
        <x:v>1.08</x:v>
      </x:c>
      <x:c r="C16" s="63" t="n">
        <x:v>0.92</x:v>
      </x:c>
      <x:c r="D16" s="71" t="str">
        <x:v>买入加价，卖出折价</x:v>
      </x:c>
      <x:c r="E16" s="56"/>
      <x:c r="F16" s="56"/>
      <x:c r="G16" s="56"/>
      <x:c r="H16" s="56"/>
      <x:c r="I16" s="56"/>
      <x:c r="J16" s="56"/>
      <x:c r="K16" s="56"/>
    </x:row>
    <x:row r="17" ht="38" customHeight="1">
      <x:c r="A17" s="56" t="str">
        <x:v>税率</x:v>
      </x:c>
      <x:c r="B17" s="62" t="n">
        <x:v>0.04</x:v>
      </x:c>
      <x:c r="C17" s="62" t="n">
        <x:v>0.04</x:v>
      </x:c>
      <x:c r="D17" s="71" t="str">
        <x:v>本例为两端交易税，各只计一次</x:v>
      </x:c>
      <x:c r="E17" s="56"/>
      <x:c r="F17" s="56"/>
      <x:c r="G17" s="56"/>
      <x:c r="H17" s="56"/>
      <x:c r="I17" s="56"/>
      <x:c r="J17" s="56"/>
      <x:c r="K17" s="56"/>
    </x:row>
    <x:row r="18" ht="38" customHeight="1">
      <x:c r="A18" s="56" t="str">
        <x:v>首批单位成交价</x:v>
      </x:c>
      <x:c r="B18" s="65" t="n">
        <x:f>ROUND(B15*B16*(1+B17),0)</x:f>
        <x:v>194</x:v>
      </x:c>
      <x:c r="C18" s="65" t="n">
        <x:f>ROUND(C15*C16*(1-C17),0)</x:f>
        <x:v>400</x:v>
      </x:c>
      <x:c r="D18" s="71" t="str">
        <x:v>先算公允价，再计价差与税，最后取整</x:v>
      </x:c>
      <x:c r="E18" s="56"/>
      <x:c r="F18" s="56"/>
      <x:c r="G18" s="56"/>
      <x:c r="H18" s="56"/>
      <x:c r="I18" s="56"/>
      <x:c r="J18" s="56"/>
      <x:c r="K18" s="56"/>
    </x:row>
    <x:row r="19" ht="38" customHeight="1">
      <x:c r="A19" s="56" t="str">
        <x:v>计划/实际交易量</x:v>
      </x:c>
      <x:c r="B19" s="66" t="n">
        <x:v>30</x:v>
      </x:c>
      <x:c r="C19" s="65" t="n">
        <x:f>MAX(0,MIN(B19,B10))</x:f>
        <x:v>30</x:v>
      </x:c>
      <x:c r="D19" s="71" t="str">
        <x:v>左侧计划0—100单位；右侧实际量不超过采购库存</x:v>
      </x:c>
      <x:c r="E19" s="56"/>
      <x:c r="F19" s="56"/>
      <x:c r="G19" s="56"/>
      <x:c r="H19" s="56"/>
      <x:c r="I19" s="56"/>
      <x:c r="J19" s="56"/>
      <x:c r="K19" s="56"/>
    </x:row>
    <x:row r="20" ht="38" customHeight="1">
      <x:c r="A20" s="56" t="str">
        <x:v>航次游戏日</x:v>
      </x:c>
      <x:c r="B20" s="66" t="n">
        <x:v>24</x:v>
      </x:c>
      <x:c r="C20" s="65" t="str"/>
      <x:c r="D20" s="71" t="str">
        <x:v>用于净利润/日；可修改</x:v>
      </x:c>
      <x:c r="E20" s="56"/>
      <x:c r="F20" s="56"/>
      <x:c r="G20" s="56"/>
      <x:c r="H20" s="56"/>
      <x:c r="I20" s="56"/>
      <x:c r="J20" s="56"/>
      <x:c r="K20" s="56"/>
    </x:row>
    <x:row r="21">
      <x:c r="A21" s="56"/>
      <x:c r="B21" s="56"/>
      <x:c r="C21" s="56"/>
      <x:c r="D21" s="56"/>
      <x:c r="E21" s="56"/>
      <x:c r="F21" s="56"/>
      <x:c r="G21" s="56"/>
      <x:c r="H21" s="56"/>
      <x:c r="I21" s="56"/>
      <x:c r="J21" s="56"/>
      <x:c r="K21" s="56"/>
    </x:row>
    <x:row r="22">
      <x:c r="A22" s="56"/>
      <x:c r="B22" s="56"/>
      <x:c r="C22" s="56"/>
      <x:c r="D22" s="56"/>
      <x:c r="E22" s="56"/>
      <x:c r="F22" s="56"/>
      <x:c r="G22" s="56"/>
      <x:c r="H22" s="56"/>
      <x:c r="I22" s="56"/>
      <x:c r="J22" s="56"/>
      <x:c r="K22" s="56"/>
    </x:row>
    <x:row r="23" ht="36" customHeight="1">
      <x:c r="A23" s="67" t="str">
        <x:v>港口交易</x:v>
      </x:c>
      <x:c r="B23" s="67" t="str">
        <x:v>批次</x:v>
      </x:c>
      <x:c r="C23" s="67" t="str">
        <x:v>数量</x:v>
      </x:c>
      <x:c r="D23" s="67" t="str">
        <x:v>采购前库存</x:v>
      </x:c>
      <x:c r="E23" s="67" t="str">
        <x:v>采购S</x:v>
      </x:c>
      <x:c r="F23" s="67" t="str">
        <x:v>采购单价</x:v>
      </x:c>
      <x:c r="G23" s="67" t="str">
        <x:v>采购小计</x:v>
      </x:c>
      <x:c r="H23" s="67" t="str">
        <x:v>销售前库存</x:v>
      </x:c>
      <x:c r="I23" s="67" t="str">
        <x:v>销售S</x:v>
      </x:c>
      <x:c r="J23" s="67" t="str">
        <x:v>销售单价</x:v>
      </x:c>
      <x:c r="K23" s="67" t="str">
        <x:v>销售小计</x:v>
      </x:c>
    </x:row>
    <x:row r="24" ht="26" customHeight="1">
      <x:c r="A24" s="56" t="str">
        <x:v>胡椒</x:v>
      </x:c>
      <x:c r="B24" s="56" t="n">
        <x:v>1</x:v>
      </x:c>
      <x:c r="C24" s="65" t="n">
        <x:f>MIN(5,MAX(0,$C$19-5*(B24-1)))</x:f>
        <x:v>5</x:v>
      </x:c>
      <x:c r="D24" s="65" t="n">
        <x:f>$B$10</x:f>
        <x:v>180</x:v>
      </x:c>
      <x:c r="E24" s="64" t="n">
        <x:f>IF(D24=0,1.65,MAX(0.65,MIN(1.65,($B$9/D24)^0.6)))</x:f>
        <x:v>0.8963781307771418</x:v>
      </x:c>
      <x:c r="F24" s="65" t="n">
        <x:f>ROUND($B$7*$B$8*E24*$B$12*$B$13*$B$14*$B$16*(1+$B$17),0)</x:f>
        <x:v>194</x:v>
      </x:c>
      <x:c r="G24" s="65" t="n">
        <x:f>C24*F24</x:f>
        <x:v>970</x:v>
      </x:c>
      <x:c r="H24" s="65" t="n">
        <x:f>$C$10</x:f>
        <x:v>80</x:v>
      </x:c>
      <x:c r="I24" s="64" t="n">
        <x:f>IF(H24=0,1.65,MAX(0.65,MIN(1.65,($C$9/H24)^0.6)))</x:f>
        <x:v>1.2754245006257907</x:v>
      </x:c>
      <x:c r="J24" s="65" t="n">
        <x:f>ROUND($C$7*$C$8*I24*$C$12*$C$13*$C$14*$C$16*(1-$C$17),0)</x:f>
        <x:v>400</x:v>
      </x:c>
      <x:c r="K24" s="65" t="n">
        <x:f>C24*J24</x:f>
        <x:v>2000</x:v>
      </x:c>
    </x:row>
    <x:row r="25" ht="26" customHeight="1">
      <x:c r="A25" s="68" t="str">
        <x:v>胡椒</x:v>
      </x:c>
      <x:c r="B25" s="68" t="n">
        <x:v>2</x:v>
      </x:c>
      <x:c r="C25" s="73" t="n">
        <x:f>MIN(5,MAX(0,$C$19-5*(B25-1)))</x:f>
        <x:v>5</x:v>
      </x:c>
      <x:c r="D25" s="73" t="n">
        <x:f>$B$10-SUM($C$24:C24)</x:f>
        <x:v>175</x:v>
      </x:c>
      <x:c r="E25" s="74" t="n">
        <x:f>IF(D25=0,1.65,MAX(0.65,MIN(1.65,($B$9/D25)^0.6)))</x:f>
        <x:v>0.911657955640121</x:v>
      </x:c>
      <x:c r="F25" s="73" t="n">
        <x:f>ROUND($B$7*$B$8*E25*$B$12*$B$13*$B$14*$B$16*(1+$B$17),0)</x:f>
        <x:v>197</x:v>
      </x:c>
      <x:c r="G25" s="73" t="n">
        <x:f>C25*F25</x:f>
        <x:v>985</x:v>
      </x:c>
      <x:c r="H25" s="73" t="n">
        <x:f>$C$10+SUM($C$24:C24)</x:f>
        <x:v>85</x:v>
      </x:c>
      <x:c r="I25" s="74" t="n">
        <x:f>IF(H25=0,1.65,MAX(0.65,MIN(1.65,($C$9/H25)^0.6)))</x:f>
        <x:v>1.2298648579652531</x:v>
      </x:c>
      <x:c r="J25" s="73" t="n">
        <x:f>ROUND($C$7*$C$8*I25*$C$12*$C$13*$C$14*$C$16*(1-$C$17),0)</x:f>
        <x:v>386</x:v>
      </x:c>
      <x:c r="K25" s="73" t="n">
        <x:f>C25*J25</x:f>
        <x:v>1930</x:v>
      </x:c>
    </x:row>
    <x:row r="26" ht="26" customHeight="1">
      <x:c r="A26" s="56" t="str">
        <x:v>胡椒</x:v>
      </x:c>
      <x:c r="B26" s="56" t="n">
        <x:v>3</x:v>
      </x:c>
      <x:c r="C26" s="65" t="n">
        <x:f>MIN(5,MAX(0,$C$19-5*(B26-1)))</x:f>
        <x:v>5</x:v>
      </x:c>
      <x:c r="D26" s="65" t="n">
        <x:f>$B$10-SUM($C$24:C25)</x:f>
        <x:v>170</x:v>
      </x:c>
      <x:c r="E26" s="64" t="n">
        <x:f>IF(D26=0,1.65,MAX(0.65,MIN(1.65,($B$9/D26)^0.6)))</x:f>
        <x:v>0.927652677885301</x:v>
      </x:c>
      <x:c r="F26" s="65" t="n">
        <x:f>ROUND($B$7*$B$8*E26*$B$12*$B$13*$B$14*$B$16*(1+$B$17),0)</x:f>
        <x:v>200</x:v>
      </x:c>
      <x:c r="G26" s="65" t="n">
        <x:f>C26*F26</x:f>
        <x:v>1000</x:v>
      </x:c>
      <x:c r="H26" s="65" t="n">
        <x:f>$C$10+SUM($C$24:C25)</x:f>
        <x:v>90</x:v>
      </x:c>
      <x:c r="I26" s="64" t="n">
        <x:f>IF(H26=0,1.65,MAX(0.65,MIN(1.65,($C$9/H26)^0.6)))</x:f>
        <x:v>1.1884016386440022</x:v>
      </x:c>
      <x:c r="J26" s="65" t="n">
        <x:f>ROUND($C$7*$C$8*I26*$C$12*$C$13*$C$14*$C$16*(1-$C$17),0)</x:f>
        <x:v>373</x:v>
      </x:c>
      <x:c r="K26" s="65" t="n">
        <x:f>C26*J26</x:f>
        <x:v>1865</x:v>
      </x:c>
    </x:row>
    <x:row r="27" ht="26" customHeight="1">
      <x:c r="A27" s="68" t="str">
        <x:v>胡椒</x:v>
      </x:c>
      <x:c r="B27" s="68" t="n">
        <x:v>4</x:v>
      </x:c>
      <x:c r="C27" s="73" t="n">
        <x:f>MIN(5,MAX(0,$C$19-5*(B27-1)))</x:f>
        <x:v>5</x:v>
      </x:c>
      <x:c r="D27" s="73" t="n">
        <x:f>$B$10-SUM($C$24:C26)</x:f>
        <x:v>165</x:v>
      </x:c>
      <x:c r="E27" s="74" t="n">
        <x:f>IF(D27=0,1.65,MAX(0.65,MIN(1.65,($B$9/D27)^0.6)))</x:f>
        <x:v>0.9444182893218951</x:v>
      </x:c>
      <x:c r="F27" s="73" t="n">
        <x:f>ROUND($B$7*$B$8*E27*$B$12*$B$13*$B$14*$B$16*(1+$B$17),0)</x:f>
        <x:v>204</x:v>
      </x:c>
      <x:c r="G27" s="73" t="n">
        <x:f>C27*F27</x:f>
        <x:v>1020</x:v>
      </x:c>
      <x:c r="H27" s="73" t="n">
        <x:f>$C$10+SUM($C$24:C26)</x:f>
        <x:v>95</x:v>
      </x:c>
      <x:c r="I27" s="74" t="n">
        <x:f>IF(H27=0,1.65,MAX(0.65,MIN(1.65,($C$9/H27)^0.6)))</x:f>
        <x:v>1.1504681088300805</x:v>
      </x:c>
      <x:c r="J27" s="73" t="n">
        <x:f>ROUND($C$7*$C$8*I27*$C$12*$C$13*$C$14*$C$16*(1-$C$17),0)</x:f>
        <x:v>361</x:v>
      </x:c>
      <x:c r="K27" s="73" t="n">
        <x:f>C27*J27</x:f>
        <x:v>1805</x:v>
      </x:c>
    </x:row>
    <x:row r="28" ht="26" customHeight="1">
      <x:c r="A28" s="56" t="str">
        <x:v>胡椒</x:v>
      </x:c>
      <x:c r="B28" s="56" t="n">
        <x:v>5</x:v>
      </x:c>
      <x:c r="C28" s="65" t="n">
        <x:f>MIN(5,MAX(0,$C$19-5*(B28-1)))</x:f>
        <x:v>5</x:v>
      </x:c>
      <x:c r="D28" s="65" t="n">
        <x:f>$B$10-SUM($C$24:C27)</x:f>
        <x:v>160</x:v>
      </x:c>
      <x:c r="E28" s="64" t="n">
        <x:f>IF(D28=0,1.65,MAX(0.65,MIN(1.65,($B$9/D28)^0.6)))</x:f>
        <x:v>0.9620170425907598</x:v>
      </x:c>
      <x:c r="F28" s="65" t="n">
        <x:f>ROUND($B$7*$B$8*E28*$B$12*$B$13*$B$14*$B$16*(1+$B$17),0)</x:f>
        <x:v>208</x:v>
      </x:c>
      <x:c r="G28" s="65" t="n">
        <x:f>C28*F28</x:f>
        <x:v>1040</x:v>
      </x:c>
      <x:c r="H28" s="65" t="n">
        <x:f>$C$10+SUM($C$24:C27)</x:f>
        <x:v>100</x:v>
      </x:c>
      <x:c r="I28" s="64" t="n">
        <x:f>IF(H28=0,1.65,MAX(0.65,MIN(1.65,($C$9/H28)^0.6)))</x:f>
        <x:v>1.1156006217298275</x:v>
      </x:c>
      <x:c r="J28" s="65" t="n">
        <x:f>ROUND($C$7*$C$8*I28*$C$12*$C$13*$C$14*$C$16*(1-$C$17),0)</x:f>
        <x:v>350</x:v>
      </x:c>
      <x:c r="K28" s="65" t="n">
        <x:f>C28*J28</x:f>
        <x:v>1750</x:v>
      </x:c>
    </x:row>
    <x:row r="29" ht="26" customHeight="1">
      <x:c r="A29" s="68" t="str">
        <x:v>胡椒</x:v>
      </x:c>
      <x:c r="B29" s="68" t="n">
        <x:v>6</x:v>
      </x:c>
      <x:c r="C29" s="73" t="n">
        <x:f>MIN(5,MAX(0,$C$19-5*(B29-1)))</x:f>
        <x:v>5</x:v>
      </x:c>
      <x:c r="D29" s="73" t="n">
        <x:f>$B$10-SUM($C$24:C28)</x:f>
        <x:v>155</x:v>
      </x:c>
      <x:c r="E29" s="74" t="n">
        <x:f>IF(D29=0,1.65,MAX(0.65,MIN(1.65,($B$9/D29)^0.6)))</x:f>
        <x:v>0.9805183744008931</x:v>
      </x:c>
      <x:c r="F29" s="73" t="n">
        <x:f>ROUND($B$7*$B$8*E29*$B$12*$B$13*$B$14*$B$16*(1+$B$17),0)</x:f>
        <x:v>212</x:v>
      </x:c>
      <x:c r="G29" s="73" t="n">
        <x:f>C29*F29</x:f>
        <x:v>1060</x:v>
      </x:c>
      <x:c r="H29" s="73" t="n">
        <x:f>$C$10+SUM($C$24:C28)</x:f>
        <x:v>105</x:v>
      </x:c>
      <x:c r="I29" s="74" t="n">
        <x:f>IF(H29=0,1.65,MAX(0.65,MIN(1.65,($C$9/H29)^0.6)))</x:f>
        <x:v>1.083415808365561</x:v>
      </x:c>
      <x:c r="J29" s="73" t="n">
        <x:f>ROUND($C$7*$C$8*I29*$C$12*$C$13*$C$14*$C$16*(1-$C$17),0)</x:f>
        <x:v>340</x:v>
      </x:c>
      <x:c r="K29" s="73" t="n">
        <x:f>C29*J29</x:f>
        <x:v>1700</x:v>
      </x:c>
    </x:row>
    <x:row r="30" ht="26" customHeight="1">
      <x:c r="A30" s="56" t="str">
        <x:v>胡椒</x:v>
      </x:c>
      <x:c r="B30" s="56" t="n">
        <x:v>7</x:v>
      </x:c>
      <x:c r="C30" s="65" t="n">
        <x:f>MIN(5,MAX(0,$C$19-5*(B30-1)))</x:f>
        <x:v>0</x:v>
      </x:c>
      <x:c r="D30" s="65" t="n">
        <x:f>$B$10-SUM($C$24:C29)</x:f>
        <x:v>150</x:v>
      </x:c>
      <x:c r="E30" s="64" t="n">
        <x:f>IF(D30=0,1.65,MAX(0.65,MIN(1.65,($B$9/D30)^0.6)))</x:f>
        <x:v>1</x:v>
      </x:c>
      <x:c r="F30" s="65" t="n">
        <x:f>ROUND($B$7*$B$8*E30*$B$12*$B$13*$B$14*$B$16*(1+$B$17),0)</x:f>
        <x:v>216</x:v>
      </x:c>
      <x:c r="G30" s="65" t="n">
        <x:f>C30*F30</x:f>
        <x:v>0</x:v>
      </x:c>
      <x:c r="H30" s="65" t="n">
        <x:f>$C$10+SUM($C$24:C29)</x:f>
        <x:v>110</x:v>
      </x:c>
      <x:c r="I30" s="64" t="n">
        <x:f>IF(H30=0,1.65,MAX(0.65,MIN(1.65,($C$9/H30)^0.6)))</x:f>
        <x:v>1.0535936307405263</x:v>
      </x:c>
      <x:c r="J30" s="65" t="n">
        <x:f>ROUND($C$7*$C$8*I30*$C$12*$C$13*$C$14*$C$16*(1-$C$17),0)</x:f>
        <x:v>331</x:v>
      </x:c>
      <x:c r="K30" s="65" t="n">
        <x:f>C30*J30</x:f>
        <x:v>0</x:v>
      </x:c>
    </x:row>
    <x:row r="31" ht="26" customHeight="1">
      <x:c r="A31" s="68" t="str">
        <x:v>胡椒</x:v>
      </x:c>
      <x:c r="B31" s="68" t="n">
        <x:v>8</x:v>
      </x:c>
      <x:c r="C31" s="73" t="n">
        <x:f>MIN(5,MAX(0,$C$19-5*(B31-1)))</x:f>
        <x:v>0</x:v>
      </x:c>
      <x:c r="D31" s="73" t="n">
        <x:f>$B$10-SUM($C$24:C30)</x:f>
        <x:v>150</x:v>
      </x:c>
      <x:c r="E31" s="74" t="n">
        <x:f>IF(D31=0,1.65,MAX(0.65,MIN(1.65,($B$9/D31)^0.6)))</x:f>
        <x:v>1</x:v>
      </x:c>
      <x:c r="F31" s="73" t="n">
        <x:f>ROUND($B$7*$B$8*E31*$B$12*$B$13*$B$14*$B$16*(1+$B$17),0)</x:f>
        <x:v>216</x:v>
      </x:c>
      <x:c r="G31" s="73" t="n">
        <x:f>C31*F31</x:f>
        <x:v>0</x:v>
      </x:c>
      <x:c r="H31" s="73" t="n">
        <x:f>$C$10+SUM($C$24:C30)</x:f>
        <x:v>110</x:v>
      </x:c>
      <x:c r="I31" s="74" t="n">
        <x:f>IF(H31=0,1.65,MAX(0.65,MIN(1.65,($C$9/H31)^0.6)))</x:f>
        <x:v>1.0535936307405263</x:v>
      </x:c>
      <x:c r="J31" s="73" t="n">
        <x:f>ROUND($C$7*$C$8*I31*$C$12*$C$13*$C$14*$C$16*(1-$C$17),0)</x:f>
        <x:v>331</x:v>
      </x:c>
      <x:c r="K31" s="73" t="n">
        <x:f>C31*J31</x:f>
        <x:v>0</x:v>
      </x:c>
    </x:row>
    <x:row r="32" ht="26" customHeight="1">
      <x:c r="A32" s="56" t="str">
        <x:v>胡椒</x:v>
      </x:c>
      <x:c r="B32" s="56" t="n">
        <x:v>9</x:v>
      </x:c>
      <x:c r="C32" s="65" t="n">
        <x:f>MIN(5,MAX(0,$C$19-5*(B32-1)))</x:f>
        <x:v>0</x:v>
      </x:c>
      <x:c r="D32" s="65" t="n">
        <x:f>$B$10-SUM($C$24:C31)</x:f>
        <x:v>150</x:v>
      </x:c>
      <x:c r="E32" s="64" t="n">
        <x:f>IF(D32=0,1.65,MAX(0.65,MIN(1.65,($B$9/D32)^0.6)))</x:f>
        <x:v>1</x:v>
      </x:c>
      <x:c r="F32" s="65" t="n">
        <x:f>ROUND($B$7*$B$8*E32*$B$12*$B$13*$B$14*$B$16*(1+$B$17),0)</x:f>
        <x:v>216</x:v>
      </x:c>
      <x:c r="G32" s="65" t="n">
        <x:f>C32*F32</x:f>
        <x:v>0</x:v>
      </x:c>
      <x:c r="H32" s="65" t="n">
        <x:f>$C$10+SUM($C$24:C31)</x:f>
        <x:v>110</x:v>
      </x:c>
      <x:c r="I32" s="64" t="n">
        <x:f>IF(H32=0,1.65,MAX(0.65,MIN(1.65,($C$9/H32)^0.6)))</x:f>
        <x:v>1.0535936307405263</x:v>
      </x:c>
      <x:c r="J32" s="65" t="n">
        <x:f>ROUND($C$7*$C$8*I32*$C$12*$C$13*$C$14*$C$16*(1-$C$17),0)</x:f>
        <x:v>331</x:v>
      </x:c>
      <x:c r="K32" s="65" t="n">
        <x:f>C32*J32</x:f>
        <x:v>0</x:v>
      </x:c>
    </x:row>
    <x:row r="33" ht="26" customHeight="1">
      <x:c r="A33" s="68" t="str">
        <x:v>胡椒</x:v>
      </x:c>
      <x:c r="B33" s="68" t="n">
        <x:v>10</x:v>
      </x:c>
      <x:c r="C33" s="73" t="n">
        <x:f>MIN(5,MAX(0,$C$19-5*(B33-1)))</x:f>
        <x:v>0</x:v>
      </x:c>
      <x:c r="D33" s="73" t="n">
        <x:f>$B$10-SUM($C$24:C32)</x:f>
        <x:v>150</x:v>
      </x:c>
      <x:c r="E33" s="74" t="n">
        <x:f>IF(D33=0,1.65,MAX(0.65,MIN(1.65,($B$9/D33)^0.6)))</x:f>
        <x:v>1</x:v>
      </x:c>
      <x:c r="F33" s="73" t="n">
        <x:f>ROUND($B$7*$B$8*E33*$B$12*$B$13*$B$14*$B$16*(1+$B$17),0)</x:f>
        <x:v>216</x:v>
      </x:c>
      <x:c r="G33" s="73" t="n">
        <x:f>C33*F33</x:f>
        <x:v>0</x:v>
      </x:c>
      <x:c r="H33" s="73" t="n">
        <x:f>$C$10+SUM($C$24:C32)</x:f>
        <x:v>110</x:v>
      </x:c>
      <x:c r="I33" s="74" t="n">
        <x:f>IF(H33=0,1.65,MAX(0.65,MIN(1.65,($C$9/H33)^0.6)))</x:f>
        <x:v>1.0535936307405263</x:v>
      </x:c>
      <x:c r="J33" s="73" t="n">
        <x:f>ROUND($C$7*$C$8*I33*$C$12*$C$13*$C$14*$C$16*(1-$C$17),0)</x:f>
        <x:v>331</x:v>
      </x:c>
      <x:c r="K33" s="73" t="n">
        <x:f>C33*J33</x:f>
        <x:v>0</x:v>
      </x:c>
    </x:row>
    <x:row r="34" ht="26" customHeight="1">
      <x:c r="A34" s="56" t="str">
        <x:v>胡椒</x:v>
      </x:c>
      <x:c r="B34" s="56" t="n">
        <x:v>11</x:v>
      </x:c>
      <x:c r="C34" s="65" t="n">
        <x:f>MIN(5,MAX(0,$C$19-5*(B34-1)))</x:f>
        <x:v>0</x:v>
      </x:c>
      <x:c r="D34" s="65" t="n">
        <x:f>$B$10-SUM($C$24:C33)</x:f>
        <x:v>150</x:v>
      </x:c>
      <x:c r="E34" s="64" t="n">
        <x:f>IF(D34=0,1.65,MAX(0.65,MIN(1.65,($B$9/D34)^0.6)))</x:f>
        <x:v>1</x:v>
      </x:c>
      <x:c r="F34" s="65" t="n">
        <x:f>ROUND($B$7*$B$8*E34*$B$12*$B$13*$B$14*$B$16*(1+$B$17),0)</x:f>
        <x:v>216</x:v>
      </x:c>
      <x:c r="G34" s="65" t="n">
        <x:f>C34*F34</x:f>
        <x:v>0</x:v>
      </x:c>
      <x:c r="H34" s="65" t="n">
        <x:f>$C$10+SUM($C$24:C33)</x:f>
        <x:v>110</x:v>
      </x:c>
      <x:c r="I34" s="64" t="n">
        <x:f>IF(H34=0,1.65,MAX(0.65,MIN(1.65,($C$9/H34)^0.6)))</x:f>
        <x:v>1.0535936307405263</x:v>
      </x:c>
      <x:c r="J34" s="65" t="n">
        <x:f>ROUND($C$7*$C$8*I34*$C$12*$C$13*$C$14*$C$16*(1-$C$17),0)</x:f>
        <x:v>331</x:v>
      </x:c>
      <x:c r="K34" s="65" t="n">
        <x:f>C34*J34</x:f>
        <x:v>0</x:v>
      </x:c>
    </x:row>
    <x:row r="35" ht="26" customHeight="1">
      <x:c r="A35" s="68" t="str">
        <x:v>胡椒</x:v>
      </x:c>
      <x:c r="B35" s="68" t="n">
        <x:v>12</x:v>
      </x:c>
      <x:c r="C35" s="73" t="n">
        <x:f>MIN(5,MAX(0,$C$19-5*(B35-1)))</x:f>
        <x:v>0</x:v>
      </x:c>
      <x:c r="D35" s="73" t="n">
        <x:f>$B$10-SUM($C$24:C34)</x:f>
        <x:v>150</x:v>
      </x:c>
      <x:c r="E35" s="74" t="n">
        <x:f>IF(D35=0,1.65,MAX(0.65,MIN(1.65,($B$9/D35)^0.6)))</x:f>
        <x:v>1</x:v>
      </x:c>
      <x:c r="F35" s="73" t="n">
        <x:f>ROUND($B$7*$B$8*E35*$B$12*$B$13*$B$14*$B$16*(1+$B$17),0)</x:f>
        <x:v>216</x:v>
      </x:c>
      <x:c r="G35" s="73" t="n">
        <x:f>C35*F35</x:f>
        <x:v>0</x:v>
      </x:c>
      <x:c r="H35" s="73" t="n">
        <x:f>$C$10+SUM($C$24:C34)</x:f>
        <x:v>110</x:v>
      </x:c>
      <x:c r="I35" s="74" t="n">
        <x:f>IF(H35=0,1.65,MAX(0.65,MIN(1.65,($C$9/H35)^0.6)))</x:f>
        <x:v>1.0535936307405263</x:v>
      </x:c>
      <x:c r="J35" s="73" t="n">
        <x:f>ROUND($C$7*$C$8*I35*$C$12*$C$13*$C$14*$C$16*(1-$C$17),0)</x:f>
        <x:v>331</x:v>
      </x:c>
      <x:c r="K35" s="73" t="n">
        <x:f>C35*J35</x:f>
        <x:v>0</x:v>
      </x:c>
    </x:row>
    <x:row r="36" ht="26" customHeight="1">
      <x:c r="A36" s="56" t="str">
        <x:v>胡椒</x:v>
      </x:c>
      <x:c r="B36" s="56" t="n">
        <x:v>13</x:v>
      </x:c>
      <x:c r="C36" s="65" t="n">
        <x:f>MIN(5,MAX(0,$C$19-5*(B36-1)))</x:f>
        <x:v>0</x:v>
      </x:c>
      <x:c r="D36" s="65" t="n">
        <x:f>$B$10-SUM($C$24:C35)</x:f>
        <x:v>150</x:v>
      </x:c>
      <x:c r="E36" s="64" t="n">
        <x:f>IF(D36=0,1.65,MAX(0.65,MIN(1.65,($B$9/D36)^0.6)))</x:f>
        <x:v>1</x:v>
      </x:c>
      <x:c r="F36" s="65" t="n">
        <x:f>ROUND($B$7*$B$8*E36*$B$12*$B$13*$B$14*$B$16*(1+$B$17),0)</x:f>
        <x:v>216</x:v>
      </x:c>
      <x:c r="G36" s="65" t="n">
        <x:f>C36*F36</x:f>
        <x:v>0</x:v>
      </x:c>
      <x:c r="H36" s="65" t="n">
        <x:f>$C$10+SUM($C$24:C35)</x:f>
        <x:v>110</x:v>
      </x:c>
      <x:c r="I36" s="64" t="n">
        <x:f>IF(H36=0,1.65,MAX(0.65,MIN(1.65,($C$9/H36)^0.6)))</x:f>
        <x:v>1.0535936307405263</x:v>
      </x:c>
      <x:c r="J36" s="65" t="n">
        <x:f>ROUND($C$7*$C$8*I36*$C$12*$C$13*$C$14*$C$16*(1-$C$17),0)</x:f>
        <x:v>331</x:v>
      </x:c>
      <x:c r="K36" s="65" t="n">
        <x:f>C36*J36</x:f>
        <x:v>0</x:v>
      </x:c>
    </x:row>
    <x:row r="37" ht="26" customHeight="1">
      <x:c r="A37" s="68" t="str">
        <x:v>胡椒</x:v>
      </x:c>
      <x:c r="B37" s="68" t="n">
        <x:v>14</x:v>
      </x:c>
      <x:c r="C37" s="73" t="n">
        <x:f>MIN(5,MAX(0,$C$19-5*(B37-1)))</x:f>
        <x:v>0</x:v>
      </x:c>
      <x:c r="D37" s="73" t="n">
        <x:f>$B$10-SUM($C$24:C36)</x:f>
        <x:v>150</x:v>
      </x:c>
      <x:c r="E37" s="74" t="n">
        <x:f>IF(D37=0,1.65,MAX(0.65,MIN(1.65,($B$9/D37)^0.6)))</x:f>
        <x:v>1</x:v>
      </x:c>
      <x:c r="F37" s="73" t="n">
        <x:f>ROUND($B$7*$B$8*E37*$B$12*$B$13*$B$14*$B$16*(1+$B$17),0)</x:f>
        <x:v>216</x:v>
      </x:c>
      <x:c r="G37" s="73" t="n">
        <x:f>C37*F37</x:f>
        <x:v>0</x:v>
      </x:c>
      <x:c r="H37" s="73" t="n">
        <x:f>$C$10+SUM($C$24:C36)</x:f>
        <x:v>110</x:v>
      </x:c>
      <x:c r="I37" s="74" t="n">
        <x:f>IF(H37=0,1.65,MAX(0.65,MIN(1.65,($C$9/H37)^0.6)))</x:f>
        <x:v>1.0535936307405263</x:v>
      </x:c>
      <x:c r="J37" s="73" t="n">
        <x:f>ROUND($C$7*$C$8*I37*$C$12*$C$13*$C$14*$C$16*(1-$C$17),0)</x:f>
        <x:v>331</x:v>
      </x:c>
      <x:c r="K37" s="73" t="n">
        <x:f>C37*J37</x:f>
        <x:v>0</x:v>
      </x:c>
    </x:row>
    <x:row r="38" ht="26" customHeight="1">
      <x:c r="A38" s="56" t="str">
        <x:v>胡椒</x:v>
      </x:c>
      <x:c r="B38" s="56" t="n">
        <x:v>15</x:v>
      </x:c>
      <x:c r="C38" s="65" t="n">
        <x:f>MIN(5,MAX(0,$C$19-5*(B38-1)))</x:f>
        <x:v>0</x:v>
      </x:c>
      <x:c r="D38" s="65" t="n">
        <x:f>$B$10-SUM($C$24:C37)</x:f>
        <x:v>150</x:v>
      </x:c>
      <x:c r="E38" s="64" t="n">
        <x:f>IF(D38=0,1.65,MAX(0.65,MIN(1.65,($B$9/D38)^0.6)))</x:f>
        <x:v>1</x:v>
      </x:c>
      <x:c r="F38" s="65" t="n">
        <x:f>ROUND($B$7*$B$8*E38*$B$12*$B$13*$B$14*$B$16*(1+$B$17),0)</x:f>
        <x:v>216</x:v>
      </x:c>
      <x:c r="G38" s="65" t="n">
        <x:f>C38*F38</x:f>
        <x:v>0</x:v>
      </x:c>
      <x:c r="H38" s="65" t="n">
        <x:f>$C$10+SUM($C$24:C37)</x:f>
        <x:v>110</x:v>
      </x:c>
      <x:c r="I38" s="64" t="n">
        <x:f>IF(H38=0,1.65,MAX(0.65,MIN(1.65,($C$9/H38)^0.6)))</x:f>
        <x:v>1.0535936307405263</x:v>
      </x:c>
      <x:c r="J38" s="65" t="n">
        <x:f>ROUND($C$7*$C$8*I38*$C$12*$C$13*$C$14*$C$16*(1-$C$17),0)</x:f>
        <x:v>331</x:v>
      </x:c>
      <x:c r="K38" s="65" t="n">
        <x:f>C38*J38</x:f>
        <x:v>0</x:v>
      </x:c>
    </x:row>
    <x:row r="39" ht="26" customHeight="1">
      <x:c r="A39" s="68" t="str">
        <x:v>胡椒</x:v>
      </x:c>
      <x:c r="B39" s="68" t="n">
        <x:v>16</x:v>
      </x:c>
      <x:c r="C39" s="73" t="n">
        <x:f>MIN(5,MAX(0,$C$19-5*(B39-1)))</x:f>
        <x:v>0</x:v>
      </x:c>
      <x:c r="D39" s="73" t="n">
        <x:f>$B$10-SUM($C$24:C38)</x:f>
        <x:v>150</x:v>
      </x:c>
      <x:c r="E39" s="74" t="n">
        <x:f>IF(D39=0,1.65,MAX(0.65,MIN(1.65,($B$9/D39)^0.6)))</x:f>
        <x:v>1</x:v>
      </x:c>
      <x:c r="F39" s="73" t="n">
        <x:f>ROUND($B$7*$B$8*E39*$B$12*$B$13*$B$14*$B$16*(1+$B$17),0)</x:f>
        <x:v>216</x:v>
      </x:c>
      <x:c r="G39" s="73" t="n">
        <x:f>C39*F39</x:f>
        <x:v>0</x:v>
      </x:c>
      <x:c r="H39" s="73" t="n">
        <x:f>$C$10+SUM($C$24:C38)</x:f>
        <x:v>110</x:v>
      </x:c>
      <x:c r="I39" s="74" t="n">
        <x:f>IF(H39=0,1.65,MAX(0.65,MIN(1.65,($C$9/H39)^0.6)))</x:f>
        <x:v>1.0535936307405263</x:v>
      </x:c>
      <x:c r="J39" s="73" t="n">
        <x:f>ROUND($C$7*$C$8*I39*$C$12*$C$13*$C$14*$C$16*(1-$C$17),0)</x:f>
        <x:v>331</x:v>
      </x:c>
      <x:c r="K39" s="73" t="n">
        <x:f>C39*J39</x:f>
        <x:v>0</x:v>
      </x:c>
    </x:row>
    <x:row r="40" ht="26" customHeight="1">
      <x:c r="A40" s="56" t="str">
        <x:v>胡椒</x:v>
      </x:c>
      <x:c r="B40" s="56" t="n">
        <x:v>17</x:v>
      </x:c>
      <x:c r="C40" s="65" t="n">
        <x:f>MIN(5,MAX(0,$C$19-5*(B40-1)))</x:f>
        <x:v>0</x:v>
      </x:c>
      <x:c r="D40" s="65" t="n">
        <x:f>$B$10-SUM($C$24:C39)</x:f>
        <x:v>150</x:v>
      </x:c>
      <x:c r="E40" s="64" t="n">
        <x:f>IF(D40=0,1.65,MAX(0.65,MIN(1.65,($B$9/D40)^0.6)))</x:f>
        <x:v>1</x:v>
      </x:c>
      <x:c r="F40" s="65" t="n">
        <x:f>ROUND($B$7*$B$8*E40*$B$12*$B$13*$B$14*$B$16*(1+$B$17),0)</x:f>
        <x:v>216</x:v>
      </x:c>
      <x:c r="G40" s="65" t="n">
        <x:f>C40*F40</x:f>
        <x:v>0</x:v>
      </x:c>
      <x:c r="H40" s="65" t="n">
        <x:f>$C$10+SUM($C$24:C39)</x:f>
        <x:v>110</x:v>
      </x:c>
      <x:c r="I40" s="64" t="n">
        <x:f>IF(H40=0,1.65,MAX(0.65,MIN(1.65,($C$9/H40)^0.6)))</x:f>
        <x:v>1.0535936307405263</x:v>
      </x:c>
      <x:c r="J40" s="65" t="n">
        <x:f>ROUND($C$7*$C$8*I40*$C$12*$C$13*$C$14*$C$16*(1-$C$17),0)</x:f>
        <x:v>331</x:v>
      </x:c>
      <x:c r="K40" s="65" t="n">
        <x:f>C40*J40</x:f>
        <x:v>0</x:v>
      </x:c>
    </x:row>
    <x:row r="41" ht="26" customHeight="1">
      <x:c r="A41" s="68" t="str">
        <x:v>胡椒</x:v>
      </x:c>
      <x:c r="B41" s="68" t="n">
        <x:v>18</x:v>
      </x:c>
      <x:c r="C41" s="73" t="n">
        <x:f>MIN(5,MAX(0,$C$19-5*(B41-1)))</x:f>
        <x:v>0</x:v>
      </x:c>
      <x:c r="D41" s="73" t="n">
        <x:f>$B$10-SUM($C$24:C40)</x:f>
        <x:v>150</x:v>
      </x:c>
      <x:c r="E41" s="74" t="n">
        <x:f>IF(D41=0,1.65,MAX(0.65,MIN(1.65,($B$9/D41)^0.6)))</x:f>
        <x:v>1</x:v>
      </x:c>
      <x:c r="F41" s="73" t="n">
        <x:f>ROUND($B$7*$B$8*E41*$B$12*$B$13*$B$14*$B$16*(1+$B$17),0)</x:f>
        <x:v>216</x:v>
      </x:c>
      <x:c r="G41" s="73" t="n">
        <x:f>C41*F41</x:f>
        <x:v>0</x:v>
      </x:c>
      <x:c r="H41" s="73" t="n">
        <x:f>$C$10+SUM($C$24:C40)</x:f>
        <x:v>110</x:v>
      </x:c>
      <x:c r="I41" s="74" t="n">
        <x:f>IF(H41=0,1.65,MAX(0.65,MIN(1.65,($C$9/H41)^0.6)))</x:f>
        <x:v>1.0535936307405263</x:v>
      </x:c>
      <x:c r="J41" s="73" t="n">
        <x:f>ROUND($C$7*$C$8*I41*$C$12*$C$13*$C$14*$C$16*(1-$C$17),0)</x:f>
        <x:v>331</x:v>
      </x:c>
      <x:c r="K41" s="73" t="n">
        <x:f>C41*J41</x:f>
        <x:v>0</x:v>
      </x:c>
    </x:row>
    <x:row r="42" ht="26" customHeight="1">
      <x:c r="A42" s="56" t="str">
        <x:v>胡椒</x:v>
      </x:c>
      <x:c r="B42" s="56" t="n">
        <x:v>19</x:v>
      </x:c>
      <x:c r="C42" s="65" t="n">
        <x:f>MIN(5,MAX(0,$C$19-5*(B42-1)))</x:f>
        <x:v>0</x:v>
      </x:c>
      <x:c r="D42" s="65" t="n">
        <x:f>$B$10-SUM($C$24:C41)</x:f>
        <x:v>150</x:v>
      </x:c>
      <x:c r="E42" s="64" t="n">
        <x:f>IF(D42=0,1.65,MAX(0.65,MIN(1.65,($B$9/D42)^0.6)))</x:f>
        <x:v>1</x:v>
      </x:c>
      <x:c r="F42" s="65" t="n">
        <x:f>ROUND($B$7*$B$8*E42*$B$12*$B$13*$B$14*$B$16*(1+$B$17),0)</x:f>
        <x:v>216</x:v>
      </x:c>
      <x:c r="G42" s="65" t="n">
        <x:f>C42*F42</x:f>
        <x:v>0</x:v>
      </x:c>
      <x:c r="H42" s="65" t="n">
        <x:f>$C$10+SUM($C$24:C41)</x:f>
        <x:v>110</x:v>
      </x:c>
      <x:c r="I42" s="64" t="n">
        <x:f>IF(H42=0,1.65,MAX(0.65,MIN(1.65,($C$9/H42)^0.6)))</x:f>
        <x:v>1.0535936307405263</x:v>
      </x:c>
      <x:c r="J42" s="65" t="n">
        <x:f>ROUND($C$7*$C$8*I42*$C$12*$C$13*$C$14*$C$16*(1-$C$17),0)</x:f>
        <x:v>331</x:v>
      </x:c>
      <x:c r="K42" s="65" t="n">
        <x:f>C42*J42</x:f>
        <x:v>0</x:v>
      </x:c>
    </x:row>
    <x:row r="43" ht="26" customHeight="1">
      <x:c r="A43" s="68" t="str">
        <x:v>胡椒</x:v>
      </x:c>
      <x:c r="B43" s="68" t="n">
        <x:v>20</x:v>
      </x:c>
      <x:c r="C43" s="73" t="n">
        <x:f>MIN(5,MAX(0,$C$19-5*(B43-1)))</x:f>
        <x:v>0</x:v>
      </x:c>
      <x:c r="D43" s="73" t="n">
        <x:f>$B$10-SUM($C$24:C42)</x:f>
        <x:v>150</x:v>
      </x:c>
      <x:c r="E43" s="74" t="n">
        <x:f>IF(D43=0,1.65,MAX(0.65,MIN(1.65,($B$9/D43)^0.6)))</x:f>
        <x:v>1</x:v>
      </x:c>
      <x:c r="F43" s="73" t="n">
        <x:f>ROUND($B$7*$B$8*E43*$B$12*$B$13*$B$14*$B$16*(1+$B$17),0)</x:f>
        <x:v>216</x:v>
      </x:c>
      <x:c r="G43" s="73" t="n">
        <x:f>C43*F43</x:f>
        <x:v>0</x:v>
      </x:c>
      <x:c r="H43" s="73" t="n">
        <x:f>$C$10+SUM($C$24:C42)</x:f>
        <x:v>110</x:v>
      </x:c>
      <x:c r="I43" s="74" t="n">
        <x:f>IF(H43=0,1.65,MAX(0.65,MIN(1.65,($C$9/H43)^0.6)))</x:f>
        <x:v>1.0535936307405263</x:v>
      </x:c>
      <x:c r="J43" s="73" t="n">
        <x:f>ROUND($C$7*$C$8*I43*$C$12*$C$13*$C$14*$C$16*(1-$C$17),0)</x:f>
        <x:v>331</x:v>
      </x:c>
      <x:c r="K43" s="73" t="n">
        <x:f>C43*J43</x:f>
        <x:v>0</x:v>
      </x:c>
    </x:row>
    <x:row r="44">
      <x:c r="A44" s="56"/>
      <x:c r="B44" s="56"/>
      <x:c r="C44" s="56"/>
      <x:c r="D44" s="56"/>
      <x:c r="E44" s="56"/>
      <x:c r="F44" s="56"/>
      <x:c r="G44" s="56"/>
      <x:c r="H44" s="56"/>
      <x:c r="I44" s="56"/>
      <x:c r="J44" s="56"/>
      <x:c r="K44" s="56"/>
    </x:row>
    <x:row r="45">
      <x:c r="A45" s="56"/>
      <x:c r="B45" s="56"/>
      <x:c r="C45" s="56"/>
      <x:c r="D45" s="56"/>
      <x:c r="E45" s="56"/>
      <x:c r="F45" s="56"/>
      <x:c r="G45" s="56"/>
      <x:c r="H45" s="56"/>
      <x:c r="I45" s="56"/>
      <x:c r="J45" s="56"/>
      <x:c r="K45" s="56"/>
    </x:row>
    <x:row r="46" ht="38" customHeight="1">
      <x:c r="A46" s="56" t="str">
        <x:v>交易总额</x:v>
      </x:c>
      <x:c r="B46" s="65" t="n">
        <x:f>SUM(G24:G43)</x:f>
        <x:v>6075</x:v>
      </x:c>
      <x:c r="C46" s="65" t="n">
        <x:f>SUM(K24:K43)</x:f>
        <x:v>11050</x:v>
      </x:c>
      <x:c r="D46" s="71" t="str">
        <x:v>采购/销售均含当端交易税</x:v>
      </x:c>
      <x:c r="E46" s="56"/>
      <x:c r="F46" s="56"/>
      <x:c r="G46" s="56"/>
      <x:c r="H46" s="56"/>
      <x:c r="I46" s="56"/>
      <x:c r="J46" s="56"/>
      <x:c r="K46" s="56"/>
    </x:row>
    <x:row r="47" ht="38" customHeight="1">
      <x:c r="A47" s="56" t="str">
        <x:v>补给费用</x:v>
      </x:c>
      <x:c r="B47" s="66" t="n">
        <x:v>800</x:v>
      </x:c>
      <x:c r="C47" s="65" t="str"/>
      <x:c r="D47" s="71" t="str">
        <x:v>银币/航次</x:v>
      </x:c>
      <x:c r="E47" s="56"/>
      <x:c r="F47" s="56"/>
      <x:c r="G47" s="56"/>
      <x:c r="H47" s="56"/>
      <x:c r="I47" s="56"/>
      <x:c r="J47" s="56"/>
      <x:c r="K47" s="56"/>
    </x:row>
    <x:row r="48" ht="38" customHeight="1">
      <x:c r="A48" s="56" t="str">
        <x:v>工资费用</x:v>
      </x:c>
      <x:c r="B48" s="66" t="n">
        <x:v>1500</x:v>
      </x:c>
      <x:c r="C48" s="65" t="str"/>
      <x:c r="D48" s="71" t="str">
        <x:v>普通水手与独特海员合计</x:v>
      </x:c>
      <x:c r="E48" s="56"/>
      <x:c r="F48" s="56"/>
      <x:c r="G48" s="56"/>
      <x:c r="H48" s="56"/>
      <x:c r="I48" s="56"/>
      <x:c r="J48" s="56"/>
      <x:c r="K48" s="56"/>
    </x:row>
    <x:row r="49" ht="38" customHeight="1">
      <x:c r="A49" s="56" t="str">
        <x:v>修理费用</x:v>
      </x:c>
      <x:c r="B49" s="66" t="n">
        <x:v>300</x:v>
      </x:c>
      <x:c r="C49" s="65" t="str"/>
      <x:c r="D49" s="71" t="str">
        <x:v>航次实际费用</x:v>
      </x:c>
      <x:c r="E49" s="56"/>
      <x:c r="F49" s="56"/>
      <x:c r="G49" s="56"/>
      <x:c r="H49" s="56"/>
      <x:c r="I49" s="56"/>
      <x:c r="J49" s="56"/>
      <x:c r="K49" s="56"/>
    </x:row>
    <x:row r="50" ht="38" customHeight="1">
      <x:c r="A50" s="56" t="str">
        <x:v>靠港费用</x:v>
      </x:c>
      <x:c r="B50" s="66" t="n">
        <x:v>120</x:v>
      </x:c>
      <x:c r="C50" s="65" t="str"/>
      <x:c r="D50" s="71" t="str">
        <x:v>航次全部停靠港</x:v>
      </x:c>
      <x:c r="E50" s="56"/>
      <x:c r="F50" s="56"/>
      <x:c r="G50" s="56"/>
      <x:c r="H50" s="56"/>
      <x:c r="I50" s="56"/>
      <x:c r="J50" s="56"/>
      <x:c r="K50" s="56"/>
    </x:row>
    <x:row r="51" ht="38" customHeight="1">
      <x:c r="A51" s="70" t="str">
        <x:v>净利润</x:v>
      </x:c>
      <x:c r="B51" s="75" t="n">
        <x:f>C46-B46-SUM(B47:B50)</x:f>
        <x:v>2255</x:v>
      </x:c>
      <x:c r="C51" s="75" t="str"/>
      <x:c r="D51" s="72" t="str">
        <x:v>销售收入 - 货物采购 - 航行成本</x:v>
      </x:c>
      <x:c r="E51" s="56"/>
      <x:c r="F51" s="56"/>
      <x:c r="G51" s="56"/>
      <x:c r="H51" s="56"/>
      <x:c r="I51" s="56"/>
      <x:c r="J51" s="56"/>
      <x:c r="K51" s="56"/>
    </x:row>
    <x:row r="52" ht="38" customHeight="1">
      <x:c r="A52" s="70" t="str">
        <x:v>净利润/游戏日</x:v>
      </x:c>
      <x:c r="B52" s="75" t="n">
        <x:f>B51/B20</x:f>
        <x:v>93.95833333333333</x:v>
      </x:c>
      <x:c r="C52" s="75" t="str"/>
      <x:c r="D52" s="72" t="str">
        <x:v>可比较不同长度的路线</x:v>
      </x:c>
      <x:c r="E52" s="56"/>
      <x:c r="F52" s="56"/>
      <x:c r="G52" s="56"/>
      <x:c r="H52" s="56"/>
      <x:c r="I52" s="56"/>
      <x:c r="J52" s="56"/>
      <x:c r="K52" s="56"/>
    </x:row>
    <x:row r="53">
      <x:c r="A53" s="56"/>
      <x:c r="B53" s="56"/>
      <x:c r="C53" s="56"/>
      <x:c r="D53" s="56"/>
      <x:c r="E53" s="56"/>
      <x:c r="F53" s="56"/>
      <x:c r="G53" s="56"/>
      <x:c r="H53" s="56"/>
      <x:c r="I53" s="56"/>
      <x:c r="J53" s="56"/>
      <x:c r="K53" s="56"/>
    </x:row>
    <x:row r="54">
      <x:c r="A54" s="56"/>
      <x:c r="B54" s="56"/>
      <x:c r="C54" s="56"/>
      <x:c r="D54" s="56"/>
      <x:c r="E54" s="56"/>
      <x:c r="F54" s="56"/>
      <x:c r="G54" s="56"/>
      <x:c r="H54" s="56"/>
      <x:c r="I54" s="56"/>
      <x:c r="J54" s="56"/>
      <x:c r="K54" s="56"/>
    </x:row>
  </x:sheetData>
  <x:dataValidations count="3">
    <x:dataValidation type="whole" operator="between" sqref="B19">
      <x:formula1>0</x:formula1>
      <x:formula2>100</x:formula2>
    </x:dataValidation>
    <x:dataValidation type="whole" operator="between" sqref="B10:C10">
      <x:formula1>0</x:formula1>
      <x:formula2>100000</x:formula2>
    </x:dataValidation>
    <x:dataValidation type="whole" operator="between" sqref="B20">
      <x:formula1>1</x:formula1>
      <x:formula2>3650</x:formula2>
    </x:dataValidation>
  </x:dataValidations>
  <x:pageMargins left="0.7" right="0.7" top="0.75" bottom="0.75" header="0.3" footer="0.3"/>
</x:worksheet>
</file>

<file path=xl/worksheets/sheet11.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3" hidden="0" customWidth="1"/>
    <x:col min="2" max="2" width="31" hidden="0" customWidth="1"/>
    <x:col min="3" max="3" width="76" hidden="0" customWidth="1"/>
    <x:col min="4" max="4" width="47" hidden="0" customWidth="1"/>
    <x:col min="5" max="5" width="47" hidden="0" customWidth="1"/>
    <x:col min="6" max="6" width="42" hidden="0" customWidth="1"/>
    <x:col min="7" max="7" width="29" hidden="0" customWidth="1"/>
    <x:col min="8" max="8" width="76" hidden="0" customWidth="1"/>
    <x:col min="9" max="9" width="73" hidden="0" customWidth="1"/>
  </x:cols>
  <x:sheetData>
    <x:row r="1">
      <x:c r="A1" s="2"/>
      <x:c r="B1" s="2"/>
      <x:c r="C1" s="2"/>
      <x:c r="D1" s="2"/>
      <x:c r="E1" s="2"/>
      <x:c r="F1" s="2"/>
      <x:c r="G1" s="2"/>
      <x:c r="H1" s="2"/>
      <x:c r="I1" s="2"/>
    </x:row>
    <x:row r="2" ht="28" customHeight="1">
      <x:c r="A2" s="3" t="str">
        <x:v>二十四条有去程也有回程的贸易航线</x:v>
      </x:c>
      <x:c r="B2" s="2"/>
      <x:c r="C2" s="2"/>
      <x:c r="D2" s="2"/>
      <x:c r="E2" s="2"/>
      <x:c r="F2" s="2"/>
      <x:c r="G2" s="2"/>
      <x:c r="H2" s="2"/>
      <x:c r="I2" s="2"/>
    </x:row>
    <x:row r="3">
      <x:c r="A3" s="2"/>
      <x:c r="B3" s="2"/>
      <x:c r="C3" s="2"/>
      <x:c r="D3" s="2"/>
      <x:c r="E3" s="2"/>
      <x:c r="F3" s="2"/>
      <x:c r="G3" s="2"/>
      <x:c r="H3" s="2"/>
      <x:c r="I3" s="2"/>
    </x:row>
    <x:row r="4">
      <x:c r="A4" s="2"/>
      <x:c r="B4" s="2"/>
      <x:c r="C4" s="2"/>
      <x:c r="D4" s="2"/>
      <x:c r="E4" s="2"/>
      <x:c r="F4" s="2"/>
      <x:c r="G4" s="2"/>
      <x:c r="H4" s="2"/>
      <x:c r="I4" s="2"/>
    </x:row>
    <x:row r="5" ht="34" customHeight="1">
      <x:c r="A5" s="10" t="str">
        <x:v>航线ID</x:v>
      </x:c>
      <x:c r="B5" s="10" t="str">
        <x:v>航线</x:v>
      </x:c>
      <x:c r="C5" s="10" t="str">
        <x:v>港口顺序</x:v>
      </x:c>
      <x:c r="D5" s="10" t="str">
        <x:v>去程货物</x:v>
      </x:c>
      <x:c r="E5" s="10" t="str">
        <x:v>回程货物</x:v>
      </x:c>
      <x:c r="F5" s="10" t="str">
        <x:v>航季</x:v>
      </x:c>
      <x:c r="G5" s="10" t="str">
        <x:v>玩法定位</x:v>
      </x:c>
      <x:c r="H5" s="10" t="str">
        <x:v>主要决策与故事</x:v>
      </x:c>
      <x:c r="I5" s="10" t="str">
        <x:v>地图路径说明</x:v>
      </x:c>
    </x:row>
    <x:row r="6" ht="31" customHeight="1">
      <x:c r="A6" s="12" t="str">
        <x:v>RT01</x:v>
      </x:c>
      <x:c r="B6" s="12" t="str">
        <x:v>北海粮木环线</x:v>
      </x:c>
      <x:c r="C6" s="12" t="str">
        <x:v>伦敦 → 阿姆斯特丹 → 汉堡 → 哥本哈根 → 斯德哥尔摩</x:v>
      </x:c>
      <x:c r="D6" s="12" t="str">
        <x:v>燕麦、橡木、毛呢</x:v>
      </x:c>
      <x:c r="E6" s="12" t="str">
        <x:v>铜锭、铁锭、铜冠折影烛台</x:v>
      </x:c>
      <x:c r="F6" s="12" t="str">
        <x:v>4—10月</x:v>
      </x:c>
      <x:c r="G6" s="12" t="str">
        <x:v>近海入门</x:v>
      </x:c>
      <x:c r="H6" s="12" t="str">
        <x:v>窄海口与秋雾；经斯卡格拉克绕行日德兰，不用现代运河</x:v>
      </x:c>
      <x:c r="I6" s="12" t="str">
        <x:v>设计航路示意；节点绕海岸布局，不是可直接用于航行的导航数据。河港由河口接驳。</x:v>
      </x:c>
    </x:row>
    <x:row r="7" ht="31" customHeight="1">
      <x:c r="A7" s="15" t="str">
        <x:v>RT02</x:v>
      </x:c>
      <x:c r="B7" s="15" t="str">
        <x:v>鳕鱼与葡萄酒</x:v>
      </x:c>
      <x:c r="C7" s="15" t="str">
        <x:v>卑尔根 → 圣马洛 → 波尔多 → 波尔图</x:v>
      </x:c>
      <x:c r="D7" s="15" t="str">
        <x:v>干鳕鱼、松木、烟熏鲱鱼</x:v>
      </x:c>
      <x:c r="E7" s="15" t="str">
        <x:v>葡萄酒、盐、麻布</x:v>
      </x:c>
      <x:c r="F7" s="15" t="str">
        <x:v>5—9月</x:v>
      </x:c>
      <x:c r="G7" s="15" t="str">
        <x:v>早期赚钱</x:v>
      </x:c>
      <x:c r="H7" s="15" t="str">
        <x:v>北海鱼货换大西洋酒货；轻装快返</x:v>
      </x:c>
      <x:c r="I7" s="15" t="str">
        <x:v>设计航路示意；节点绕海岸布局，不是可直接用于航行的导航数据。河港由河口接驳。</x:v>
      </x:c>
    </x:row>
    <x:row r="8" ht="31" customHeight="1">
      <x:c r="A8" s="13" t="str">
        <x:v>RT03</x:v>
      </x:c>
      <x:c r="B8" s="13" t="str">
        <x:v>蓝瓷出航线</x:v>
      </x:c>
      <x:c r="C8" s="13" t="str">
        <x:v>里斯本 → 丰沙尔 → 拉斯帕尔马斯 → 里贝拉格兰德</x:v>
      </x:c>
      <x:c r="D8" s="13" t="str">
        <x:v>葡萄酒、橄榄油、盐</x:v>
      </x:c>
      <x:c r="E8" s="13" t="str">
        <x:v>砂糖、朗姆酒、火山谷双影棉披布</x:v>
      </x:c>
      <x:c r="F8" s="13" t="str">
        <x:v>全年；夏秋避强风</x:v>
      </x:c>
      <x:c r="G8" s="13" t="str">
        <x:v>第一条外洋线</x:v>
      </x:c>
      <x:c r="H8" s="13" t="str">
        <x:v>岛际补给训练与返程货选择</x:v>
      </x:c>
      <x:c r="I8" s="13" t="str">
        <x:v>设计航路示意；节点绕海岸布局，不是可直接用于航行的导航数据。河港由河口接驳。</x:v>
      </x:c>
    </x:row>
    <x:row r="9" ht="31" customHeight="1">
      <x:c r="A9" s="15" t="str">
        <x:v>RT04</x:v>
      </x:c>
      <x:c r="B9" s="15" t="str">
        <x:v>玻璃与橄榄海</x:v>
      </x:c>
      <x:c r="C9" s="15" t="str">
        <x:v>威尼斯 → 拉古萨 → 那不勒斯 → 马赛 → 巴塞罗那</x:v>
      </x:c>
      <x:c r="D9" s="15" t="str">
        <x:v>玻璃器皿、丝绸、千潮琉璃天球灯</x:v>
      </x:c>
      <x:c r="E9" s="15" t="str">
        <x:v>橄榄油、葡萄酒、茜草染料</x:v>
      </x:c>
      <x:c r="F9" s="15" t="str">
        <x:v>3—10月</x:v>
      </x:c>
      <x:c r="G9" s="15" t="str">
        <x:v>地中海工艺</x:v>
      </x:c>
      <x:c r="H9" s="15" t="str">
        <x:v>绕过意大利半岛，桨帆船有近岸优势</x:v>
      </x:c>
      <x:c r="I9" s="15" t="str">
        <x:v>设计航路示意；节点绕海岸布局，不是可直接用于航行的导航数据。河港由河口接驳。</x:v>
      </x:c>
    </x:row>
    <x:row r="10" ht="31" customHeight="1">
      <x:c r="A10" s="13" t="str">
        <x:v>RT05</x:v>
      </x:c>
      <x:c r="B10" s="13" t="str">
        <x:v>海峡两端的铜钟</x:v>
      </x:c>
      <x:c r="C10" s="13" t="str">
        <x:v>热那亚 → 突尼斯 → 亚历山大 → 君士坦丁堡</x:v>
      </x:c>
      <x:c r="D10" s="13" t="str">
        <x:v>天鹅绒、玻璃器皿、葡萄酒</x:v>
      </x:c>
      <x:c r="E10" s="13" t="str">
        <x:v>锦缎、珠宝、乳香</x:v>
      </x:c>
      <x:c r="F10" s="13" t="str">
        <x:v>4—9月</x:v>
      </x:c>
      <x:c r="G10" s="13" t="str">
        <x:v>多边订单</x:v>
      </x:c>
      <x:c r="H10" s="13" t="str">
        <x:v>海关关系和桨帆护航；跨城修钟故事</x:v>
      </x:c>
      <x:c r="I10" s="13" t="str">
        <x:v>设计航路示意；节点绕海岸布局，不是可直接用于航行的导航数据。河港由河口接驳。</x:v>
      </x:c>
    </x:row>
    <x:row r="11" ht="31" customHeight="1">
      <x:c r="A11" s="15" t="str">
        <x:v>RT06</x:v>
      </x:c>
      <x:c r="B11" s="15" t="str">
        <x:v>靛布河口路</x:v>
      </x:c>
      <x:c r="C11" s="15" t="str">
        <x:v>拉斯帕尔马斯 → 阿尔金 → 圣路易 → 里贝拉格兰德</x:v>
      </x:c>
      <x:c r="D11" s="15" t="str">
        <x:v>葡萄酒、麻布、硫磺</x:v>
      </x:c>
      <x:c r="E11" s="15" t="str">
        <x:v>阿拉伯胶、棉布、靛蓝</x:v>
      </x:c>
      <x:c r="F11" s="15" t="str">
        <x:v>11—4月</x:v>
      </x:c>
      <x:c r="G11" s="15" t="str">
        <x:v>浅水短程</x:v>
      </x:c>
      <x:c r="H11" s="15" t="str">
        <x:v>支流探访、工坊合同和地方领航</x:v>
      </x:c>
      <x:c r="I11" s="15" t="str">
        <x:v>设计航路示意；节点绕海岸布局，不是可直接用于航行的导航数据。河港由河口接驳。</x:v>
      </x:c>
    </x:row>
    <x:row r="12" ht="31" customHeight="1">
      <x:c r="A12" s="13" t="str">
        <x:v>RT07</x:v>
      </x:c>
      <x:c r="B12" s="13" t="str">
        <x:v>黄金海岸工坊链</x:v>
      </x:c>
      <x:c r="C12" s="13" t="str">
        <x:v>里贝拉格兰德 → 埃尔米纳 → 圣多美</x:v>
      </x:c>
      <x:c r="D12" s="13" t="str">
        <x:v>原棉、棉布、朗姆酒</x:v>
      </x:c>
      <x:c r="E12" s="13" t="str">
        <x:v>黄金、黑檀木、砂糖</x:v>
      </x:c>
      <x:c r="F12" s="13" t="str">
        <x:v>11—4月</x:v>
      </x:c>
      <x:c r="G12" s="13" t="str">
        <x:v>中期贸易</x:v>
      </x:c>
      <x:c r="H12" s="13" t="str">
        <x:v>帮工坊自营品牌与地区合作，不把劳动力当货物</x:v>
      </x:c>
      <x:c r="I12" s="13" t="str">
        <x:v>设计航路示意；节点绕海岸布局，不是可直接用于航行的导航数据。河港由河口接驳。</x:v>
      </x:c>
    </x:row>
    <x:row r="13" ht="31" customHeight="1">
      <x:c r="A13" s="15" t="str">
        <x:v>RT08</x:v>
      </x:c>
      <x:c r="B13" s="15" t="str">
        <x:v>绕好望角的第一封信</x:v>
      </x:c>
      <x:c r="C13" s="15" t="str">
        <x:v>里斯本 → 里贝拉格兰德 → 开普敦 → 莫桑比克岛</x:v>
      </x:c>
      <x:c r="D13" s="15" t="str">
        <x:v>葡萄酒、橄榄油、珠宝</x:v>
      </x:c>
      <x:c r="E13" s="15" t="str">
        <x:v>龙涎香、象牙、珊瑚城镂花木匣</x:v>
      </x:c>
      <x:c r="F13" s="15" t="str">
        <x:v>南端宜11—3月</x:v>
      </x:c>
      <x:c r="G13" s="15" t="str">
        <x:v>远洋跃迁</x:v>
      </x:c>
      <x:c r="H13" s="15" t="str">
        <x:v>大西洋向西南绕行后转向好望角，途中可设置补给停靠</x:v>
      </x:c>
      <x:c r="I13" s="15" t="str">
        <x:v>设计航路示意；节点绕海岸布局，不是可直接用于航行的导航数据。河港由河口接驳。</x:v>
      </x:c>
    </x:row>
    <x:row r="14" ht="31" customHeight="1">
      <x:c r="A14" s="13" t="str">
        <x:v>RT09</x:v>
      </x:c>
      <x:c r="B14" s="13" t="str">
        <x:v>珊瑚海岸灯路</x:v>
      </x:c>
      <x:c r="C14" s="13" t="str">
        <x:v>莫桑比克岛 → 基尔瓦 → 桑给巴尔 → 蒙巴萨</x:v>
      </x:c>
      <x:c r="D14" s="13" t="str">
        <x:v>咸鱼、椰子油、象牙</x:v>
      </x:c>
      <x:c r="E14" s="13" t="str">
        <x:v>黑檀木、硬木、双溪银纱海披巾</x:v>
      </x:c>
      <x:c r="F14" s="13" t="str">
        <x:v>随沿岸季风分段</x:v>
      </x:c>
      <x:c r="G14" s="13" t="str">
        <x:v>区域经营</x:v>
      </x:c>
      <x:c r="H14" s="13" t="str">
        <x:v>浅水船跑密集岸线，大船走外侧航道</x:v>
      </x:c>
      <x:c r="I14" s="13" t="str">
        <x:v>设计航路示意；节点绕海岸布局，不是可直接用于航行的导航数据。河港由河口接驳。</x:v>
      </x:c>
    </x:row>
    <x:row r="15" ht="42" customHeight="1">
      <x:c r="A15" s="15" t="str">
        <x:v>RT10</x:v>
      </x:c>
      <x:c r="B15" s="15" t="str">
        <x:v>咖啡与星盘</x:v>
      </x:c>
      <x:c r="C15" s="15" t="str">
        <x:v>蒙巴萨 → 亚丁 → 摩卡 → 吉达</x:v>
      </x:c>
      <x:c r="D15" s="15" t="str">
        <x:v>咸鱼、硬木、棉布</x:v>
      </x:c>
      <x:c r="E15" s="15" t="str">
        <x:v>咖啡、乳香、摩卡夜玫瑰熟豆</x:v>
      </x:c>
      <x:c r="F15" s="15" t="str">
        <x:v>蒙巴萨北上亚丁4—9月；南返11—3月；红海北段另计常年偏北风与沿岸换舷航时</x:v>
      </x:c>
      <x:c r="G15" s="15" t="str">
        <x:v>季风贸易</x:v>
      </x:c>
      <x:c r="H15" s="15" t="str">
        <x:v>红海风位与曼德海峡时机</x:v>
      </x:c>
      <x:c r="I15" s="15" t="str">
        <x:v>设计航路示意；节点绕海岸布局，不是可直接用于航行的导航数据。河港由河口接驳。</x:v>
      </x:c>
    </x:row>
    <x:row r="16" ht="31" customHeight="1">
      <x:c r="A16" s="13" t="str">
        <x:v>RT11</x:v>
      </x:c>
      <x:c r="B16" s="13" t="str">
        <x:v>珍珠与棉花季风圈</x:v>
      </x:c>
      <x:c r="C16" s="13" t="str">
        <x:v>马斯喀特 → 霍尔木兹 → 苏拉特 → 果阿</x:v>
      </x:c>
      <x:c r="D16" s="13" t="str">
        <x:v>椰枣、乳香、珍珠</x:v>
      </x:c>
      <x:c r="E16" s="13" t="str">
        <x:v>棉布、柚木、宝石原石</x:v>
      </x:c>
      <x:c r="F16" s="13" t="str">
        <x:v>东行5—9月；西返11—3月</x:v>
      </x:c>
      <x:c r="G16" s="13" t="str">
        <x:v>高价值工艺</x:v>
      </x:c>
      <x:c r="H16" s="13" t="str">
        <x:v>海峡水流与印度收获采购</x:v>
      </x:c>
      <x:c r="I16" s="13" t="str">
        <x:v>设计航路示意；节点绕海岸布局，不是可直接用于航行的导航数据。河港由河口接驳。</x:v>
      </x:c>
    </x:row>
    <x:row r="17" ht="42" customHeight="1">
      <x:c r="A17" s="15" t="str">
        <x:v>RT12</x:v>
      </x:c>
      <x:c r="B17" s="15" t="str">
        <x:v>万色织物线</x:v>
      </x:c>
      <x:c r="C17" s="15" t="str">
        <x:v>果阿 → 卡利卡特 → 柯钦 → 科伦坡 → 马苏利帕特南</x:v>
      </x:c>
      <x:c r="D17" s="15" t="str">
        <x:v>棉布、铁工具、柚木</x:v>
      </x:c>
      <x:c r="E17" s="15" t="str">
        <x:v>桂皮、宝石原石、孔雀海图卡拉姆布</x:v>
      </x:c>
      <x:c r="F17" s="15" t="str">
        <x:v>西岸南下11—3月；绕斯里兰卡后北上宜4—9月，允许在科伦坡转季接单</x:v>
      </x:c>
      <x:c r="G17" s="15" t="str">
        <x:v>加工贸易</x:v>
      </x:c>
      <x:c r="H17" s="15" t="str">
        <x:v>绕斯里兰卡南端，避免跨过半岛</x:v>
      </x:c>
      <x:c r="I17" s="15" t="str">
        <x:v>设计航路示意；节点绕海岸布局，不是可直接用于航行的导航数据。河港由河口接驳。</x:v>
      </x:c>
    </x:row>
    <x:row r="18" ht="42" customHeight="1">
      <x:c r="A18" s="13" t="str">
        <x:v>RT13</x:v>
      </x:c>
      <x:c r="B18" s="13" t="str">
        <x:v>孟加拉湾风前信</x:v>
      </x:c>
      <x:c r="C18" s="13" t="str">
        <x:v>科伦坡 → 吉大港 → 马六甲 → 阿瑜陀耶</x:v>
      </x:c>
      <x:c r="D18" s="13" t="str">
        <x:v>桂皮、宝石原石、珍珠</x:v>
      </x:c>
      <x:c r="E18" s="13" t="str">
        <x:v>柚木、漆器、三河金叶黑漆盘</x:v>
      </x:c>
      <x:c r="F18" s="13" t="str">
        <x:v>科伦坡至孟加拉湾北部5—9月顺西南季风；吉大港南下马六甲11—3月；暹罗湾段候风衔接</x:v>
      </x:c>
      <x:c r="G18" s="13" t="str">
        <x:v>长程季风</x:v>
      </x:c>
      <x:c r="H18" s="13" t="str">
        <x:v>先经马六甲海峡与新加坡海峡，再北入暹罗湾；去程拆成两个航季，在吉大港用工坊和人物支线候风</x:v>
      </x:c>
      <x:c r="I18" s="13" t="str">
        <x:v>设计航路示意；节点绕海岸布局，不是可直接用于航行的导航数据。河港由河口接驳。</x:v>
      </x:c>
    </x:row>
    <x:row r="19" ht="31" customHeight="1">
      <x:c r="A19" s="15" t="str">
        <x:v>RT14</x:v>
      </x:c>
      <x:c r="B19" s="15" t="str">
        <x:v>香料群岛织帆路</x:v>
      </x:c>
      <x:c r="C19" s="15" t="str">
        <x:v>马六甲 → 万丹 → 望加锡 → 班达奈拉 → 特尔纳特</x:v>
      </x:c>
      <x:c r="D19" s="15" t="str">
        <x:v>棉布、锡锭、漆器</x:v>
      </x:c>
      <x:c r="E19" s="15" t="str">
        <x:v>胡椒、肉豆蔻、丁香</x:v>
      </x:c>
      <x:c r="F19" s="15" t="str">
        <x:v>向东11—3月；返程5—9月</x:v>
      </x:c>
      <x:c r="G19" s="15" t="str">
        <x:v>代表性香料线</x:v>
      </x:c>
      <x:c r="H19" s="15" t="str">
        <x:v>岛链分段补给，主产地各有专属香料</x:v>
      </x:c>
      <x:c r="I19" s="15" t="str">
        <x:v>设计航路示意；节点绕海岸布局，不是可直接用于航行的导航数据。河港由河口接驳。</x:v>
      </x:c>
    </x:row>
    <x:row r="20" ht="31" customHeight="1">
      <x:c r="A20" s="13" t="str">
        <x:v>RT15</x:v>
      </x:c>
      <x:c r="B20" s="13" t="str">
        <x:v>灯海陶瓷线</x:v>
      </x:c>
      <x:c r="C20" s="13" t="str">
        <x:v>会安 → 广州 → 泉州 → 那霸 → 长崎</x:v>
      </x:c>
      <x:c r="D20" s="13" t="str">
        <x:v>丝绸、生姜、灯河五色丝灯罩</x:v>
      </x:c>
      <x:c r="E20" s="13" t="str">
        <x:v>茶叶、瓷器、漆器</x:v>
      </x:c>
      <x:c r="F20" s="13" t="str">
        <x:v>北上5—8月；南返10—2月</x:v>
      </x:c>
      <x:c r="G20" s="13" t="str">
        <x:v>东亚文化贸易</x:v>
      </x:c>
      <x:c r="H20" s="13" t="str">
        <x:v>外洋岛链与港口工艺引荐</x:v>
      </x:c>
      <x:c r="I20" s="13" t="str">
        <x:v>设计航路示意；节点绕海岸布局，不是可直接用于航行的导航数据。河港由河口接驳。</x:v>
      </x:c>
    </x:row>
    <x:row r="21" ht="31" customHeight="1">
      <x:c r="A21" s="15" t="str">
        <x:v>RT16</x:v>
      </x:c>
      <x:c r="B21" s="15" t="str">
        <x:v>群岛船匠巡游</x:v>
      </x:c>
      <x:c r="C21" s="15" t="str">
        <x:v>长崎 → 堺 → 釜山 → 宁波 → 福州</x:v>
      </x:c>
      <x:c r="D21" s="15" t="str">
        <x:v>铜锭、漆器、玻璃器皿</x:v>
      </x:c>
      <x:c r="E21" s="15" t="str">
        <x:v>铁工具、丝绸、茶叶</x:v>
      </x:c>
      <x:c r="F21" s="15" t="str">
        <x:v>春秋；避台风季</x:v>
      </x:c>
      <x:c r="G21" s="15" t="str">
        <x:v>人物与技术</x:v>
      </x:c>
      <x:c r="H21" s="15" t="str">
        <x:v>访问师门与试航，不只比较卖价</x:v>
      </x:c>
      <x:c r="I21" s="15" t="str">
        <x:v>设计航路示意；节点绕海岸布局，不是可直接用于航行的导航数据。河港由河口接驳。</x:v>
      </x:c>
    </x:row>
    <x:row r="22" ht="42" customHeight="1">
      <x:c r="A22" s="13" t="str">
        <x:v>RT17</x:v>
      </x:c>
      <x:c r="B22" s="13" t="str">
        <x:v>跨太平洋丝银线</x:v>
      </x:c>
      <x:c r="C22" s="13" t="str">
        <x:v>马尼拉 → 卡亚俄</x:v>
      </x:c>
      <x:c r="D22" s="13" t="str">
        <x:v>丝绸、瓷器、蕉麻</x:v>
      </x:c>
      <x:c r="E22" s="13" t="str">
        <x:v>白银、胭脂虫红、葡萄酒</x:v>
      </x:c>
      <x:c r="F22" s="13" t="str">
        <x:v>北太平洋东行春夏</x:v>
      </x:c>
      <x:c r="G22" s="13" t="str">
        <x:v>环球终局贸易</x:v>
      </x:c>
      <x:c r="H22" s="13" t="str">
        <x:v>船由北太平洋风带向东，再沿美洲外海抵卡亚俄；后续去加勒比须绕南端，原港口间陆运可作为另一个委托</x:v>
      </x:c>
      <x:c r="I22" s="13" t="str">
        <x:v>设计航路示意；节点绕海岸布局，不是可直接用于航行的导航数据。河港由河口接驳。</x:v>
      </x:c>
    </x:row>
    <x:row r="23" ht="31" customHeight="1">
      <x:c r="A23" s="15" t="str">
        <x:v>RT18</x:v>
      </x:c>
      <x:c r="B23" s="15" t="str">
        <x:v>加勒比糖与船材</x:v>
      </x:c>
      <x:c r="C23" s="15" t="str">
        <x:v>哈瓦那 → 圣胡安 → 圣多明各 → 罗亚尔港 → 卡塔赫纳</x:v>
      </x:c>
      <x:c r="D23" s="15" t="str">
        <x:v>砂糖、朗姆酒、烟草</x:v>
      </x:c>
      <x:c r="E23" s="15" t="str">
        <x:v>硬木、皮革、可可</x:v>
      </x:c>
      <x:c r="F23" s="15" t="str">
        <x:v>11—4月</x:v>
      </x:c>
      <x:c r="G23" s="15" t="str">
        <x:v>多港快船线</x:v>
      </x:c>
      <x:c r="H23" s="15" t="str">
        <x:v>短程货批、假面舞会与护航支线</x:v>
      </x:c>
      <x:c r="I23" s="15" t="str">
        <x:v>设计航路示意；节点绕海岸布局，不是可直接用于航行的导航数据。河港由河口接驳。</x:v>
      </x:c>
    </x:row>
    <x:row r="24" ht="31" customHeight="1">
      <x:c r="A24" s="13" t="str">
        <x:v>RT19</x:v>
      </x:c>
      <x:c r="B24" s="13" t="str">
        <x:v>信风大西洋</x:v>
      </x:c>
      <x:c r="C24" s="13" t="str">
        <x:v>加的斯 → 拉斯帕尔马斯 → 哈瓦那 → 波士顿 → 波尔图</x:v>
      </x:c>
      <x:c r="D24" s="13" t="str">
        <x:v>葡萄酒、咸牛肉、火药</x:v>
      </x:c>
      <x:c r="E24" s="13" t="str">
        <x:v>烟草、松木、波士顿星港铜版图</x:v>
      </x:c>
      <x:c r="F24" s="13" t="str">
        <x:v>西行11—3月；东返春夏</x:v>
      </x:c>
      <x:c r="G24" s="13" t="str">
        <x:v>双向大洋航线</x:v>
      </x:c>
      <x:c r="H24" s="13" t="str">
        <x:v>去程信风、回程北大西洋路线</x:v>
      </x:c>
      <x:c r="I24" s="13" t="str">
        <x:v>设计航路示意；节点绕海岸布局，不是可直接用于航行的导航数据。河港由河口接驳。</x:v>
      </x:c>
    </x:row>
    <x:row r="25" ht="31" customHeight="1">
      <x:c r="A25" s="15" t="str">
        <x:v>RT20</x:v>
      </x:c>
      <x:c r="B25" s="15" t="str">
        <x:v>亚马孙药木巡航</x:v>
      </x:c>
      <x:c r="C25" s="15" t="str">
        <x:v>卡塔赫纳 → 贝伦 → 萨尔瓦多 → 里约热内卢</x:v>
      </x:c>
      <x:c r="D25" s="15" t="str">
        <x:v>皮革、砂糖、朗姆酒</x:v>
      </x:c>
      <x:c r="E25" s="15" t="str">
        <x:v>药草、硬木、可可</x:v>
      </x:c>
      <x:c r="F25" s="15" t="str">
        <x:v>依沿岸风况；河段丰水期</x:v>
      </x:c>
      <x:c r="G25" s="15" t="str">
        <x:v>河海结合</x:v>
      </x:c>
      <x:c r="H25" s="15" t="str">
        <x:v>远洋船停河口，浅水支船做内陆支线</x:v>
      </x:c>
      <x:c r="I25" s="15" t="str">
        <x:v>设计航路示意；节点绕海岸布局，不是可直接用于航行的导航数据。河港由河口接驳。</x:v>
      </x:c>
    </x:row>
    <x:row r="26" ht="31" customHeight="1">
      <x:c r="A26" s="13" t="str">
        <x:v>RT21</x:v>
      </x:c>
      <x:c r="B26" s="13" t="str">
        <x:v>南端风暴邮路</x:v>
      </x:c>
      <x:c r="C26" s="13" t="str">
        <x:v>里约热内卢 → 布宜诺斯艾利斯 → 蒙得维的亚 → 瓦尔帕莱索 → 卡亚俄</x:v>
      </x:c>
      <x:c r="D26" s="13" t="str">
        <x:v>砂糖、皮革、咖啡</x:v>
      </x:c>
      <x:c r="E26" s="13" t="str">
        <x:v>白银、羊毛、安第斯风弦铜铃</x:v>
      </x:c>
      <x:c r="F26" s="13" t="str">
        <x:v>南半球夏季</x:v>
      </x:c>
      <x:c r="G26" s="13" t="str">
        <x:v>高难远航</x:v>
      </x:c>
      <x:c r="H26" s="13" t="str">
        <x:v>明确绕合恩角，不穿越巴拿马或大陆</x:v>
      </x:c>
      <x:c r="I26" s="13" t="str">
        <x:v>设计航路示意；节点绕海岸布局，不是可直接用于航行的导航数据。河港由河口接驳。</x:v>
      </x:c>
    </x:row>
    <x:row r="27" ht="31" customHeight="1">
      <x:c r="A27" s="15" t="str">
        <x:v>RT22</x:v>
      </x:c>
      <x:c r="B27" s="15" t="str">
        <x:v>帝汶与新月湾</x:v>
      </x:c>
      <x:c r="C27" s="15" t="str">
        <x:v>望加锡 → 帝力 → 古邦 → 杰克逊湾</x:v>
      </x:c>
      <x:c r="D27" s="15" t="str">
        <x:v>南十字黑帆布、稻米、贝壳工艺品</x:v>
      </x:c>
      <x:c r="E27" s="15" t="str">
        <x:v>檀香木、硬木、桉影赤金树脂漆</x:v>
      </x:c>
      <x:c r="F27" s="15" t="str">
        <x:v>避热带风暴季</x:v>
      </x:c>
      <x:c r="G27" s="15" t="str">
        <x:v>新区域开拓</x:v>
      </x:c>
      <x:c r="H27" s="15" t="str">
        <x:v>绕澳洲北东岸与大堡礁外海，湾港建设为架空前置</x:v>
      </x:c>
      <x:c r="I27" s="15" t="str">
        <x:v>设计航路示意；节点绕海岸布局，不是可直接用于航行的导航数据。河港由河口接驳。</x:v>
      </x:c>
    </x:row>
    <x:row r="28" ht="31" customHeight="1">
      <x:c r="A28" s="13" t="str">
        <x:v>RT23</x:v>
      </x:c>
      <x:c r="B28" s="13" t="str">
        <x:v>借星而行</x:v>
      </x:c>
      <x:c r="C28" s="13" t="str">
        <x:v>杰克逊湾 → 怀特马塔湾 → 马塔瓦伊湾 → 汉加罗阿 → 卡亚俄</x:v>
      </x:c>
      <x:c r="D28" s="13" t="str">
        <x:v>铁工具、棉布、咸鱼</x:v>
      </x:c>
      <x:c r="E28" s="13" t="str">
        <x:v>树皮布、贝壳工艺品、黑海鸟纹石印</x:v>
      </x:c>
      <x:c r="F28" s="13" t="str">
        <x:v>分段候风</x:v>
      </x:c>
      <x:c r="G28" s="13" t="str">
        <x:v>探索主线</x:v>
      </x:c>
      <x:c r="H28" s="13" t="str">
        <x:v>长距离路线依岛际引航知识逐段解锁；星航资料是探索奖励，货舱交易只计算列出的实际商品</x:v>
      </x:c>
      <x:c r="I28" s="13" t="str">
        <x:v>设计航路示意；节点绕海岸布局，不是可直接用于航行的导航数据。河港由河口接驳。</x:v>
      </x:c>
    </x:row>
    <x:row r="29" ht="42" customHeight="1">
      <x:c r="A29" s="16" t="str">
        <x:v>RT24</x:v>
      </x:c>
      <x:c r="B29" s="16" t="str">
        <x:v>北太平洋回音</x:v>
      </x:c>
      <x:c r="C29" s="16" t="str">
        <x:v>长崎 → 科乌港 → 马塔瓦伊湾 → 哈加特纳 → 马尼拉</x:v>
      </x:c>
      <x:c r="D29" s="16" t="str">
        <x:v>瓷器、茶叶、玻璃器皿</x:v>
      </x:c>
      <x:c r="E29" s="16" t="str">
        <x:v>干椰肉、树皮布、贝壳工艺品</x:v>
      </x:c>
      <x:c r="F29" s="16" t="str">
        <x:v>随跨洋分段航季</x:v>
      </x:c>
      <x:c r="G29" s="16" t="str">
        <x:v>终章星潮巡航</x:v>
      </x:c>
      <x:c r="H29" s="16" t="str">
        <x:v>长航补给与天文导航；地图过日期变更线分段；星航资料是探索奖励，货舱交易只计算列出的实际商品</x:v>
      </x:c>
      <x:c r="I29" s="16" t="str">
        <x:v>设计航路示意；节点绕海岸布局，不是可直接用于航行的导航数据。河港由河口接驳。</x:v>
      </x:c>
    </x:row>
    <x:row r="30">
      <x:c r="A30" s="2"/>
      <x:c r="B30" s="2"/>
      <x:c r="C30" s="2"/>
      <x:c r="D30" s="2"/>
      <x:c r="E30" s="2"/>
      <x:c r="F30" s="2"/>
      <x:c r="G30" s="2"/>
      <x:c r="H30" s="2"/>
      <x:c r="I30" s="2"/>
    </x:row>
  </x:sheetData>
  <x:pageMargins left="0.7" right="0.7" top="0.75" bottom="0.75" header="0.3" footer="0.3"/>
  <x:tableParts count="1">
    <x:tablePart xmlns:r="http://schemas.openxmlformats.org/officeDocument/2006/relationships" r:id="R483c132c580743d2"/>
  </x:tableParts>
</x:worksheet>
</file>

<file path=xl/worksheets/sheet1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3" hidden="0" customWidth="1"/>
    <x:col min="2" max="2" width="33" hidden="0" customWidth="1"/>
    <x:col min="3" max="3" width="14" hidden="0" customWidth="1"/>
    <x:col min="4" max="4" width="14" hidden="0" customWidth="1"/>
    <x:col min="5" max="5" width="32" hidden="0" customWidth="1"/>
    <x:col min="6" max="6" width="14" hidden="0" customWidth="1"/>
    <x:col min="7" max="7" width="22" hidden="0" customWidth="1"/>
    <x:col min="8" max="8" width="16" hidden="0" customWidth="1"/>
    <x:col min="9" max="9" width="20" hidden="0" customWidth="1"/>
    <x:col min="10" max="10" width="67" hidden="0" customWidth="1"/>
  </x:cols>
  <x:sheetData>
    <x:row r="1">
      <x:c r="A1" s="2"/>
      <x:c r="B1" s="2"/>
      <x:c r="C1" s="2"/>
      <x:c r="D1" s="2"/>
      <x:c r="E1" s="2"/>
      <x:c r="F1" s="2"/>
      <x:c r="G1" s="2"/>
      <x:c r="H1" s="2"/>
      <x:c r="I1" s="2"/>
      <x:c r="J1" s="2"/>
    </x:row>
    <x:row r="2" ht="28" customHeight="1">
      <x:c r="A2" s="3" t="str">
        <x:v>二十四条航线的具体采购清单</x:v>
      </x:c>
      <x:c r="B2" s="2"/>
      <x:c r="C2" s="2"/>
      <x:c r="D2" s="2"/>
      <x:c r="E2" s="2"/>
      <x:c r="F2" s="2"/>
      <x:c r="G2" s="2"/>
      <x:c r="H2" s="2"/>
      <x:c r="I2" s="2"/>
      <x:c r="J2" s="2"/>
    </x:row>
    <x:row r="3">
      <x:c r="A3" s="5" t="str">
        <x:v>144条采购建议均可在港口供货表找到对应记录；采购量由舱容、库存和事件决定。</x:v>
      </x:c>
      <x:c r="B3" s="2"/>
      <x:c r="C3" s="2"/>
      <x:c r="D3" s="2"/>
      <x:c r="E3" s="2"/>
      <x:c r="F3" s="2"/>
      <x:c r="G3" s="2"/>
      <x:c r="H3" s="2"/>
      <x:c r="I3" s="2"/>
      <x:c r="J3" s="2"/>
    </x:row>
    <x:row r="4">
      <x:c r="A4" s="2"/>
      <x:c r="B4" s="2"/>
      <x:c r="C4" s="2"/>
      <x:c r="D4" s="2"/>
      <x:c r="E4" s="2"/>
      <x:c r="F4" s="2"/>
      <x:c r="G4" s="2"/>
      <x:c r="H4" s="2"/>
      <x:c r="I4" s="2"/>
      <x:c r="J4" s="2"/>
    </x:row>
    <x:row r="5" ht="34" customHeight="1">
      <x:c r="A5" s="10" t="str">
        <x:v>航线ID</x:v>
      </x:c>
      <x:c r="B5" s="10" t="str">
        <x:v>航线</x:v>
      </x:c>
      <x:c r="C5" s="10" t="str">
        <x:v>方向</x:v>
      </x:c>
      <x:c r="D5" s="10" t="str">
        <x:v>商品ID</x:v>
      </x:c>
      <x:c r="E5" s="10" t="str">
        <x:v>商品</x:v>
      </x:c>
      <x:c r="F5" s="10" t="str">
        <x:v>采购港ID</x:v>
      </x:c>
      <x:c r="G5" s="10" t="str">
        <x:v>采购港</x:v>
      </x:c>
      <x:c r="H5" s="10" t="str">
        <x:v>D解锁等级</x:v>
      </x:c>
      <x:c r="I5" s="10" t="str">
        <x:v>基础价（银币）</x:v>
      </x:c>
      <x:c r="J5" s="10" t="str">
        <x:v>供货方式</x:v>
      </x:c>
    </x:row>
    <x:row r="6" ht="31" customHeight="1">
      <x:c r="A6" s="12" t="str">
        <x:v>RT01</x:v>
      </x:c>
      <x:c r="B6" s="12" t="str">
        <x:v>北海粮木环线</x:v>
      </x:c>
      <x:c r="C6" s="12" t="str">
        <x:v>去程</x:v>
      </x:c>
      <x:c r="D6" s="12" t="str">
        <x:v>G008</x:v>
      </x:c>
      <x:c r="E6" s="12" t="str">
        <x:v>燕麦</x:v>
      </x:c>
      <x:c r="F6" s="12" t="str">
        <x:v>P001</x:v>
      </x:c>
      <x:c r="G6" s="12" t="str">
        <x:v>伦敦</x:v>
      </x:c>
      <x:c r="H6" s="26" t="n">
        <x:v>0</x:v>
      </x:c>
      <x:c r="I6" s="26" t="n">
        <x:v>32</x:v>
      </x:c>
      <x:c r="J6" s="12" t="str">
        <x:v>本港生产/腹地集散/港内加工</x:v>
      </x:c>
    </x:row>
    <x:row r="7" ht="31" customHeight="1">
      <x:c r="A7" s="15" t="str">
        <x:v>RT01</x:v>
      </x:c>
      <x:c r="B7" s="15" t="str">
        <x:v>北海粮木环线</x:v>
      </x:c>
      <x:c r="C7" s="15" t="str">
        <x:v>去程</x:v>
      </x:c>
      <x:c r="D7" s="15" t="str">
        <x:v>G056</x:v>
      </x:c>
      <x:c r="E7" s="15" t="str">
        <x:v>橡木</x:v>
      </x:c>
      <x:c r="F7" s="15" t="str">
        <x:v>P001</x:v>
      </x:c>
      <x:c r="G7" s="15" t="str">
        <x:v>伦敦</x:v>
      </x:c>
      <x:c r="H7" s="30" t="n">
        <x:v>1</x:v>
      </x:c>
      <x:c r="I7" s="30" t="n">
        <x:v>90</x:v>
      </x:c>
      <x:c r="J7" s="15" t="str">
        <x:v>本港生产/腹地集散/港内加工</x:v>
      </x:c>
    </x:row>
    <x:row r="8" ht="31" customHeight="1">
      <x:c r="A8" s="13" t="str">
        <x:v>RT01</x:v>
      </x:c>
      <x:c r="B8" s="13" t="str">
        <x:v>北海粮木环线</x:v>
      </x:c>
      <x:c r="C8" s="13" t="str">
        <x:v>去程</x:v>
      </x:c>
      <x:c r="D8" s="13" t="str">
        <x:v>G045</x:v>
      </x:c>
      <x:c r="E8" s="13" t="str">
        <x:v>毛呢</x:v>
      </x:c>
      <x:c r="F8" s="13" t="str">
        <x:v>P001</x:v>
      </x:c>
      <x:c r="G8" s="13" t="str">
        <x:v>伦敦</x:v>
      </x:c>
      <x:c r="H8" s="27" t="n">
        <x:v>2</x:v>
      </x:c>
      <x:c r="I8" s="27" t="n">
        <x:v>260</x:v>
      </x:c>
      <x:c r="J8" s="13" t="str">
        <x:v>本港生产/腹地集散/港内加工</x:v>
      </x:c>
    </x:row>
    <x:row r="9" ht="31" customHeight="1">
      <x:c r="A9" s="15" t="str">
        <x:v>RT01</x:v>
      </x:c>
      <x:c r="B9" s="15" t="str">
        <x:v>北海粮木环线</x:v>
      </x:c>
      <x:c r="C9" s="15" t="str">
        <x:v>返程</x:v>
      </x:c>
      <x:c r="D9" s="15" t="str">
        <x:v>G059</x:v>
      </x:c>
      <x:c r="E9" s="15" t="str">
        <x:v>铜锭</x:v>
      </x:c>
      <x:c r="F9" s="15" t="str">
        <x:v>P007</x:v>
      </x:c>
      <x:c r="G9" s="15" t="str">
        <x:v>斯德哥尔摩</x:v>
      </x:c>
      <x:c r="H9" s="30" t="n">
        <x:v>1</x:v>
      </x:c>
      <x:c r="I9" s="30" t="n">
        <x:v>185</x:v>
      </x:c>
      <x:c r="J9" s="15" t="str">
        <x:v>本港生产/腹地集散/港内加工</x:v>
      </x:c>
    </x:row>
    <x:row r="10" ht="31" customHeight="1">
      <x:c r="A10" s="13" t="str">
        <x:v>RT01</x:v>
      </x:c>
      <x:c r="B10" s="13" t="str">
        <x:v>北海粮木环线</x:v>
      </x:c>
      <x:c r="C10" s="13" t="str">
        <x:v>返程</x:v>
      </x:c>
      <x:c r="D10" s="13" t="str">
        <x:v>G058</x:v>
      </x:c>
      <x:c r="E10" s="13" t="str">
        <x:v>铁锭</x:v>
      </x:c>
      <x:c r="F10" s="13" t="str">
        <x:v>P007</x:v>
      </x:c>
      <x:c r="G10" s="13" t="str">
        <x:v>斯德哥尔摩</x:v>
      </x:c>
      <x:c r="H10" s="27" t="n">
        <x:v>1</x:v>
      </x:c>
      <x:c r="I10" s="27" t="n">
        <x:v>120</x:v>
      </x:c>
      <x:c r="J10" s="13" t="str">
        <x:v>本港生产/腹地集散/港内加工</x:v>
      </x:c>
    </x:row>
    <x:row r="11" ht="31" customHeight="1">
      <x:c r="A11" s="15" t="str">
        <x:v>RT01</x:v>
      </x:c>
      <x:c r="B11" s="15" t="str">
        <x:v>北海粮木环线</x:v>
      </x:c>
      <x:c r="C11" s="15" t="str">
        <x:v>返程</x:v>
      </x:c>
      <x:c r="D11" s="15" t="str">
        <x:v>SP007</x:v>
      </x:c>
      <x:c r="E11" s="15" t="str">
        <x:v>铜冠折影烛台</x:v>
      </x:c>
      <x:c r="F11" s="15" t="str">
        <x:v>P007</x:v>
      </x:c>
      <x:c r="G11" s="15" t="str">
        <x:v>斯德哥尔摩</x:v>
      </x:c>
      <x:c r="H11" s="30" t="n">
        <x:v>3</x:v>
      </x:c>
      <x:c r="I11" s="30" t="n">
        <x:v>620</x:v>
      </x:c>
      <x:c r="J11" s="15" t="str">
        <x:v>港口独占原创工坊特产</x:v>
      </x:c>
    </x:row>
    <x:row r="12" ht="31" customHeight="1">
      <x:c r="A12" s="13" t="str">
        <x:v>RT02</x:v>
      </x:c>
      <x:c r="B12" s="13" t="str">
        <x:v>鳕鱼与葡萄酒</x:v>
      </x:c>
      <x:c r="C12" s="13" t="str">
        <x:v>去程</x:v>
      </x:c>
      <x:c r="D12" s="13" t="str">
        <x:v>G016</x:v>
      </x:c>
      <x:c r="E12" s="13" t="str">
        <x:v>干鳕鱼</x:v>
      </x:c>
      <x:c r="F12" s="13" t="str">
        <x:v>P005</x:v>
      </x:c>
      <x:c r="G12" s="13" t="str">
        <x:v>卑尔根</x:v>
      </x:c>
      <x:c r="H12" s="27" t="n">
        <x:v>0</x:v>
      </x:c>
      <x:c r="I12" s="27" t="n">
        <x:v>98</x:v>
      </x:c>
      <x:c r="J12" s="13" t="str">
        <x:v>本港生产/腹地集散/港内加工</x:v>
      </x:c>
    </x:row>
    <x:row r="13" ht="31" customHeight="1">
      <x:c r="A13" s="15" t="str">
        <x:v>RT02</x:v>
      </x:c>
      <x:c r="B13" s="15" t="str">
        <x:v>鳕鱼与葡萄酒</x:v>
      </x:c>
      <x:c r="C13" s="15" t="str">
        <x:v>去程</x:v>
      </x:c>
      <x:c r="D13" s="15" t="str">
        <x:v>G057</x:v>
      </x:c>
      <x:c r="E13" s="15" t="str">
        <x:v>松木</x:v>
      </x:c>
      <x:c r="F13" s="15" t="str">
        <x:v>P005</x:v>
      </x:c>
      <x:c r="G13" s="15" t="str">
        <x:v>卑尔根</x:v>
      </x:c>
      <x:c r="H13" s="30" t="n">
        <x:v>1</x:v>
      </x:c>
      <x:c r="I13" s="30" t="n">
        <x:v>70</x:v>
      </x:c>
      <x:c r="J13" s="15" t="str">
        <x:v>本港生产/腹地集散/港内加工</x:v>
      </x:c>
    </x:row>
    <x:row r="14" ht="31" customHeight="1">
      <x:c r="A14" s="13" t="str">
        <x:v>RT02</x:v>
      </x:c>
      <x:c r="B14" s="13" t="str">
        <x:v>鳕鱼与葡萄酒</x:v>
      </x:c>
      <x:c r="C14" s="13" t="str">
        <x:v>去程</x:v>
      </x:c>
      <x:c r="D14" s="13" t="str">
        <x:v>G017</x:v>
      </x:c>
      <x:c r="E14" s="13" t="str">
        <x:v>烟熏鲱鱼</x:v>
      </x:c>
      <x:c r="F14" s="13" t="str">
        <x:v>P005</x:v>
      </x:c>
      <x:c r="G14" s="13" t="str">
        <x:v>卑尔根</x:v>
      </x:c>
      <x:c r="H14" s="27" t="n">
        <x:v>1</x:v>
      </x:c>
      <x:c r="I14" s="27" t="n">
        <x:v>72</x:v>
      </x:c>
      <x:c r="J14" s="13" t="str">
        <x:v>本港生产/腹地集散/港内加工</x:v>
      </x:c>
    </x:row>
    <x:row r="15" ht="31" customHeight="1">
      <x:c r="A15" s="15" t="str">
        <x:v>RT02</x:v>
      </x:c>
      <x:c r="B15" s="15" t="str">
        <x:v>鳕鱼与葡萄酒</x:v>
      </x:c>
      <x:c r="C15" s="15" t="str">
        <x:v>返程</x:v>
      </x:c>
      <x:c r="D15" s="15" t="str">
        <x:v>G023</x:v>
      </x:c>
      <x:c r="E15" s="15" t="str">
        <x:v>葡萄酒</x:v>
      </x:c>
      <x:c r="F15" s="15" t="str">
        <x:v>P012</x:v>
      </x:c>
      <x:c r="G15" s="15" t="str">
        <x:v>波尔图</x:v>
      </x:c>
      <x:c r="H15" s="30" t="n">
        <x:v>0</x:v>
      </x:c>
      <x:c r="I15" s="30" t="n">
        <x:v>115</x:v>
      </x:c>
      <x:c r="J15" s="15" t="str">
        <x:v>本港生产/腹地集散/港内加工</x:v>
      </x:c>
    </x:row>
    <x:row r="16" ht="31" customHeight="1">
      <x:c r="A16" s="13" t="str">
        <x:v>RT02</x:v>
      </x:c>
      <x:c r="B16" s="13" t="str">
        <x:v>鳕鱼与葡萄酒</x:v>
      </x:c>
      <x:c r="C16" s="13" t="str">
        <x:v>返程</x:v>
      </x:c>
      <x:c r="D16" s="13" t="str">
        <x:v>G009</x:v>
      </x:c>
      <x:c r="E16" s="13" t="str">
        <x:v>盐</x:v>
      </x:c>
      <x:c r="F16" s="13" t="str">
        <x:v>P012</x:v>
      </x:c>
      <x:c r="G16" s="13" t="str">
        <x:v>波尔图</x:v>
      </x:c>
      <x:c r="H16" s="27" t="n">
        <x:v>1</x:v>
      </x:c>
      <x:c r="I16" s="27" t="n">
        <x:v>28</x:v>
      </x:c>
      <x:c r="J16" s="13" t="str">
        <x:v>本港生产/腹地集散/港内加工</x:v>
      </x:c>
    </x:row>
    <x:row r="17" ht="31" customHeight="1">
      <x:c r="A17" s="15" t="str">
        <x:v>RT02</x:v>
      </x:c>
      <x:c r="B17" s="15" t="str">
        <x:v>鳕鱼与葡萄酒</x:v>
      </x:c>
      <x:c r="C17" s="15" t="str">
        <x:v>返程</x:v>
      </x:c>
      <x:c r="D17" s="15" t="str">
        <x:v>G044</x:v>
      </x:c>
      <x:c r="E17" s="15" t="str">
        <x:v>麻布</x:v>
      </x:c>
      <x:c r="F17" s="15" t="str">
        <x:v>P012</x:v>
      </x:c>
      <x:c r="G17" s="15" t="str">
        <x:v>波尔图</x:v>
      </x:c>
      <x:c r="H17" s="30" t="n">
        <x:v>3</x:v>
      </x:c>
      <x:c r="I17" s="30" t="n">
        <x:v>145</x:v>
      </x:c>
      <x:c r="J17" s="15" t="str">
        <x:v>本港生产/腹地集散/港内加工</x:v>
      </x:c>
    </x:row>
    <x:row r="18" ht="31" customHeight="1">
      <x:c r="A18" s="13" t="str">
        <x:v>RT03</x:v>
      </x:c>
      <x:c r="B18" s="13" t="str">
        <x:v>蓝瓷出航线</x:v>
      </x:c>
      <x:c r="C18" s="13" t="str">
        <x:v>去程</x:v>
      </x:c>
      <x:c r="D18" s="13" t="str">
        <x:v>G023</x:v>
      </x:c>
      <x:c r="E18" s="13" t="str">
        <x:v>葡萄酒</x:v>
      </x:c>
      <x:c r="F18" s="13" t="str">
        <x:v>P011</x:v>
      </x:c>
      <x:c r="G18" s="13" t="str">
        <x:v>里斯本</x:v>
      </x:c>
      <x:c r="H18" s="27" t="n">
        <x:v>0</x:v>
      </x:c>
      <x:c r="I18" s="27" t="n">
        <x:v>115</x:v>
      </x:c>
      <x:c r="J18" s="13" t="str">
        <x:v>本港生产/腹地集散/港内加工</x:v>
      </x:c>
    </x:row>
    <x:row r="19" ht="31" customHeight="1">
      <x:c r="A19" s="15" t="str">
        <x:v>RT03</x:v>
      </x:c>
      <x:c r="B19" s="15" t="str">
        <x:v>蓝瓷出航线</x:v>
      </x:c>
      <x:c r="C19" s="15" t="str">
        <x:v>去程</x:v>
      </x:c>
      <x:c r="D19" s="15" t="str">
        <x:v>G013</x:v>
      </x:c>
      <x:c r="E19" s="15" t="str">
        <x:v>橄榄油</x:v>
      </x:c>
      <x:c r="F19" s="15" t="str">
        <x:v>P011</x:v>
      </x:c>
      <x:c r="G19" s="15" t="str">
        <x:v>里斯本</x:v>
      </x:c>
      <x:c r="H19" s="30" t="n">
        <x:v>1</x:v>
      </x:c>
      <x:c r="I19" s="30" t="n">
        <x:v>120</x:v>
      </x:c>
      <x:c r="J19" s="15" t="str">
        <x:v>本港生产/腹地集散/港内加工</x:v>
      </x:c>
    </x:row>
    <x:row r="20" ht="31" customHeight="1">
      <x:c r="A20" s="13" t="str">
        <x:v>RT03</x:v>
      </x:c>
      <x:c r="B20" s="13" t="str">
        <x:v>蓝瓷出航线</x:v>
      </x:c>
      <x:c r="C20" s="13" t="str">
        <x:v>去程</x:v>
      </x:c>
      <x:c r="D20" s="13" t="str">
        <x:v>G009</x:v>
      </x:c>
      <x:c r="E20" s="13" t="str">
        <x:v>盐</x:v>
      </x:c>
      <x:c r="F20" s="13" t="str">
        <x:v>P011</x:v>
      </x:c>
      <x:c r="G20" s="13" t="str">
        <x:v>里斯本</x:v>
      </x:c>
      <x:c r="H20" s="27" t="n">
        <x:v>0</x:v>
      </x:c>
      <x:c r="I20" s="27" t="n">
        <x:v>28</x:v>
      </x:c>
      <x:c r="J20" s="13" t="str">
        <x:v>本港生产/腹地集散/港内加工</x:v>
      </x:c>
    </x:row>
    <x:row r="21" ht="31" customHeight="1">
      <x:c r="A21" s="15" t="str">
        <x:v>RT03</x:v>
      </x:c>
      <x:c r="B21" s="15" t="str">
        <x:v>蓝瓷出航线</x:v>
      </x:c>
      <x:c r="C21" s="15" t="str">
        <x:v>返程</x:v>
      </x:c>
      <x:c r="D21" s="15" t="str">
        <x:v>G011</x:v>
      </x:c>
      <x:c r="E21" s="15" t="str">
        <x:v>砂糖</x:v>
      </x:c>
      <x:c r="F21" s="15" t="str">
        <x:v>P040</x:v>
      </x:c>
      <x:c r="G21" s="15" t="str">
        <x:v>里贝拉格兰德</x:v>
      </x:c>
      <x:c r="H21" s="30" t="n">
        <x:v>1</x:v>
      </x:c>
      <x:c r="I21" s="30" t="n">
        <x:v>140</x:v>
      </x:c>
      <x:c r="J21" s="15" t="str">
        <x:v>本港生产/腹地集散/港内加工</x:v>
      </x:c>
    </x:row>
    <x:row r="22" ht="31" customHeight="1">
      <x:c r="A22" s="13" t="str">
        <x:v>RT03</x:v>
      </x:c>
      <x:c r="B22" s="13" t="str">
        <x:v>蓝瓷出航线</x:v>
      </x:c>
      <x:c r="C22" s="13" t="str">
        <x:v>返程</x:v>
      </x:c>
      <x:c r="D22" s="13" t="str">
        <x:v>G025</x:v>
      </x:c>
      <x:c r="E22" s="13" t="str">
        <x:v>朗姆酒</x:v>
      </x:c>
      <x:c r="F22" s="13" t="str">
        <x:v>P040</x:v>
      </x:c>
      <x:c r="G22" s="13" t="str">
        <x:v>里贝拉格兰德</x:v>
      </x:c>
      <x:c r="H22" s="27" t="n">
        <x:v>4</x:v>
      </x:c>
      <x:c r="I22" s="27" t="n">
        <x:v>155</x:v>
      </x:c>
      <x:c r="J22" s="13" t="str">
        <x:v>本港生产/腹地集散/港内加工</x:v>
      </x:c>
    </x:row>
    <x:row r="23" ht="31" customHeight="1">
      <x:c r="A23" s="15" t="str">
        <x:v>RT03</x:v>
      </x:c>
      <x:c r="B23" s="15" t="str">
        <x:v>蓝瓷出航线</x:v>
      </x:c>
      <x:c r="C23" s="15" t="str">
        <x:v>返程</x:v>
      </x:c>
      <x:c r="D23" s="15" t="str">
        <x:v>SP040</x:v>
      </x:c>
      <x:c r="E23" s="15" t="str">
        <x:v>火山谷双影棉披布</x:v>
      </x:c>
      <x:c r="F23" s="15" t="str">
        <x:v>P040</x:v>
      </x:c>
      <x:c r="G23" s="15" t="str">
        <x:v>里贝拉格兰德</x:v>
      </x:c>
      <x:c r="H23" s="30" t="n">
        <x:v>3</x:v>
      </x:c>
      <x:c r="I23" s="30" t="n">
        <x:v>420</x:v>
      </x:c>
      <x:c r="J23" s="15" t="str">
        <x:v>港口独占原创工坊特产</x:v>
      </x:c>
    </x:row>
    <x:row r="24" ht="31" customHeight="1">
      <x:c r="A24" s="13" t="str">
        <x:v>RT04</x:v>
      </x:c>
      <x:c r="B24" s="13" t="str">
        <x:v>玻璃与橄榄海</x:v>
      </x:c>
      <x:c r="C24" s="13" t="str">
        <x:v>去程</x:v>
      </x:c>
      <x:c r="D24" s="13" t="str">
        <x:v>G071</x:v>
      </x:c>
      <x:c r="E24" s="13" t="str">
        <x:v>玻璃器皿</x:v>
      </x:c>
      <x:c r="F24" s="13" t="str">
        <x:v>P023</x:v>
      </x:c>
      <x:c r="G24" s="13" t="str">
        <x:v>威尼斯</x:v>
      </x:c>
      <x:c r="H24" s="27" t="n">
        <x:v>0</x:v>
      </x:c>
      <x:c r="I24" s="27" t="n">
        <x:v>310</x:v>
      </x:c>
      <x:c r="J24" s="13" t="str">
        <x:v>本港生产/腹地集散/港内加工</x:v>
      </x:c>
    </x:row>
    <x:row r="25" ht="31" customHeight="1">
      <x:c r="A25" s="15" t="str">
        <x:v>RT04</x:v>
      </x:c>
      <x:c r="B25" s="15" t="str">
        <x:v>玻璃与橄榄海</x:v>
      </x:c>
      <x:c r="C25" s="15" t="str">
        <x:v>去程</x:v>
      </x:c>
      <x:c r="D25" s="15" t="str">
        <x:v>G046</x:v>
      </x:c>
      <x:c r="E25" s="15" t="str">
        <x:v>丝绸</x:v>
      </x:c>
      <x:c r="F25" s="15" t="str">
        <x:v>P023</x:v>
      </x:c>
      <x:c r="G25" s="15" t="str">
        <x:v>威尼斯</x:v>
      </x:c>
      <x:c r="H25" s="30" t="n">
        <x:v>2</x:v>
      </x:c>
      <x:c r="I25" s="30" t="n">
        <x:v>620</x:v>
      </x:c>
      <x:c r="J25" s="15" t="str">
        <x:v>本港生产/腹地集散/港内加工</x:v>
      </x:c>
    </x:row>
    <x:row r="26" ht="31" customHeight="1">
      <x:c r="A26" s="13" t="str">
        <x:v>RT04</x:v>
      </x:c>
      <x:c r="B26" s="13" t="str">
        <x:v>玻璃与橄榄海</x:v>
      </x:c>
      <x:c r="C26" s="13" t="str">
        <x:v>去程</x:v>
      </x:c>
      <x:c r="D26" s="13" t="str">
        <x:v>SP023</x:v>
      </x:c>
      <x:c r="E26" s="13" t="str">
        <x:v>千潮琉璃天球灯</x:v>
      </x:c>
      <x:c r="F26" s="13" t="str">
        <x:v>P023</x:v>
      </x:c>
      <x:c r="G26" s="13" t="str">
        <x:v>威尼斯</x:v>
      </x:c>
      <x:c r="H26" s="27" t="n">
        <x:v>4</x:v>
      </x:c>
      <x:c r="I26" s="27" t="n">
        <x:v>1480</x:v>
      </x:c>
      <x:c r="J26" s="13" t="str">
        <x:v>港口独占原创工坊特产</x:v>
      </x:c>
    </x:row>
    <x:row r="27" ht="31" customHeight="1">
      <x:c r="A27" s="15" t="str">
        <x:v>RT04</x:v>
      </x:c>
      <x:c r="B27" s="15" t="str">
        <x:v>玻璃与橄榄海</x:v>
      </x:c>
      <x:c r="C27" s="15" t="str">
        <x:v>返程</x:v>
      </x:c>
      <x:c r="D27" s="15" t="str">
        <x:v>G013</x:v>
      </x:c>
      <x:c r="E27" s="15" t="str">
        <x:v>橄榄油</x:v>
      </x:c>
      <x:c r="F27" s="15" t="str">
        <x:v>P027</x:v>
      </x:c>
      <x:c r="G27" s="15" t="str">
        <x:v>巴塞罗那</x:v>
      </x:c>
      <x:c r="H27" s="30" t="n">
        <x:v>0</x:v>
      </x:c>
      <x:c r="I27" s="30" t="n">
        <x:v>120</x:v>
      </x:c>
      <x:c r="J27" s="15" t="str">
        <x:v>本港生产/腹地集散/港内加工</x:v>
      </x:c>
    </x:row>
    <x:row r="28" ht="31" customHeight="1">
      <x:c r="A28" s="13" t="str">
        <x:v>RT04</x:v>
      </x:c>
      <x:c r="B28" s="13" t="str">
        <x:v>玻璃与橄榄海</x:v>
      </x:c>
      <x:c r="C28" s="13" t="str">
        <x:v>返程</x:v>
      </x:c>
      <x:c r="D28" s="13" t="str">
        <x:v>G023</x:v>
      </x:c>
      <x:c r="E28" s="13" t="str">
        <x:v>葡萄酒</x:v>
      </x:c>
      <x:c r="F28" s="13" t="str">
        <x:v>P027</x:v>
      </x:c>
      <x:c r="G28" s="13" t="str">
        <x:v>巴塞罗那</x:v>
      </x:c>
      <x:c r="H28" s="27" t="n">
        <x:v>0</x:v>
      </x:c>
      <x:c r="I28" s="27" t="n">
        <x:v>115</x:v>
      </x:c>
      <x:c r="J28" s="13" t="str">
        <x:v>本港生产/腹地集散/港内加工</x:v>
      </x:c>
    </x:row>
    <x:row r="29" ht="31" customHeight="1">
      <x:c r="A29" s="15" t="str">
        <x:v>RT04</x:v>
      </x:c>
      <x:c r="B29" s="15" t="str">
        <x:v>玻璃与橄榄海</x:v>
      </x:c>
      <x:c r="C29" s="15" t="str">
        <x:v>返程</x:v>
      </x:c>
      <x:c r="D29" s="15" t="str">
        <x:v>G050</x:v>
      </x:c>
      <x:c r="E29" s="15" t="str">
        <x:v>茜草染料</x:v>
      </x:c>
      <x:c r="F29" s="15" t="str">
        <x:v>P027</x:v>
      </x:c>
      <x:c r="G29" s="15" t="str">
        <x:v>巴塞罗那</x:v>
      </x:c>
      <x:c r="H29" s="30" t="n">
        <x:v>2</x:v>
      </x:c>
      <x:c r="I29" s="30" t="n">
        <x:v>175</x:v>
      </x:c>
      <x:c r="J29" s="15" t="str">
        <x:v>本港生产/腹地集散/港内加工</x:v>
      </x:c>
    </x:row>
    <x:row r="30" ht="31" customHeight="1">
      <x:c r="A30" s="13" t="str">
        <x:v>RT05</x:v>
      </x:c>
      <x:c r="B30" s="13" t="str">
        <x:v>海峡两端的铜钟</x:v>
      </x:c>
      <x:c r="C30" s="13" t="str">
        <x:v>去程</x:v>
      </x:c>
      <x:c r="D30" s="13" t="str">
        <x:v>G048</x:v>
      </x:c>
      <x:c r="E30" s="13" t="str">
        <x:v>天鹅绒</x:v>
      </x:c>
      <x:c r="F30" s="13" t="str">
        <x:v>P022</x:v>
      </x:c>
      <x:c r="G30" s="13" t="str">
        <x:v>热那亚</x:v>
      </x:c>
      <x:c r="H30" s="27" t="n">
        <x:v>3</x:v>
      </x:c>
      <x:c r="I30" s="27" t="n">
        <x:v>720</x:v>
      </x:c>
      <x:c r="J30" s="13" t="str">
        <x:v>本港生产/腹地集散/港内加工</x:v>
      </x:c>
    </x:row>
    <x:row r="31" ht="31" customHeight="1">
      <x:c r="A31" s="15" t="str">
        <x:v>RT05</x:v>
      </x:c>
      <x:c r="B31" s="15" t="str">
        <x:v>海峡两端的铜钟</x:v>
      </x:c>
      <x:c r="C31" s="15" t="str">
        <x:v>去程</x:v>
      </x:c>
      <x:c r="D31" s="15" t="str">
        <x:v>G071</x:v>
      </x:c>
      <x:c r="E31" s="15" t="str">
        <x:v>玻璃器皿</x:v>
      </x:c>
      <x:c r="F31" s="15" t="str">
        <x:v>P022</x:v>
      </x:c>
      <x:c r="G31" s="15" t="str">
        <x:v>热那亚</x:v>
      </x:c>
      <x:c r="H31" s="30" t="n">
        <x:v>4</x:v>
      </x:c>
      <x:c r="I31" s="30" t="n">
        <x:v>310</x:v>
      </x:c>
      <x:c r="J31" s="15" t="str">
        <x:v>本港生产/腹地集散/港内加工</x:v>
      </x:c>
    </x:row>
    <x:row r="32" ht="31" customHeight="1">
      <x:c r="A32" s="13" t="str">
        <x:v>RT05</x:v>
      </x:c>
      <x:c r="B32" s="13" t="str">
        <x:v>海峡两端的铜钟</x:v>
      </x:c>
      <x:c r="C32" s="13" t="str">
        <x:v>去程</x:v>
      </x:c>
      <x:c r="D32" s="13" t="str">
        <x:v>G023</x:v>
      </x:c>
      <x:c r="E32" s="13" t="str">
        <x:v>葡萄酒</x:v>
      </x:c>
      <x:c r="F32" s="13" t="str">
        <x:v>P022</x:v>
      </x:c>
      <x:c r="G32" s="13" t="str">
        <x:v>热那亚</x:v>
      </x:c>
      <x:c r="H32" s="27" t="n">
        <x:v>0</x:v>
      </x:c>
      <x:c r="I32" s="27" t="n">
        <x:v>115</x:v>
      </x:c>
      <x:c r="J32" s="13" t="str">
        <x:v>本港生产/腹地集散/港内加工</x:v>
      </x:c>
    </x:row>
    <x:row r="33" ht="31" customHeight="1">
      <x:c r="A33" s="15" t="str">
        <x:v>RT05</x:v>
      </x:c>
      <x:c r="B33" s="15" t="str">
        <x:v>海峡两端的铜钟</x:v>
      </x:c>
      <x:c r="C33" s="15" t="str">
        <x:v>返程</x:v>
      </x:c>
      <x:c r="D33" s="15" t="str">
        <x:v>G047</x:v>
      </x:c>
      <x:c r="E33" s="15" t="str">
        <x:v>锦缎</x:v>
      </x:c>
      <x:c r="F33" s="15" t="str">
        <x:v>P032</x:v>
      </x:c>
      <x:c r="G33" s="15" t="str">
        <x:v>君士坦丁堡</x:v>
      </x:c>
      <x:c r="H33" s="30" t="n">
        <x:v>4</x:v>
      </x:c>
      <x:c r="I33" s="30" t="n">
        <x:v>850</x:v>
      </x:c>
      <x:c r="J33" s="15" t="str">
        <x:v>本港生产/腹地集散/港内加工</x:v>
      </x:c>
    </x:row>
    <x:row r="34" ht="31" customHeight="1">
      <x:c r="A34" s="13" t="str">
        <x:v>RT05</x:v>
      </x:c>
      <x:c r="B34" s="13" t="str">
        <x:v>海峡两端的铜钟</x:v>
      </x:c>
      <x:c r="C34" s="13" t="str">
        <x:v>返程</x:v>
      </x:c>
      <x:c r="D34" s="13" t="str">
        <x:v>G073</x:v>
      </x:c>
      <x:c r="E34" s="13" t="str">
        <x:v>珠宝</x:v>
      </x:c>
      <x:c r="F34" s="13" t="str">
        <x:v>P032</x:v>
      </x:c>
      <x:c r="G34" s="13" t="str">
        <x:v>君士坦丁堡</x:v>
      </x:c>
      <x:c r="H34" s="27" t="n">
        <x:v>5</x:v>
      </x:c>
      <x:c r="I34" s="27" t="n">
        <x:v>760</x:v>
      </x:c>
      <x:c r="J34" s="13" t="str">
        <x:v>本港生产/腹地集散/港内加工</x:v>
      </x:c>
    </x:row>
    <x:row r="35" ht="31" customHeight="1">
      <x:c r="A35" s="15" t="str">
        <x:v>RT05</x:v>
      </x:c>
      <x:c r="B35" s="15" t="str">
        <x:v>海峡两端的铜钟</x:v>
      </x:c>
      <x:c r="C35" s="15" t="str">
        <x:v>返程</x:v>
      </x:c>
      <x:c r="D35" s="15" t="str">
        <x:v>G084</x:v>
      </x:c>
      <x:c r="E35" s="15" t="str">
        <x:v>乳香</x:v>
      </x:c>
      <x:c r="F35" s="15" t="str">
        <x:v>P030</x:v>
      </x:c>
      <x:c r="G35" s="15" t="str">
        <x:v>亚历山大</x:v>
      </x:c>
      <x:c r="H35" s="30" t="n">
        <x:v>3</x:v>
      </x:c>
      <x:c r="I35" s="30" t="n">
        <x:v>340</x:v>
      </x:c>
      <x:c r="J35" s="15" t="str">
        <x:v>进口/区域转口</x:v>
      </x:c>
    </x:row>
    <x:row r="36" ht="31" customHeight="1">
      <x:c r="A36" s="13" t="str">
        <x:v>RT06</x:v>
      </x:c>
      <x:c r="B36" s="13" t="str">
        <x:v>靛布河口路</x:v>
      </x:c>
      <x:c r="C36" s="13" t="str">
        <x:v>去程</x:v>
      </x:c>
      <x:c r="D36" s="13" t="str">
        <x:v>G023</x:v>
      </x:c>
      <x:c r="E36" s="13" t="str">
        <x:v>葡萄酒</x:v>
      </x:c>
      <x:c r="F36" s="13" t="str">
        <x:v>P037</x:v>
      </x:c>
      <x:c r="G36" s="13" t="str">
        <x:v>拉斯帕尔马斯</x:v>
      </x:c>
      <x:c r="H36" s="27" t="n">
        <x:v>0</x:v>
      </x:c>
      <x:c r="I36" s="27" t="n">
        <x:v>115</x:v>
      </x:c>
      <x:c r="J36" s="13" t="str">
        <x:v>本港生产/腹地集散/港内加工</x:v>
      </x:c>
    </x:row>
    <x:row r="37" ht="31" customHeight="1">
      <x:c r="A37" s="15" t="str">
        <x:v>RT06</x:v>
      </x:c>
      <x:c r="B37" s="15" t="str">
        <x:v>靛布河口路</x:v>
      </x:c>
      <x:c r="C37" s="15" t="str">
        <x:v>去程</x:v>
      </x:c>
      <x:c r="D37" s="15" t="str">
        <x:v>G044</x:v>
      </x:c>
      <x:c r="E37" s="15" t="str">
        <x:v>麻布</x:v>
      </x:c>
      <x:c r="F37" s="15" t="str">
        <x:v>P037</x:v>
      </x:c>
      <x:c r="G37" s="15" t="str">
        <x:v>拉斯帕尔马斯</x:v>
      </x:c>
      <x:c r="H37" s="30" t="n">
        <x:v>4</x:v>
      </x:c>
      <x:c r="I37" s="30" t="n">
        <x:v>145</x:v>
      </x:c>
      <x:c r="J37" s="15" t="str">
        <x:v>进口/区域转口</x:v>
      </x:c>
    </x:row>
    <x:row r="38" ht="31" customHeight="1">
      <x:c r="A38" s="13" t="str">
        <x:v>RT06</x:v>
      </x:c>
      <x:c r="B38" s="13" t="str">
        <x:v>靛布河口路</x:v>
      </x:c>
      <x:c r="C38" s="13" t="str">
        <x:v>去程</x:v>
      </x:c>
      <x:c r="D38" s="13" t="str">
        <x:v>G065</x:v>
      </x:c>
      <x:c r="E38" s="13" t="str">
        <x:v>硫磺</x:v>
      </x:c>
      <x:c r="F38" s="13" t="str">
        <x:v>P037</x:v>
      </x:c>
      <x:c r="G38" s="13" t="str">
        <x:v>拉斯帕尔马斯</x:v>
      </x:c>
      <x:c r="H38" s="27" t="n">
        <x:v>3</x:v>
      </x:c>
      <x:c r="I38" s="27" t="n">
        <x:v>140</x:v>
      </x:c>
      <x:c r="J38" s="13" t="str">
        <x:v>本港生产/腹地集散/港内加工</x:v>
      </x:c>
    </x:row>
    <x:row r="39" ht="31" customHeight="1">
      <x:c r="A39" s="15" t="str">
        <x:v>RT06</x:v>
      </x:c>
      <x:c r="B39" s="15" t="str">
        <x:v>靛布河口路</x:v>
      </x:c>
      <x:c r="C39" s="15" t="str">
        <x:v>返程</x:v>
      </x:c>
      <x:c r="D39" s="15" t="str">
        <x:v>G089</x:v>
      </x:c>
      <x:c r="E39" s="15" t="str">
        <x:v>阿拉伯胶</x:v>
      </x:c>
      <x:c r="F39" s="15" t="str">
        <x:v>P039</x:v>
      </x:c>
      <x:c r="G39" s="15" t="str">
        <x:v>圣路易</x:v>
      </x:c>
      <x:c r="H39" s="30" t="n">
        <x:v>1</x:v>
      </x:c>
      <x:c r="I39" s="30" t="n">
        <x:v>160</x:v>
      </x:c>
      <x:c r="J39" s="15" t="str">
        <x:v>本港生产/腹地集散/港内加工</x:v>
      </x:c>
    </x:row>
    <x:row r="40" ht="31" customHeight="1">
      <x:c r="A40" s="13" t="str">
        <x:v>RT06</x:v>
      </x:c>
      <x:c r="B40" s="13" t="str">
        <x:v>靛布河口路</x:v>
      </x:c>
      <x:c r="C40" s="13" t="str">
        <x:v>返程</x:v>
      </x:c>
      <x:c r="D40" s="13" t="str">
        <x:v>G043</x:v>
      </x:c>
      <x:c r="E40" s="13" t="str">
        <x:v>棉布</x:v>
      </x:c>
      <x:c r="F40" s="13" t="str">
        <x:v>P040</x:v>
      </x:c>
      <x:c r="G40" s="13" t="str">
        <x:v>里贝拉格兰德</x:v>
      </x:c>
      <x:c r="H40" s="27" t="n">
        <x:v>3</x:v>
      </x:c>
      <x:c r="I40" s="27" t="n">
        <x:v>160</x:v>
      </x:c>
      <x:c r="J40" s="13" t="str">
        <x:v>本港生产/腹地集散/港内加工</x:v>
      </x:c>
    </x:row>
    <x:row r="41" ht="31" customHeight="1">
      <x:c r="A41" s="15" t="str">
        <x:v>RT06</x:v>
      </x:c>
      <x:c r="B41" s="15" t="str">
        <x:v>靛布河口路</x:v>
      </x:c>
      <x:c r="C41" s="15" t="str">
        <x:v>返程</x:v>
      </x:c>
      <x:c r="D41" s="15" t="str">
        <x:v>G049</x:v>
      </x:c>
      <x:c r="E41" s="15" t="str">
        <x:v>靛蓝</x:v>
      </x:c>
      <x:c r="F41" s="15" t="str">
        <x:v>P039</x:v>
      </x:c>
      <x:c r="G41" s="15" t="str">
        <x:v>圣路易</x:v>
      </x:c>
      <x:c r="H41" s="30" t="n">
        <x:v>3</x:v>
      </x:c>
      <x:c r="I41" s="30" t="n">
        <x:v>280</x:v>
      </x:c>
      <x:c r="J41" s="15" t="str">
        <x:v>本港生产/腹地集散/港内加工</x:v>
      </x:c>
    </x:row>
    <x:row r="42" ht="31" customHeight="1">
      <x:c r="A42" s="13" t="str">
        <x:v>RT07</x:v>
      </x:c>
      <x:c r="B42" s="13" t="str">
        <x:v>黄金海岸工坊链</x:v>
      </x:c>
      <x:c r="C42" s="13" t="str">
        <x:v>去程</x:v>
      </x:c>
      <x:c r="D42" s="13" t="str">
        <x:v>G038</x:v>
      </x:c>
      <x:c r="E42" s="13" t="str">
        <x:v>原棉</x:v>
      </x:c>
      <x:c r="F42" s="13" t="str">
        <x:v>P040</x:v>
      </x:c>
      <x:c r="G42" s="13" t="str">
        <x:v>里贝拉格兰德</x:v>
      </x:c>
      <x:c r="H42" s="27" t="n">
        <x:v>2</x:v>
      </x:c>
      <x:c r="I42" s="27" t="n">
        <x:v>95</x:v>
      </x:c>
      <x:c r="J42" s="13" t="str">
        <x:v>本港生产/腹地集散/港内加工</x:v>
      </x:c>
    </x:row>
    <x:row r="43" ht="31" customHeight="1">
      <x:c r="A43" s="15" t="str">
        <x:v>RT07</x:v>
      </x:c>
      <x:c r="B43" s="15" t="str">
        <x:v>黄金海岸工坊链</x:v>
      </x:c>
      <x:c r="C43" s="15" t="str">
        <x:v>去程</x:v>
      </x:c>
      <x:c r="D43" s="15" t="str">
        <x:v>G043</x:v>
      </x:c>
      <x:c r="E43" s="15" t="str">
        <x:v>棉布</x:v>
      </x:c>
      <x:c r="F43" s="15" t="str">
        <x:v>P040</x:v>
      </x:c>
      <x:c r="G43" s="15" t="str">
        <x:v>里贝拉格兰德</x:v>
      </x:c>
      <x:c r="H43" s="30" t="n">
        <x:v>3</x:v>
      </x:c>
      <x:c r="I43" s="30" t="n">
        <x:v>160</x:v>
      </x:c>
      <x:c r="J43" s="15" t="str">
        <x:v>本港生产/腹地集散/港内加工</x:v>
      </x:c>
    </x:row>
    <x:row r="44" ht="31" customHeight="1">
      <x:c r="A44" s="13" t="str">
        <x:v>RT07</x:v>
      </x:c>
      <x:c r="B44" s="13" t="str">
        <x:v>黄金海岸工坊链</x:v>
      </x:c>
      <x:c r="C44" s="13" t="str">
        <x:v>去程</x:v>
      </x:c>
      <x:c r="D44" s="13" t="str">
        <x:v>G025</x:v>
      </x:c>
      <x:c r="E44" s="13" t="str">
        <x:v>朗姆酒</x:v>
      </x:c>
      <x:c r="F44" s="13" t="str">
        <x:v>P040</x:v>
      </x:c>
      <x:c r="G44" s="13" t="str">
        <x:v>里贝拉格兰德</x:v>
      </x:c>
      <x:c r="H44" s="27" t="n">
        <x:v>4</x:v>
      </x:c>
      <x:c r="I44" s="27" t="n">
        <x:v>155</x:v>
      </x:c>
      <x:c r="J44" s="13" t="str">
        <x:v>本港生产/腹地集散/港内加工</x:v>
      </x:c>
    </x:row>
    <x:row r="45" ht="31" customHeight="1">
      <x:c r="A45" s="15" t="str">
        <x:v>RT07</x:v>
      </x:c>
      <x:c r="B45" s="15" t="str">
        <x:v>黄金海岸工坊链</x:v>
      </x:c>
      <x:c r="C45" s="15" t="str">
        <x:v>返程</x:v>
      </x:c>
      <x:c r="D45" s="15" t="str">
        <x:v>G063</x:v>
      </x:c>
      <x:c r="E45" s="15" t="str">
        <x:v>黄金</x:v>
      </x:c>
      <x:c r="F45" s="15" t="str">
        <x:v>P041</x:v>
      </x:c>
      <x:c r="G45" s="15" t="str">
        <x:v>埃尔米纳</x:v>
      </x:c>
      <x:c r="H45" s="30" t="n">
        <x:v>2</x:v>
      </x:c>
      <x:c r="I45" s="30" t="n">
        <x:v>2400</x:v>
      </x:c>
      <x:c r="J45" s="15" t="str">
        <x:v>本港生产/腹地集散/港内加工</x:v>
      </x:c>
    </x:row>
    <x:row r="46" ht="31" customHeight="1">
      <x:c r="A46" s="13" t="str">
        <x:v>RT07</x:v>
      </x:c>
      <x:c r="B46" s="13" t="str">
        <x:v>黄金海岸工坊链</x:v>
      </x:c>
      <x:c r="C46" s="13" t="str">
        <x:v>返程</x:v>
      </x:c>
      <x:c r="D46" s="13" t="str">
        <x:v>G053</x:v>
      </x:c>
      <x:c r="E46" s="13" t="str">
        <x:v>黑檀木</x:v>
      </x:c>
      <x:c r="F46" s="13" t="str">
        <x:v>P042</x:v>
      </x:c>
      <x:c r="G46" s="13" t="str">
        <x:v>圣多美</x:v>
      </x:c>
      <x:c r="H46" s="27" t="n">
        <x:v>3</x:v>
      </x:c>
      <x:c r="I46" s="27" t="n">
        <x:v>360</x:v>
      </x:c>
      <x:c r="J46" s="13" t="str">
        <x:v>本港生产/腹地集散/港内加工</x:v>
      </x:c>
    </x:row>
    <x:row r="47" ht="31" customHeight="1">
      <x:c r="A47" s="15" t="str">
        <x:v>RT07</x:v>
      </x:c>
      <x:c r="B47" s="15" t="str">
        <x:v>黄金海岸工坊链</x:v>
      </x:c>
      <x:c r="C47" s="15" t="str">
        <x:v>返程</x:v>
      </x:c>
      <x:c r="D47" s="15" t="str">
        <x:v>G011</x:v>
      </x:c>
      <x:c r="E47" s="15" t="str">
        <x:v>砂糖</x:v>
      </x:c>
      <x:c r="F47" s="15" t="str">
        <x:v>P042</x:v>
      </x:c>
      <x:c r="G47" s="15" t="str">
        <x:v>圣多美</x:v>
      </x:c>
      <x:c r="H47" s="30" t="n">
        <x:v>0</x:v>
      </x:c>
      <x:c r="I47" s="30" t="n">
        <x:v>140</x:v>
      </x:c>
      <x:c r="J47" s="15" t="str">
        <x:v>本港生产/腹地集散/港内加工</x:v>
      </x:c>
    </x:row>
    <x:row r="48" ht="31" customHeight="1">
      <x:c r="A48" s="13" t="str">
        <x:v>RT08</x:v>
      </x:c>
      <x:c r="B48" s="13" t="str">
        <x:v>绕好望角的第一封信</x:v>
      </x:c>
      <x:c r="C48" s="13" t="str">
        <x:v>去程</x:v>
      </x:c>
      <x:c r="D48" s="13" t="str">
        <x:v>G023</x:v>
      </x:c>
      <x:c r="E48" s="13" t="str">
        <x:v>葡萄酒</x:v>
      </x:c>
      <x:c r="F48" s="13" t="str">
        <x:v>P011</x:v>
      </x:c>
      <x:c r="G48" s="13" t="str">
        <x:v>里斯本</x:v>
      </x:c>
      <x:c r="H48" s="27" t="n">
        <x:v>0</x:v>
      </x:c>
      <x:c r="I48" s="27" t="n">
        <x:v>115</x:v>
      </x:c>
      <x:c r="J48" s="13" t="str">
        <x:v>本港生产/腹地集散/港内加工</x:v>
      </x:c>
    </x:row>
    <x:row r="49" ht="31" customHeight="1">
      <x:c r="A49" s="15" t="str">
        <x:v>RT08</x:v>
      </x:c>
      <x:c r="B49" s="15" t="str">
        <x:v>绕好望角的第一封信</x:v>
      </x:c>
      <x:c r="C49" s="15" t="str">
        <x:v>去程</x:v>
      </x:c>
      <x:c r="D49" s="15" t="str">
        <x:v>G013</x:v>
      </x:c>
      <x:c r="E49" s="15" t="str">
        <x:v>橄榄油</x:v>
      </x:c>
      <x:c r="F49" s="15" t="str">
        <x:v>P011</x:v>
      </x:c>
      <x:c r="G49" s="15" t="str">
        <x:v>里斯本</x:v>
      </x:c>
      <x:c r="H49" s="30" t="n">
        <x:v>1</x:v>
      </x:c>
      <x:c r="I49" s="30" t="n">
        <x:v>120</x:v>
      </x:c>
      <x:c r="J49" s="15" t="str">
        <x:v>本港生产/腹地集散/港内加工</x:v>
      </x:c>
    </x:row>
    <x:row r="50" ht="31" customHeight="1">
      <x:c r="A50" s="13" t="str">
        <x:v>RT08</x:v>
      </x:c>
      <x:c r="B50" s="13" t="str">
        <x:v>绕好望角的第一封信</x:v>
      </x:c>
      <x:c r="C50" s="13" t="str">
        <x:v>去程</x:v>
      </x:c>
      <x:c r="D50" s="13" t="str">
        <x:v>G073</x:v>
      </x:c>
      <x:c r="E50" s="13" t="str">
        <x:v>珠宝</x:v>
      </x:c>
      <x:c r="F50" s="13" t="str">
        <x:v>P011</x:v>
      </x:c>
      <x:c r="G50" s="13" t="str">
        <x:v>里斯本</x:v>
      </x:c>
      <x:c r="H50" s="27" t="n">
        <x:v>4</x:v>
      </x:c>
      <x:c r="I50" s="27" t="n">
        <x:v>760</x:v>
      </x:c>
      <x:c r="J50" s="13" t="str">
        <x:v>本港生产/腹地集散/港内加工</x:v>
      </x:c>
    </x:row>
    <x:row r="51" ht="31" customHeight="1">
      <x:c r="A51" s="15" t="str">
        <x:v>RT08</x:v>
      </x:c>
      <x:c r="B51" s="15" t="str">
        <x:v>绕好望角的第一封信</x:v>
      </x:c>
      <x:c r="C51" s="15" t="str">
        <x:v>返程</x:v>
      </x:c>
      <x:c r="D51" s="15" t="str">
        <x:v>G086</x:v>
      </x:c>
      <x:c r="E51" s="15" t="str">
        <x:v>龙涎香</x:v>
      </x:c>
      <x:c r="F51" s="15" t="str">
        <x:v>P044</x:v>
      </x:c>
      <x:c r="G51" s="15" t="str">
        <x:v>莫桑比克岛</x:v>
      </x:c>
      <x:c r="H51" s="30" t="n">
        <x:v>4</x:v>
      </x:c>
      <x:c r="I51" s="30" t="n">
        <x:v>1100</x:v>
      </x:c>
      <x:c r="J51" s="15" t="str">
        <x:v>本港生产/腹地集散/港内加工</x:v>
      </x:c>
    </x:row>
    <x:row r="52" ht="31" customHeight="1">
      <x:c r="A52" s="13" t="str">
        <x:v>RT08</x:v>
      </x:c>
      <x:c r="B52" s="13" t="str">
        <x:v>绕好望角的第一封信</x:v>
      </x:c>
      <x:c r="C52" s="13" t="str">
        <x:v>返程</x:v>
      </x:c>
      <x:c r="D52" s="13" t="str">
        <x:v>G082</x:v>
      </x:c>
      <x:c r="E52" s="13" t="str">
        <x:v>象牙</x:v>
      </x:c>
      <x:c r="F52" s="13" t="str">
        <x:v>P044</x:v>
      </x:c>
      <x:c r="G52" s="13" t="str">
        <x:v>莫桑比克岛</x:v>
      </x:c>
      <x:c r="H52" s="27" t="n">
        <x:v>2</x:v>
      </x:c>
      <x:c r="I52" s="27" t="n">
        <x:v>450</x:v>
      </x:c>
      <x:c r="J52" s="13" t="str">
        <x:v>本港生产/腹地集散/港内加工</x:v>
      </x:c>
    </x:row>
    <x:row r="53" ht="31" customHeight="1">
      <x:c r="A53" s="15" t="str">
        <x:v>RT08</x:v>
      </x:c>
      <x:c r="B53" s="15" t="str">
        <x:v>绕好望角的第一封信</x:v>
      </x:c>
      <x:c r="C53" s="15" t="str">
        <x:v>返程</x:v>
      </x:c>
      <x:c r="D53" s="15" t="str">
        <x:v>SP044</x:v>
      </x:c>
      <x:c r="E53" s="15" t="str">
        <x:v>珊瑚城镂花木匣</x:v>
      </x:c>
      <x:c r="F53" s="15" t="str">
        <x:v>P044</x:v>
      </x:c>
      <x:c r="G53" s="15" t="str">
        <x:v>莫桑比克岛</x:v>
      </x:c>
      <x:c r="H53" s="30" t="n">
        <x:v>3</x:v>
      </x:c>
      <x:c r="I53" s="30" t="n">
        <x:v>675</x:v>
      </x:c>
      <x:c r="J53" s="15" t="str">
        <x:v>港口独占原创工坊特产</x:v>
      </x:c>
    </x:row>
    <x:row r="54" ht="31" customHeight="1">
      <x:c r="A54" s="13" t="str">
        <x:v>RT09</x:v>
      </x:c>
      <x:c r="B54" s="13" t="str">
        <x:v>珊瑚海岸灯路</x:v>
      </x:c>
      <x:c r="C54" s="13" t="str">
        <x:v>去程</x:v>
      </x:c>
      <x:c r="D54" s="13" t="str">
        <x:v>G015</x:v>
      </x:c>
      <x:c r="E54" s="13" t="str">
        <x:v>咸鱼</x:v>
      </x:c>
      <x:c r="F54" s="13" t="str">
        <x:v>P044</x:v>
      </x:c>
      <x:c r="G54" s="13" t="str">
        <x:v>莫桑比克岛</x:v>
      </x:c>
      <x:c r="H54" s="27" t="n">
        <x:v>0</x:v>
      </x:c>
      <x:c r="I54" s="27" t="n">
        <x:v>65</x:v>
      </x:c>
      <x:c r="J54" s="13" t="str">
        <x:v>本港生产/腹地集散/港内加工</x:v>
      </x:c>
    </x:row>
    <x:row r="55" ht="31" customHeight="1">
      <x:c r="A55" s="15" t="str">
        <x:v>RT09</x:v>
      </x:c>
      <x:c r="B55" s="15" t="str">
        <x:v>珊瑚海岸灯路</x:v>
      </x:c>
      <x:c r="C55" s="15" t="str">
        <x:v>去程</x:v>
      </x:c>
      <x:c r="D55" s="15" t="str">
        <x:v>G014</x:v>
      </x:c>
      <x:c r="E55" s="15" t="str">
        <x:v>椰子油</x:v>
      </x:c>
      <x:c r="F55" s="15" t="str">
        <x:v>P044</x:v>
      </x:c>
      <x:c r="G55" s="15" t="str">
        <x:v>莫桑比克岛</x:v>
      </x:c>
      <x:c r="H55" s="30" t="n">
        <x:v>1</x:v>
      </x:c>
      <x:c r="I55" s="30" t="n">
        <x:v>88</x:v>
      </x:c>
      <x:c r="J55" s="15" t="str">
        <x:v>本港生产/腹地集散/港内加工</x:v>
      </x:c>
    </x:row>
    <x:row r="56" ht="31" customHeight="1">
      <x:c r="A56" s="13" t="str">
        <x:v>RT09</x:v>
      </x:c>
      <x:c r="B56" s="13" t="str">
        <x:v>珊瑚海岸灯路</x:v>
      </x:c>
      <x:c r="C56" s="13" t="str">
        <x:v>去程</x:v>
      </x:c>
      <x:c r="D56" s="13" t="str">
        <x:v>G082</x:v>
      </x:c>
      <x:c r="E56" s="13" t="str">
        <x:v>象牙</x:v>
      </x:c>
      <x:c r="F56" s="13" t="str">
        <x:v>P044</x:v>
      </x:c>
      <x:c r="G56" s="13" t="str">
        <x:v>莫桑比克岛</x:v>
      </x:c>
      <x:c r="H56" s="27" t="n">
        <x:v>2</x:v>
      </x:c>
      <x:c r="I56" s="27" t="n">
        <x:v>450</x:v>
      </x:c>
      <x:c r="J56" s="13" t="str">
        <x:v>本港生产/腹地集散/港内加工</x:v>
      </x:c>
    </x:row>
    <x:row r="57" ht="31" customHeight="1">
      <x:c r="A57" s="15" t="str">
        <x:v>RT09</x:v>
      </x:c>
      <x:c r="B57" s="15" t="str">
        <x:v>珊瑚海岸灯路</x:v>
      </x:c>
      <x:c r="C57" s="15" t="str">
        <x:v>返程</x:v>
      </x:c>
      <x:c r="D57" s="15" t="str">
        <x:v>G053</x:v>
      </x:c>
      <x:c r="E57" s="15" t="str">
        <x:v>黑檀木</x:v>
      </x:c>
      <x:c r="F57" s="15" t="str">
        <x:v>P047</x:v>
      </x:c>
      <x:c r="G57" s="15" t="str">
        <x:v>桑给巴尔</x:v>
      </x:c>
      <x:c r="H57" s="30" t="n">
        <x:v>3</x:v>
      </x:c>
      <x:c r="I57" s="30" t="n">
        <x:v>360</x:v>
      </x:c>
      <x:c r="J57" s="15" t="str">
        <x:v>本港生产/腹地集散/港内加工</x:v>
      </x:c>
    </x:row>
    <x:row r="58" ht="31" customHeight="1">
      <x:c r="A58" s="13" t="str">
        <x:v>RT09</x:v>
      </x:c>
      <x:c r="B58" s="13" t="str">
        <x:v>珊瑚海岸灯路</x:v>
      </x:c>
      <x:c r="C58" s="13" t="str">
        <x:v>返程</x:v>
      </x:c>
      <x:c r="D58" s="13" t="str">
        <x:v>G110</x:v>
      </x:c>
      <x:c r="E58" s="13" t="str">
        <x:v>硬木</x:v>
      </x:c>
      <x:c r="F58" s="13" t="str">
        <x:v>P048</x:v>
      </x:c>
      <x:c r="G58" s="13" t="str">
        <x:v>蒙巴萨</x:v>
      </x:c>
      <x:c r="H58" s="27" t="n">
        <x:v>1</x:v>
      </x:c>
      <x:c r="I58" s="27" t="n">
        <x:v>135</x:v>
      </x:c>
      <x:c r="J58" s="13" t="str">
        <x:v>本港生产/腹地集散/港内加工</x:v>
      </x:c>
    </x:row>
    <x:row r="59" ht="31" customHeight="1">
      <x:c r="A59" s="15" t="str">
        <x:v>RT09</x:v>
      </x:c>
      <x:c r="B59" s="15" t="str">
        <x:v>珊瑚海岸灯路</x:v>
      </x:c>
      <x:c r="C59" s="15" t="str">
        <x:v>返程</x:v>
      </x:c>
      <x:c r="D59" s="15" t="str">
        <x:v>SP048</x:v>
      </x:c>
      <x:c r="E59" s="15" t="str">
        <x:v>双溪银纱海披巾</x:v>
      </x:c>
      <x:c r="F59" s="15" t="str">
        <x:v>P048</x:v>
      </x:c>
      <x:c r="G59" s="15" t="str">
        <x:v>蒙巴萨</x:v>
      </x:c>
      <x:c r="H59" s="30" t="n">
        <x:v>3</x:v>
      </x:c>
      <x:c r="I59" s="30" t="n">
        <x:v>610</x:v>
      </x:c>
      <x:c r="J59" s="15" t="str">
        <x:v>港口独占原创工坊特产</x:v>
      </x:c>
    </x:row>
    <x:row r="60" ht="31" customHeight="1">
      <x:c r="A60" s="13" t="str">
        <x:v>RT10</x:v>
      </x:c>
      <x:c r="B60" s="13" t="str">
        <x:v>咖啡与星盘</x:v>
      </x:c>
      <x:c r="C60" s="13" t="str">
        <x:v>去程</x:v>
      </x:c>
      <x:c r="D60" s="13" t="str">
        <x:v>G015</x:v>
      </x:c>
      <x:c r="E60" s="13" t="str">
        <x:v>咸鱼</x:v>
      </x:c>
      <x:c r="F60" s="13" t="str">
        <x:v>P048</x:v>
      </x:c>
      <x:c r="G60" s="13" t="str">
        <x:v>蒙巴萨</x:v>
      </x:c>
      <x:c r="H60" s="27" t="n">
        <x:v>0</x:v>
      </x:c>
      <x:c r="I60" s="27" t="n">
        <x:v>65</x:v>
      </x:c>
      <x:c r="J60" s="13" t="str">
        <x:v>本港生产/腹地集散/港内加工</x:v>
      </x:c>
    </x:row>
    <x:row r="61" ht="31" customHeight="1">
      <x:c r="A61" s="15" t="str">
        <x:v>RT10</x:v>
      </x:c>
      <x:c r="B61" s="15" t="str">
        <x:v>咖啡与星盘</x:v>
      </x:c>
      <x:c r="C61" s="15" t="str">
        <x:v>去程</x:v>
      </x:c>
      <x:c r="D61" s="15" t="str">
        <x:v>G110</x:v>
      </x:c>
      <x:c r="E61" s="15" t="str">
        <x:v>硬木</x:v>
      </x:c>
      <x:c r="F61" s="15" t="str">
        <x:v>P048</x:v>
      </x:c>
      <x:c r="G61" s="15" t="str">
        <x:v>蒙巴萨</x:v>
      </x:c>
      <x:c r="H61" s="30" t="n">
        <x:v>1</x:v>
      </x:c>
      <x:c r="I61" s="30" t="n">
        <x:v>135</x:v>
      </x:c>
      <x:c r="J61" s="15" t="str">
        <x:v>本港生产/腹地集散/港内加工</x:v>
      </x:c>
    </x:row>
    <x:row r="62" ht="31" customHeight="1">
      <x:c r="A62" s="13" t="str">
        <x:v>RT10</x:v>
      </x:c>
      <x:c r="B62" s="13" t="str">
        <x:v>咖啡与星盘</x:v>
      </x:c>
      <x:c r="C62" s="13" t="str">
        <x:v>去程</x:v>
      </x:c>
      <x:c r="D62" s="13" t="str">
        <x:v>G043</x:v>
      </x:c>
      <x:c r="E62" s="13" t="str">
        <x:v>棉布</x:v>
      </x:c>
      <x:c r="F62" s="13" t="str">
        <x:v>P048</x:v>
      </x:c>
      <x:c r="G62" s="13" t="str">
        <x:v>蒙巴萨</x:v>
      </x:c>
      <x:c r="H62" s="27" t="n">
        <x:v>4</x:v>
      </x:c>
      <x:c r="I62" s="27" t="n">
        <x:v>160</x:v>
      </x:c>
      <x:c r="J62" s="13" t="str">
        <x:v>进口/区域转口</x:v>
      </x:c>
    </x:row>
    <x:row r="63" ht="31" customHeight="1">
      <x:c r="A63" s="15" t="str">
        <x:v>RT10</x:v>
      </x:c>
      <x:c r="B63" s="15" t="str">
        <x:v>咖啡与星盘</x:v>
      </x:c>
      <x:c r="C63" s="15" t="str">
        <x:v>返程</x:v>
      </x:c>
      <x:c r="D63" s="15" t="str">
        <x:v>G021</x:v>
      </x:c>
      <x:c r="E63" s="15" t="str">
        <x:v>咖啡</x:v>
      </x:c>
      <x:c r="F63" s="15" t="str">
        <x:v>P052</x:v>
      </x:c>
      <x:c r="G63" s="15" t="str">
        <x:v>摩卡</x:v>
      </x:c>
      <x:c r="H63" s="30" t="n">
        <x:v>1</x:v>
      </x:c>
      <x:c r="I63" s="30" t="n">
        <x:v>240</x:v>
      </x:c>
      <x:c r="J63" s="15" t="str">
        <x:v>本港生产/腹地集散/港内加工</x:v>
      </x:c>
    </x:row>
    <x:row r="64" ht="31" customHeight="1">
      <x:c r="A64" s="13" t="str">
        <x:v>RT10</x:v>
      </x:c>
      <x:c r="B64" s="13" t="str">
        <x:v>咖啡与星盘</x:v>
      </x:c>
      <x:c r="C64" s="13" t="str">
        <x:v>返程</x:v>
      </x:c>
      <x:c r="D64" s="13" t="str">
        <x:v>G084</x:v>
      </x:c>
      <x:c r="E64" s="13" t="str">
        <x:v>乳香</x:v>
      </x:c>
      <x:c r="F64" s="13" t="str">
        <x:v>P053</x:v>
      </x:c>
      <x:c r="G64" s="13" t="str">
        <x:v>吉达</x:v>
      </x:c>
      <x:c r="H64" s="27" t="n">
        <x:v>2</x:v>
      </x:c>
      <x:c r="I64" s="27" t="n">
        <x:v>340</x:v>
      </x:c>
      <x:c r="J64" s="13" t="str">
        <x:v>进口/区域转口</x:v>
      </x:c>
    </x:row>
    <x:row r="65" ht="31" customHeight="1">
      <x:c r="A65" s="15" t="str">
        <x:v>RT10</x:v>
      </x:c>
      <x:c r="B65" s="15" t="str">
        <x:v>咖啡与星盘</x:v>
      </x:c>
      <x:c r="C65" s="15" t="str">
        <x:v>返程</x:v>
      </x:c>
      <x:c r="D65" s="15" t="str">
        <x:v>SP052</x:v>
      </x:c>
      <x:c r="E65" s="15" t="str">
        <x:v>摩卡夜玫瑰熟豆</x:v>
      </x:c>
      <x:c r="F65" s="15" t="str">
        <x:v>P052</x:v>
      </x:c>
      <x:c r="G65" s="15" t="str">
        <x:v>摩卡</x:v>
      </x:c>
      <x:c r="H65" s="30" t="n">
        <x:v>3</x:v>
      </x:c>
      <x:c r="I65" s="30" t="n">
        <x:v>680</x:v>
      </x:c>
      <x:c r="J65" s="15" t="str">
        <x:v>港口独占原创工坊特产</x:v>
      </x:c>
    </x:row>
    <x:row r="66" ht="31" customHeight="1">
      <x:c r="A66" s="13" t="str">
        <x:v>RT11</x:v>
      </x:c>
      <x:c r="B66" s="13" t="str">
        <x:v>珍珠与棉花季风圈</x:v>
      </x:c>
      <x:c r="C66" s="13" t="str">
        <x:v>去程</x:v>
      </x:c>
      <x:c r="D66" s="13" t="str">
        <x:v>G102</x:v>
      </x:c>
      <x:c r="E66" s="13" t="str">
        <x:v>椰枣</x:v>
      </x:c>
      <x:c r="F66" s="13" t="str">
        <x:v>P055</x:v>
      </x:c>
      <x:c r="G66" s="13" t="str">
        <x:v>马斯喀特</x:v>
      </x:c>
      <x:c r="H66" s="27" t="n">
        <x:v>0</x:v>
      </x:c>
      <x:c r="I66" s="27" t="n">
        <x:v>78</x:v>
      </x:c>
      <x:c r="J66" s="13" t="str">
        <x:v>本港生产/腹地集散/港内加工</x:v>
      </x:c>
    </x:row>
    <x:row r="67" ht="31" customHeight="1">
      <x:c r="A67" s="15" t="str">
        <x:v>RT11</x:v>
      </x:c>
      <x:c r="B67" s="15" t="str">
        <x:v>珍珠与棉花季风圈</x:v>
      </x:c>
      <x:c r="C67" s="15" t="str">
        <x:v>去程</x:v>
      </x:c>
      <x:c r="D67" s="15" t="str">
        <x:v>G084</x:v>
      </x:c>
      <x:c r="E67" s="15" t="str">
        <x:v>乳香</x:v>
      </x:c>
      <x:c r="F67" s="15" t="str">
        <x:v>P055</x:v>
      </x:c>
      <x:c r="G67" s="15" t="str">
        <x:v>马斯喀特</x:v>
      </x:c>
      <x:c r="H67" s="30" t="n">
        <x:v>1</x:v>
      </x:c>
      <x:c r="I67" s="30" t="n">
        <x:v>340</x:v>
      </x:c>
      <x:c r="J67" s="15" t="str">
        <x:v>进口/区域转口</x:v>
      </x:c>
    </x:row>
    <x:row r="68" ht="31" customHeight="1">
      <x:c r="A68" s="13" t="str">
        <x:v>RT11</x:v>
      </x:c>
      <x:c r="B68" s="13" t="str">
        <x:v>珍珠与棉花季风圈</x:v>
      </x:c>
      <x:c r="C68" s="13" t="str">
        <x:v>去程</x:v>
      </x:c>
      <x:c r="D68" s="13" t="str">
        <x:v>G074</x:v>
      </x:c>
      <x:c r="E68" s="13" t="str">
        <x:v>珍珠</x:v>
      </x:c>
      <x:c r="F68" s="13" t="str">
        <x:v>P055</x:v>
      </x:c>
      <x:c r="G68" s="13" t="str">
        <x:v>马斯喀特</x:v>
      </x:c>
      <x:c r="H68" s="27" t="n">
        <x:v>4</x:v>
      </x:c>
      <x:c r="I68" s="27" t="n">
        <x:v>680</x:v>
      </x:c>
      <x:c r="J68" s="13" t="str">
        <x:v>进口/区域转口</x:v>
      </x:c>
    </x:row>
    <x:row r="69" ht="31" customHeight="1">
      <x:c r="A69" s="15" t="str">
        <x:v>RT11</x:v>
      </x:c>
      <x:c r="B69" s="15" t="str">
        <x:v>珍珠与棉花季风圈</x:v>
      </x:c>
      <x:c r="C69" s="15" t="str">
        <x:v>返程</x:v>
      </x:c>
      <x:c r="D69" s="15" t="str">
        <x:v>G043</x:v>
      </x:c>
      <x:c r="E69" s="15" t="str">
        <x:v>棉布</x:v>
      </x:c>
      <x:c r="F69" s="15" t="str">
        <x:v>P061</x:v>
      </x:c>
      <x:c r="G69" s="15" t="str">
        <x:v>果阿</x:v>
      </x:c>
      <x:c r="H69" s="30" t="n">
        <x:v>3</x:v>
      </x:c>
      <x:c r="I69" s="30" t="n">
        <x:v>160</x:v>
      </x:c>
      <x:c r="J69" s="15" t="str">
        <x:v>进口/区域转口</x:v>
      </x:c>
    </x:row>
    <x:row r="70" ht="31" customHeight="1">
      <x:c r="A70" s="13" t="str">
        <x:v>RT11</x:v>
      </x:c>
      <x:c r="B70" s="13" t="str">
        <x:v>珍珠与棉花季风圈</x:v>
      </x:c>
      <x:c r="C70" s="13" t="str">
        <x:v>返程</x:v>
      </x:c>
      <x:c r="D70" s="13" t="str">
        <x:v>G055</x:v>
      </x:c>
      <x:c r="E70" s="13" t="str">
        <x:v>柚木</x:v>
      </x:c>
      <x:c r="F70" s="13" t="str">
        <x:v>P061</x:v>
      </x:c>
      <x:c r="G70" s="13" t="str">
        <x:v>果阿</x:v>
      </x:c>
      <x:c r="H70" s="27" t="n">
        <x:v>1</x:v>
      </x:c>
      <x:c r="I70" s="27" t="n">
        <x:v>180</x:v>
      </x:c>
      <x:c r="J70" s="13" t="str">
        <x:v>本港生产/腹地集散/港内加工</x:v>
      </x:c>
    </x:row>
    <x:row r="71" ht="31" customHeight="1">
      <x:c r="A71" s="15" t="str">
        <x:v>RT11</x:v>
      </x:c>
      <x:c r="B71" s="15" t="str">
        <x:v>珍珠与棉花季风圈</x:v>
      </x:c>
      <x:c r="C71" s="15" t="str">
        <x:v>返程</x:v>
      </x:c>
      <x:c r="D71" s="15" t="str">
        <x:v>G078</x:v>
      </x:c>
      <x:c r="E71" s="15" t="str">
        <x:v>宝石原石</x:v>
      </x:c>
      <x:c r="F71" s="15" t="str">
        <x:v>P060</x:v>
      </x:c>
      <x:c r="G71" s="15" t="str">
        <x:v>苏拉特</x:v>
      </x:c>
      <x:c r="H71" s="30" t="n">
        <x:v>4</x:v>
      </x:c>
      <x:c r="I71" s="30" t="n">
        <x:v>820</x:v>
      </x:c>
      <x:c r="J71" s="15" t="str">
        <x:v>进口/区域转口</x:v>
      </x:c>
    </x:row>
    <x:row r="72" ht="31" customHeight="1">
      <x:c r="A72" s="13" t="str">
        <x:v>RT12</x:v>
      </x:c>
      <x:c r="B72" s="13" t="str">
        <x:v>万色织物线</x:v>
      </x:c>
      <x:c r="C72" s="13" t="str">
        <x:v>去程</x:v>
      </x:c>
      <x:c r="D72" s="13" t="str">
        <x:v>G043</x:v>
      </x:c>
      <x:c r="E72" s="13" t="str">
        <x:v>棉布</x:v>
      </x:c>
      <x:c r="F72" s="13" t="str">
        <x:v>P061</x:v>
      </x:c>
      <x:c r="G72" s="13" t="str">
        <x:v>果阿</x:v>
      </x:c>
      <x:c r="H72" s="27" t="n">
        <x:v>3</x:v>
      </x:c>
      <x:c r="I72" s="27" t="n">
        <x:v>160</x:v>
      </x:c>
      <x:c r="J72" s="13" t="str">
        <x:v>进口/区域转口</x:v>
      </x:c>
    </x:row>
    <x:row r="73" ht="31" customHeight="1">
      <x:c r="A73" s="15" t="str">
        <x:v>RT12</x:v>
      </x:c>
      <x:c r="B73" s="15" t="str">
        <x:v>万色织物线</x:v>
      </x:c>
      <x:c r="C73" s="15" t="str">
        <x:v>去程</x:v>
      </x:c>
      <x:c r="D73" s="15" t="str">
        <x:v>G068</x:v>
      </x:c>
      <x:c r="E73" s="15" t="str">
        <x:v>铁工具</x:v>
      </x:c>
      <x:c r="F73" s="15" t="str">
        <x:v>P061</x:v>
      </x:c>
      <x:c r="G73" s="15" t="str">
        <x:v>果阿</x:v>
      </x:c>
      <x:c r="H73" s="30" t="n">
        <x:v>4</x:v>
      </x:c>
      <x:c r="I73" s="30" t="n">
        <x:v>190</x:v>
      </x:c>
      <x:c r="J73" s="15" t="str">
        <x:v>本港生产/腹地集散/港内加工</x:v>
      </x:c>
    </x:row>
    <x:row r="74" ht="31" customHeight="1">
      <x:c r="A74" s="13" t="str">
        <x:v>RT12</x:v>
      </x:c>
      <x:c r="B74" s="13" t="str">
        <x:v>万色织物线</x:v>
      </x:c>
      <x:c r="C74" s="13" t="str">
        <x:v>去程</x:v>
      </x:c>
      <x:c r="D74" s="13" t="str">
        <x:v>G055</x:v>
      </x:c>
      <x:c r="E74" s="13" t="str">
        <x:v>柚木</x:v>
      </x:c>
      <x:c r="F74" s="13" t="str">
        <x:v>P061</x:v>
      </x:c>
      <x:c r="G74" s="13" t="str">
        <x:v>果阿</x:v>
      </x:c>
      <x:c r="H74" s="27" t="n">
        <x:v>1</x:v>
      </x:c>
      <x:c r="I74" s="27" t="n">
        <x:v>180</x:v>
      </x:c>
      <x:c r="J74" s="13" t="str">
        <x:v>本港生产/腹地集散/港内加工</x:v>
      </x:c>
    </x:row>
    <x:row r="75" ht="31" customHeight="1">
      <x:c r="A75" s="15" t="str">
        <x:v>RT12</x:v>
      </x:c>
      <x:c r="B75" s="15" t="str">
        <x:v>万色织物线</x:v>
      </x:c>
      <x:c r="C75" s="15" t="str">
        <x:v>返程</x:v>
      </x:c>
      <x:c r="D75" s="15" t="str">
        <x:v>G032</x:v>
      </x:c>
      <x:c r="E75" s="15" t="str">
        <x:v>桂皮</x:v>
      </x:c>
      <x:c r="F75" s="15" t="str">
        <x:v>P064</x:v>
      </x:c>
      <x:c r="G75" s="15" t="str">
        <x:v>科伦坡</x:v>
      </x:c>
      <x:c r="H75" s="30" t="n">
        <x:v>1</x:v>
      </x:c>
      <x:c r="I75" s="30" t="n">
        <x:v>310</x:v>
      </x:c>
      <x:c r="J75" s="15" t="str">
        <x:v>本港生产/腹地集散/港内加工</x:v>
      </x:c>
    </x:row>
    <x:row r="76" ht="31" customHeight="1">
      <x:c r="A76" s="13" t="str">
        <x:v>RT12</x:v>
      </x:c>
      <x:c r="B76" s="13" t="str">
        <x:v>万色织物线</x:v>
      </x:c>
      <x:c r="C76" s="13" t="str">
        <x:v>返程</x:v>
      </x:c>
      <x:c r="D76" s="13" t="str">
        <x:v>G078</x:v>
      </x:c>
      <x:c r="E76" s="13" t="str">
        <x:v>宝石原石</x:v>
      </x:c>
      <x:c r="F76" s="13" t="str">
        <x:v>P064</x:v>
      </x:c>
      <x:c r="G76" s="13" t="str">
        <x:v>科伦坡</x:v>
      </x:c>
      <x:c r="H76" s="27" t="n">
        <x:v>4</x:v>
      </x:c>
      <x:c r="I76" s="27" t="n">
        <x:v>820</x:v>
      </x:c>
      <x:c r="J76" s="13" t="str">
        <x:v>本港生产/腹地集散/港内加工</x:v>
      </x:c>
    </x:row>
    <x:row r="77" ht="31" customHeight="1">
      <x:c r="A77" s="15" t="str">
        <x:v>RT12</x:v>
      </x:c>
      <x:c r="B77" s="15" t="str">
        <x:v>万色织物线</x:v>
      </x:c>
      <x:c r="C77" s="15" t="str">
        <x:v>返程</x:v>
      </x:c>
      <x:c r="D77" s="15" t="str">
        <x:v>SP066</x:v>
      </x:c>
      <x:c r="E77" s="15" t="str">
        <x:v>孔雀海图卡拉姆布</x:v>
      </x:c>
      <x:c r="F77" s="15" t="str">
        <x:v>P066</x:v>
      </x:c>
      <x:c r="G77" s="15" t="str">
        <x:v>马苏利帕特南</x:v>
      </x:c>
      <x:c r="H77" s="30" t="n">
        <x:v>3</x:v>
      </x:c>
      <x:c r="I77" s="30" t="n">
        <x:v>920</x:v>
      </x:c>
      <x:c r="J77" s="15" t="str">
        <x:v>港口独占原创工坊特产</x:v>
      </x:c>
    </x:row>
    <x:row r="78" ht="31" customHeight="1">
      <x:c r="A78" s="13" t="str">
        <x:v>RT13</x:v>
      </x:c>
      <x:c r="B78" s="13" t="str">
        <x:v>孟加拉湾风前信</x:v>
      </x:c>
      <x:c r="C78" s="13" t="str">
        <x:v>去程</x:v>
      </x:c>
      <x:c r="D78" s="13" t="str">
        <x:v>G032</x:v>
      </x:c>
      <x:c r="E78" s="13" t="str">
        <x:v>桂皮</x:v>
      </x:c>
      <x:c r="F78" s="13" t="str">
        <x:v>P064</x:v>
      </x:c>
      <x:c r="G78" s="13" t="str">
        <x:v>科伦坡</x:v>
      </x:c>
      <x:c r="H78" s="27" t="n">
        <x:v>1</x:v>
      </x:c>
      <x:c r="I78" s="27" t="n">
        <x:v>310</x:v>
      </x:c>
      <x:c r="J78" s="13" t="str">
        <x:v>本港生产/腹地集散/港内加工</x:v>
      </x:c>
    </x:row>
    <x:row r="79" ht="31" customHeight="1">
      <x:c r="A79" s="15" t="str">
        <x:v>RT13</x:v>
      </x:c>
      <x:c r="B79" s="15" t="str">
        <x:v>孟加拉湾风前信</x:v>
      </x:c>
      <x:c r="C79" s="15" t="str">
        <x:v>去程</x:v>
      </x:c>
      <x:c r="D79" s="15" t="str">
        <x:v>G078</x:v>
      </x:c>
      <x:c r="E79" s="15" t="str">
        <x:v>宝石原石</x:v>
      </x:c>
      <x:c r="F79" s="15" t="str">
        <x:v>P064</x:v>
      </x:c>
      <x:c r="G79" s="15" t="str">
        <x:v>科伦坡</x:v>
      </x:c>
      <x:c r="H79" s="30" t="n">
        <x:v>4</x:v>
      </x:c>
      <x:c r="I79" s="30" t="n">
        <x:v>820</x:v>
      </x:c>
      <x:c r="J79" s="15" t="str">
        <x:v>本港生产/腹地集散/港内加工</x:v>
      </x:c>
    </x:row>
    <x:row r="80" ht="31" customHeight="1">
      <x:c r="A80" s="13" t="str">
        <x:v>RT13</x:v>
      </x:c>
      <x:c r="B80" s="13" t="str">
        <x:v>孟加拉湾风前信</x:v>
      </x:c>
      <x:c r="C80" s="13" t="str">
        <x:v>去程</x:v>
      </x:c>
      <x:c r="D80" s="13" t="str">
        <x:v>G074</x:v>
      </x:c>
      <x:c r="E80" s="13" t="str">
        <x:v>珍珠</x:v>
      </x:c>
      <x:c r="F80" s="13" t="str">
        <x:v>P064</x:v>
      </x:c>
      <x:c r="G80" s="13" t="str">
        <x:v>科伦坡</x:v>
      </x:c>
      <x:c r="H80" s="27" t="n">
        <x:v>3</x:v>
      </x:c>
      <x:c r="I80" s="27" t="n">
        <x:v>680</x:v>
      </x:c>
      <x:c r="J80" s="13" t="str">
        <x:v>本港生产/腹地集散/港内加工</x:v>
      </x:c>
    </x:row>
    <x:row r="81" ht="31" customHeight="1">
      <x:c r="A81" s="15" t="str">
        <x:v>RT13</x:v>
      </x:c>
      <x:c r="B81" s="15" t="str">
        <x:v>孟加拉湾风前信</x:v>
      </x:c>
      <x:c r="C81" s="15" t="str">
        <x:v>返程</x:v>
      </x:c>
      <x:c r="D81" s="15" t="str">
        <x:v>G055</x:v>
      </x:c>
      <x:c r="E81" s="15" t="str">
        <x:v>柚木</x:v>
      </x:c>
      <x:c r="F81" s="15" t="str">
        <x:v>P080</x:v>
      </x:c>
      <x:c r="G81" s="15" t="str">
        <x:v>阿瑜陀耶</x:v>
      </x:c>
      <x:c r="H81" s="30" t="n">
        <x:v>1</x:v>
      </x:c>
      <x:c r="I81" s="30" t="n">
        <x:v>180</x:v>
      </x:c>
      <x:c r="J81" s="15" t="str">
        <x:v>本港生产/腹地集散/港内加工</x:v>
      </x:c>
    </x:row>
    <x:row r="82" ht="31" customHeight="1">
      <x:c r="A82" s="13" t="str">
        <x:v>RT13</x:v>
      </x:c>
      <x:c r="B82" s="13" t="str">
        <x:v>孟加拉湾风前信</x:v>
      </x:c>
      <x:c r="C82" s="13" t="str">
        <x:v>返程</x:v>
      </x:c>
      <x:c r="D82" s="13" t="str">
        <x:v>G072</x:v>
      </x:c>
      <x:c r="E82" s="13" t="str">
        <x:v>漆器</x:v>
      </x:c>
      <x:c r="F82" s="13" t="str">
        <x:v>P080</x:v>
      </x:c>
      <x:c r="G82" s="13" t="str">
        <x:v>阿瑜陀耶</x:v>
      </x:c>
      <x:c r="H82" s="27" t="n">
        <x:v>5</x:v>
      </x:c>
      <x:c r="I82" s="27" t="n">
        <x:v>480</x:v>
      </x:c>
      <x:c r="J82" s="13" t="str">
        <x:v>本港生产/腹地集散/港内加工</x:v>
      </x:c>
    </x:row>
    <x:row r="83" ht="31" customHeight="1">
      <x:c r="A83" s="15" t="str">
        <x:v>RT13</x:v>
      </x:c>
      <x:c r="B83" s="15" t="str">
        <x:v>孟加拉湾风前信</x:v>
      </x:c>
      <x:c r="C83" s="15" t="str">
        <x:v>返程</x:v>
      </x:c>
      <x:c r="D83" s="15" t="str">
        <x:v>SP080</x:v>
      </x:c>
      <x:c r="E83" s="15" t="str">
        <x:v>三河金叶黑漆盘</x:v>
      </x:c>
      <x:c r="F83" s="15" t="str">
        <x:v>P080</x:v>
      </x:c>
      <x:c r="G83" s="15" t="str">
        <x:v>阿瑜陀耶</x:v>
      </x:c>
      <x:c r="H83" s="30" t="n">
        <x:v>4</x:v>
      </x:c>
      <x:c r="I83" s="30" t="n">
        <x:v>1150</x:v>
      </x:c>
      <x:c r="J83" s="15" t="str">
        <x:v>港口独占原创工坊特产</x:v>
      </x:c>
    </x:row>
    <x:row r="84" ht="31" customHeight="1">
      <x:c r="A84" s="13" t="str">
        <x:v>RT14</x:v>
      </x:c>
      <x:c r="B84" s="13" t="str">
        <x:v>香料群岛织帆路</x:v>
      </x:c>
      <x:c r="C84" s="13" t="str">
        <x:v>去程</x:v>
      </x:c>
      <x:c r="D84" s="13" t="str">
        <x:v>G043</x:v>
      </x:c>
      <x:c r="E84" s="13" t="str">
        <x:v>棉布</x:v>
      </x:c>
      <x:c r="F84" s="13" t="str">
        <x:v>P069</x:v>
      </x:c>
      <x:c r="G84" s="13" t="str">
        <x:v>马六甲</x:v>
      </x:c>
      <x:c r="H84" s="27" t="n">
        <x:v>2</x:v>
      </x:c>
      <x:c r="I84" s="27" t="n">
        <x:v>160</x:v>
      </x:c>
      <x:c r="J84" s="13" t="str">
        <x:v>进口/区域转口</x:v>
      </x:c>
    </x:row>
    <x:row r="85" ht="31" customHeight="1">
      <x:c r="A85" s="15" t="str">
        <x:v>RT14</x:v>
      </x:c>
      <x:c r="B85" s="15" t="str">
        <x:v>香料群岛织帆路</x:v>
      </x:c>
      <x:c r="C85" s="15" t="str">
        <x:v>去程</x:v>
      </x:c>
      <x:c r="D85" s="15" t="str">
        <x:v>G060</x:v>
      </x:c>
      <x:c r="E85" s="15" t="str">
        <x:v>锡锭</x:v>
      </x:c>
      <x:c r="F85" s="15" t="str">
        <x:v>P069</x:v>
      </x:c>
      <x:c r="G85" s="15" t="str">
        <x:v>马六甲</x:v>
      </x:c>
      <x:c r="H85" s="30" t="n">
        <x:v>1</x:v>
      </x:c>
      <x:c r="I85" s="30" t="n">
        <x:v>220</x:v>
      </x:c>
      <x:c r="J85" s="15" t="str">
        <x:v>进口/区域转口</x:v>
      </x:c>
    </x:row>
    <x:row r="86" ht="31" customHeight="1">
      <x:c r="A86" s="13" t="str">
        <x:v>RT14</x:v>
      </x:c>
      <x:c r="B86" s="13" t="str">
        <x:v>香料群岛织帆路</x:v>
      </x:c>
      <x:c r="C86" s="13" t="str">
        <x:v>去程</x:v>
      </x:c>
      <x:c r="D86" s="13" t="str">
        <x:v>G072</x:v>
      </x:c>
      <x:c r="E86" s="13" t="str">
        <x:v>漆器</x:v>
      </x:c>
      <x:c r="F86" s="13" t="str">
        <x:v>P069</x:v>
      </x:c>
      <x:c r="G86" s="13" t="str">
        <x:v>马六甲</x:v>
      </x:c>
      <x:c r="H86" s="27" t="n">
        <x:v>5</x:v>
      </x:c>
      <x:c r="I86" s="27" t="n">
        <x:v>480</x:v>
      </x:c>
      <x:c r="J86" s="13" t="str">
        <x:v>本港生产/腹地集散/港内加工</x:v>
      </x:c>
    </x:row>
    <x:row r="87" ht="31" customHeight="1">
      <x:c r="A87" s="15" t="str">
        <x:v>RT14</x:v>
      </x:c>
      <x:c r="B87" s="15" t="str">
        <x:v>香料群岛织帆路</x:v>
      </x:c>
      <x:c r="C87" s="15" t="str">
        <x:v>返程</x:v>
      </x:c>
      <x:c r="D87" s="15" t="str">
        <x:v>G029</x:v>
      </x:c>
      <x:c r="E87" s="15" t="str">
        <x:v>胡椒</x:v>
      </x:c>
      <x:c r="F87" s="15" t="str">
        <x:v>P071</x:v>
      </x:c>
      <x:c r="G87" s="15" t="str">
        <x:v>万丹</x:v>
      </x:c>
      <x:c r="H87" s="30" t="n">
        <x:v>1</x:v>
      </x:c>
      <x:c r="I87" s="30" t="n">
        <x:v>260</x:v>
      </x:c>
      <x:c r="J87" s="15" t="str">
        <x:v>本港生产/腹地集散/港内加工</x:v>
      </x:c>
    </x:row>
    <x:row r="88" ht="31" customHeight="1">
      <x:c r="A88" s="13" t="str">
        <x:v>RT14</x:v>
      </x:c>
      <x:c r="B88" s="13" t="str">
        <x:v>香料群岛织帆路</x:v>
      </x:c>
      <x:c r="C88" s="13" t="str">
        <x:v>返程</x:v>
      </x:c>
      <x:c r="D88" s="13" t="str">
        <x:v>G031</x:v>
      </x:c>
      <x:c r="E88" s="13" t="str">
        <x:v>肉豆蔻</x:v>
      </x:c>
      <x:c r="F88" s="13" t="str">
        <x:v>P077</x:v>
      </x:c>
      <x:c r="G88" s="13" t="str">
        <x:v>班达奈拉</x:v>
      </x:c>
      <x:c r="H88" s="27" t="n">
        <x:v>1</x:v>
      </x:c>
      <x:c r="I88" s="27" t="n">
        <x:v>490</x:v>
      </x:c>
      <x:c r="J88" s="13" t="str">
        <x:v>本港生产/腹地集散/港内加工</x:v>
      </x:c>
    </x:row>
    <x:row r="89" ht="31" customHeight="1">
      <x:c r="A89" s="15" t="str">
        <x:v>RT14</x:v>
      </x:c>
      <x:c r="B89" s="15" t="str">
        <x:v>香料群岛织帆路</x:v>
      </x:c>
      <x:c r="C89" s="15" t="str">
        <x:v>返程</x:v>
      </x:c>
      <x:c r="D89" s="15" t="str">
        <x:v>G030</x:v>
      </x:c>
      <x:c r="E89" s="15" t="str">
        <x:v>丁香</x:v>
      </x:c>
      <x:c r="F89" s="15" t="str">
        <x:v>P076</x:v>
      </x:c>
      <x:c r="G89" s="15" t="str">
        <x:v>特尔纳特</x:v>
      </x:c>
      <x:c r="H89" s="30" t="n">
        <x:v>1</x:v>
      </x:c>
      <x:c r="I89" s="30" t="n">
        <x:v>520</x:v>
      </x:c>
      <x:c r="J89" s="15" t="str">
        <x:v>本港生产/腹地集散/港内加工</x:v>
      </x:c>
    </x:row>
    <x:row r="90" ht="31" customHeight="1">
      <x:c r="A90" s="13" t="str">
        <x:v>RT15</x:v>
      </x:c>
      <x:c r="B90" s="13" t="str">
        <x:v>灯海陶瓷线</x:v>
      </x:c>
      <x:c r="C90" s="13" t="str">
        <x:v>去程</x:v>
      </x:c>
      <x:c r="D90" s="13" t="str">
        <x:v>G046</x:v>
      </x:c>
      <x:c r="E90" s="13" t="str">
        <x:v>丝绸</x:v>
      </x:c>
      <x:c r="F90" s="13" t="str">
        <x:v>P079</x:v>
      </x:c>
      <x:c r="G90" s="13" t="str">
        <x:v>会安</x:v>
      </x:c>
      <x:c r="H90" s="27" t="n">
        <x:v>2</x:v>
      </x:c>
      <x:c r="I90" s="27" t="n">
        <x:v>620</x:v>
      </x:c>
      <x:c r="J90" s="13" t="str">
        <x:v>本港生产/腹地集散/港内加工</x:v>
      </x:c>
    </x:row>
    <x:row r="91" ht="31" customHeight="1">
      <x:c r="A91" s="15" t="str">
        <x:v>RT15</x:v>
      </x:c>
      <x:c r="B91" s="15" t="str">
        <x:v>灯海陶瓷线</x:v>
      </x:c>
      <x:c r="C91" s="15" t="str">
        <x:v>去程</x:v>
      </x:c>
      <x:c r="D91" s="15" t="str">
        <x:v>G033</x:v>
      </x:c>
      <x:c r="E91" s="15" t="str">
        <x:v>生姜</x:v>
      </x:c>
      <x:c r="F91" s="15" t="str">
        <x:v>P079</x:v>
      </x:c>
      <x:c r="G91" s="15" t="str">
        <x:v>会安</x:v>
      </x:c>
      <x:c r="H91" s="30" t="n">
        <x:v>1</x:v>
      </x:c>
      <x:c r="I91" s="30" t="n">
        <x:v>140</x:v>
      </x:c>
      <x:c r="J91" s="15" t="str">
        <x:v>本港生产/腹地集散/港内加工</x:v>
      </x:c>
    </x:row>
    <x:row r="92" ht="31" customHeight="1">
      <x:c r="A92" s="13" t="str">
        <x:v>RT15</x:v>
      </x:c>
      <x:c r="B92" s="13" t="str">
        <x:v>灯海陶瓷线</x:v>
      </x:c>
      <x:c r="C92" s="13" t="str">
        <x:v>去程</x:v>
      </x:c>
      <x:c r="D92" s="13" t="str">
        <x:v>SP079</x:v>
      </x:c>
      <x:c r="E92" s="13" t="str">
        <x:v>灯河五色丝灯罩</x:v>
      </x:c>
      <x:c r="F92" s="13" t="str">
        <x:v>P079</x:v>
      </x:c>
      <x:c r="G92" s="13" t="str">
        <x:v>会安</x:v>
      </x:c>
      <x:c r="H92" s="27" t="n">
        <x:v>3</x:v>
      </x:c>
      <x:c r="I92" s="27" t="n">
        <x:v>780</x:v>
      </x:c>
      <x:c r="J92" s="13" t="str">
        <x:v>港口独占原创工坊特产</x:v>
      </x:c>
    </x:row>
    <x:row r="93" ht="31" customHeight="1">
      <x:c r="A93" s="15" t="str">
        <x:v>RT15</x:v>
      </x:c>
      <x:c r="B93" s="15" t="str">
        <x:v>灯海陶瓷线</x:v>
      </x:c>
      <x:c r="C93" s="15" t="str">
        <x:v>返程</x:v>
      </x:c>
      <x:c r="D93" s="15" t="str">
        <x:v>G020</x:v>
      </x:c>
      <x:c r="E93" s="15" t="str">
        <x:v>茶叶</x:v>
      </x:c>
      <x:c r="F93" s="15" t="str">
        <x:v>P089</x:v>
      </x:c>
      <x:c r="G93" s="15" t="str">
        <x:v>长崎</x:v>
      </x:c>
      <x:c r="H93" s="30" t="n">
        <x:v>1</x:v>
      </x:c>
      <x:c r="I93" s="30" t="n">
        <x:v>210</x:v>
      </x:c>
      <x:c r="J93" s="15" t="str">
        <x:v>本港生产/腹地集散/港内加工</x:v>
      </x:c>
    </x:row>
    <x:row r="94" ht="31" customHeight="1">
      <x:c r="A94" s="13" t="str">
        <x:v>RT15</x:v>
      </x:c>
      <x:c r="B94" s="13" t="str">
        <x:v>灯海陶瓷线</x:v>
      </x:c>
      <x:c r="C94" s="13" t="str">
        <x:v>返程</x:v>
      </x:c>
      <x:c r="D94" s="13" t="str">
        <x:v>G070</x:v>
      </x:c>
      <x:c r="E94" s="13" t="str">
        <x:v>瓷器</x:v>
      </x:c>
      <x:c r="F94" s="13" t="str">
        <x:v>P089</x:v>
      </x:c>
      <x:c r="G94" s="13" t="str">
        <x:v>长崎</x:v>
      </x:c>
      <x:c r="H94" s="27" t="n">
        <x:v>2</x:v>
      </x:c>
      <x:c r="I94" s="27" t="n">
        <x:v>370</x:v>
      </x:c>
      <x:c r="J94" s="13" t="str">
        <x:v>本港生产/腹地集散/港内加工</x:v>
      </x:c>
    </x:row>
    <x:row r="95" ht="31" customHeight="1">
      <x:c r="A95" s="15" t="str">
        <x:v>RT15</x:v>
      </x:c>
      <x:c r="B95" s="15" t="str">
        <x:v>灯海陶瓷线</x:v>
      </x:c>
      <x:c r="C95" s="15" t="str">
        <x:v>返程</x:v>
      </x:c>
      <x:c r="D95" s="15" t="str">
        <x:v>G072</x:v>
      </x:c>
      <x:c r="E95" s="15" t="str">
        <x:v>漆器</x:v>
      </x:c>
      <x:c r="F95" s="15" t="str">
        <x:v>P089</x:v>
      </x:c>
      <x:c r="G95" s="15" t="str">
        <x:v>长崎</x:v>
      </x:c>
      <x:c r="H95" s="30" t="n">
        <x:v>3</x:v>
      </x:c>
      <x:c r="I95" s="30" t="n">
        <x:v>480</x:v>
      </x:c>
      <x:c r="J95" s="15" t="str">
        <x:v>本港生产/腹地集散/港内加工</x:v>
      </x:c>
    </x:row>
    <x:row r="96" ht="31" customHeight="1">
      <x:c r="A96" s="13" t="str">
        <x:v>RT16</x:v>
      </x:c>
      <x:c r="B96" s="13" t="str">
        <x:v>群岛船匠巡游</x:v>
      </x:c>
      <x:c r="C96" s="13" t="str">
        <x:v>去程</x:v>
      </x:c>
      <x:c r="D96" s="13" t="str">
        <x:v>G059</x:v>
      </x:c>
      <x:c r="E96" s="13" t="str">
        <x:v>铜锭</x:v>
      </x:c>
      <x:c r="F96" s="13" t="str">
        <x:v>P089</x:v>
      </x:c>
      <x:c r="G96" s="13" t="str">
        <x:v>长崎</x:v>
      </x:c>
      <x:c r="H96" s="27" t="n">
        <x:v>0</x:v>
      </x:c>
      <x:c r="I96" s="27" t="n">
        <x:v>185</x:v>
      </x:c>
      <x:c r="J96" s="13" t="str">
        <x:v>本港生产/腹地集散/港内加工</x:v>
      </x:c>
    </x:row>
    <x:row r="97" ht="31" customHeight="1">
      <x:c r="A97" s="15" t="str">
        <x:v>RT16</x:v>
      </x:c>
      <x:c r="B97" s="15" t="str">
        <x:v>群岛船匠巡游</x:v>
      </x:c>
      <x:c r="C97" s="15" t="str">
        <x:v>去程</x:v>
      </x:c>
      <x:c r="D97" s="15" t="str">
        <x:v>G072</x:v>
      </x:c>
      <x:c r="E97" s="15" t="str">
        <x:v>漆器</x:v>
      </x:c>
      <x:c r="F97" s="15" t="str">
        <x:v>P089</x:v>
      </x:c>
      <x:c r="G97" s="15" t="str">
        <x:v>长崎</x:v>
      </x:c>
      <x:c r="H97" s="30" t="n">
        <x:v>3</x:v>
      </x:c>
      <x:c r="I97" s="30" t="n">
        <x:v>480</x:v>
      </x:c>
      <x:c r="J97" s="15" t="str">
        <x:v>本港生产/腹地集散/港内加工</x:v>
      </x:c>
    </x:row>
    <x:row r="98" ht="31" customHeight="1">
      <x:c r="A98" s="13" t="str">
        <x:v>RT16</x:v>
      </x:c>
      <x:c r="B98" s="13" t="str">
        <x:v>群岛船匠巡游</x:v>
      </x:c>
      <x:c r="C98" s="13" t="str">
        <x:v>去程</x:v>
      </x:c>
      <x:c r="D98" s="13" t="str">
        <x:v>G071</x:v>
      </x:c>
      <x:c r="E98" s="13" t="str">
        <x:v>玻璃器皿</x:v>
      </x:c>
      <x:c r="F98" s="13" t="str">
        <x:v>P089</x:v>
      </x:c>
      <x:c r="G98" s="13" t="str">
        <x:v>长崎</x:v>
      </x:c>
      <x:c r="H98" s="27" t="n">
        <x:v>4</x:v>
      </x:c>
      <x:c r="I98" s="27" t="n">
        <x:v>310</x:v>
      </x:c>
      <x:c r="J98" s="13" t="str">
        <x:v>本港生产/腹地集散/港内加工</x:v>
      </x:c>
    </x:row>
    <x:row r="99" ht="31" customHeight="1">
      <x:c r="A99" s="15" t="str">
        <x:v>RT16</x:v>
      </x:c>
      <x:c r="B99" s="15" t="str">
        <x:v>群岛船匠巡游</x:v>
      </x:c>
      <x:c r="C99" s="15" t="str">
        <x:v>返程</x:v>
      </x:c>
      <x:c r="D99" s="15" t="str">
        <x:v>G068</x:v>
      </x:c>
      <x:c r="E99" s="15" t="str">
        <x:v>铁工具</x:v>
      </x:c>
      <x:c r="F99" s="15" t="str">
        <x:v>P090</x:v>
      </x:c>
      <x:c r="G99" s="15" t="str">
        <x:v>堺</x:v>
      </x:c>
      <x:c r="H99" s="30" t="n">
        <x:v>3</x:v>
      </x:c>
      <x:c r="I99" s="30" t="n">
        <x:v>190</x:v>
      </x:c>
      <x:c r="J99" s="15" t="str">
        <x:v>本港生产/腹地集散/港内加工</x:v>
      </x:c>
    </x:row>
    <x:row r="100" ht="31" customHeight="1">
      <x:c r="A100" s="13" t="str">
        <x:v>RT16</x:v>
      </x:c>
      <x:c r="B100" s="13" t="str">
        <x:v>群岛船匠巡游</x:v>
      </x:c>
      <x:c r="C100" s="13" t="str">
        <x:v>返程</x:v>
      </x:c>
      <x:c r="D100" s="13" t="str">
        <x:v>G046</x:v>
      </x:c>
      <x:c r="E100" s="13" t="str">
        <x:v>丝绸</x:v>
      </x:c>
      <x:c r="F100" s="13" t="str">
        <x:v>P084</x:v>
      </x:c>
      <x:c r="G100" s="13" t="str">
        <x:v>宁波</x:v>
      </x:c>
      <x:c r="H100" s="27" t="n">
        <x:v>2</x:v>
      </x:c>
      <x:c r="I100" s="27" t="n">
        <x:v>620</x:v>
      </x:c>
      <x:c r="J100" s="13" t="str">
        <x:v>本港生产/腹地集散/港内加工</x:v>
      </x:c>
    </x:row>
    <x:row r="101" ht="31" customHeight="1">
      <x:c r="A101" s="15" t="str">
        <x:v>RT16</x:v>
      </x:c>
      <x:c r="B101" s="15" t="str">
        <x:v>群岛船匠巡游</x:v>
      </x:c>
      <x:c r="C101" s="15" t="str">
        <x:v>返程</x:v>
      </x:c>
      <x:c r="D101" s="15" t="str">
        <x:v>G020</x:v>
      </x:c>
      <x:c r="E101" s="15" t="str">
        <x:v>茶叶</x:v>
      </x:c>
      <x:c r="F101" s="15" t="str">
        <x:v>P083</x:v>
      </x:c>
      <x:c r="G101" s="15" t="str">
        <x:v>福州</x:v>
      </x:c>
      <x:c r="H101" s="30" t="n">
        <x:v>1</x:v>
      </x:c>
      <x:c r="I101" s="30" t="n">
        <x:v>210</x:v>
      </x:c>
      <x:c r="J101" s="15" t="str">
        <x:v>本港生产/腹地集散/港内加工</x:v>
      </x:c>
    </x:row>
    <x:row r="102" ht="31" customHeight="1">
      <x:c r="A102" s="13" t="str">
        <x:v>RT17</x:v>
      </x:c>
      <x:c r="B102" s="13" t="str">
        <x:v>跨太平洋丝银线</x:v>
      </x:c>
      <x:c r="C102" s="13" t="str">
        <x:v>去程</x:v>
      </x:c>
      <x:c r="D102" s="13" t="str">
        <x:v>G046</x:v>
      </x:c>
      <x:c r="E102" s="13" t="str">
        <x:v>丝绸</x:v>
      </x:c>
      <x:c r="F102" s="13" t="str">
        <x:v>P078</x:v>
      </x:c>
      <x:c r="G102" s="13" t="str">
        <x:v>马尼拉</x:v>
      </x:c>
      <x:c r="H102" s="27" t="n">
        <x:v>3</x:v>
      </x:c>
      <x:c r="I102" s="27" t="n">
        <x:v>620</x:v>
      </x:c>
      <x:c r="J102" s="13" t="str">
        <x:v>进口/区域转口</x:v>
      </x:c>
    </x:row>
    <x:row r="103" ht="31" customHeight="1">
      <x:c r="A103" s="15" t="str">
        <x:v>RT17</x:v>
      </x:c>
      <x:c r="B103" s="15" t="str">
        <x:v>跨太平洋丝银线</x:v>
      </x:c>
      <x:c r="C103" s="15" t="str">
        <x:v>去程</x:v>
      </x:c>
      <x:c r="D103" s="15" t="str">
        <x:v>G070</x:v>
      </x:c>
      <x:c r="E103" s="15" t="str">
        <x:v>瓷器</x:v>
      </x:c>
      <x:c r="F103" s="15" t="str">
        <x:v>P078</x:v>
      </x:c>
      <x:c r="G103" s="15" t="str">
        <x:v>马尼拉</x:v>
      </x:c>
      <x:c r="H103" s="30" t="n">
        <x:v>4</x:v>
      </x:c>
      <x:c r="I103" s="30" t="n">
        <x:v>370</x:v>
      </x:c>
      <x:c r="J103" s="15" t="str">
        <x:v>进口/区域转口</x:v>
      </x:c>
    </x:row>
    <x:row r="104" ht="31" customHeight="1">
      <x:c r="A104" s="13" t="str">
        <x:v>RT17</x:v>
      </x:c>
      <x:c r="B104" s="13" t="str">
        <x:v>跨太平洋丝银线</x:v>
      </x:c>
      <x:c r="C104" s="13" t="str">
        <x:v>去程</x:v>
      </x:c>
      <x:c r="D104" s="13" t="str">
        <x:v>G108</x:v>
      </x:c>
      <x:c r="E104" s="13" t="str">
        <x:v>蕉麻</x:v>
      </x:c>
      <x:c r="F104" s="13" t="str">
        <x:v>P078</x:v>
      </x:c>
      <x:c r="G104" s="13" t="str">
        <x:v>马尼拉</x:v>
      </x:c>
      <x:c r="H104" s="27" t="n">
        <x:v>1</x:v>
      </x:c>
      <x:c r="I104" s="27" t="n">
        <x:v>105</x:v>
      </x:c>
      <x:c r="J104" s="13" t="str">
        <x:v>本港生产/腹地集散/港内加工</x:v>
      </x:c>
    </x:row>
    <x:row r="105" ht="31" customHeight="1">
      <x:c r="A105" s="15" t="str">
        <x:v>RT17</x:v>
      </x:c>
      <x:c r="B105" s="15" t="str">
        <x:v>跨太平洋丝银线</x:v>
      </x:c>
      <x:c r="C105" s="15" t="str">
        <x:v>返程</x:v>
      </x:c>
      <x:c r="D105" s="15" t="str">
        <x:v>G062</x:v>
      </x:c>
      <x:c r="E105" s="15" t="str">
        <x:v>白银</x:v>
      </x:c>
      <x:c r="F105" s="15" t="str">
        <x:v>P112</x:v>
      </x:c>
      <x:c r="G105" s="15" t="str">
        <x:v>卡亚俄</x:v>
      </x:c>
      <x:c r="H105" s="30" t="n">
        <x:v>2</x:v>
      </x:c>
      <x:c r="I105" s="30" t="n">
        <x:v>850</x:v>
      </x:c>
      <x:c r="J105" s="15" t="str">
        <x:v>本港生产/腹地集散/港内加工</x:v>
      </x:c>
    </x:row>
    <x:row r="106" ht="31" customHeight="1">
      <x:c r="A106" s="13" t="str">
        <x:v>RT17</x:v>
      </x:c>
      <x:c r="B106" s="13" t="str">
        <x:v>跨太平洋丝银线</x:v>
      </x:c>
      <x:c r="C106" s="13" t="str">
        <x:v>返程</x:v>
      </x:c>
      <x:c r="D106" s="13" t="str">
        <x:v>G051</x:v>
      </x:c>
      <x:c r="E106" s="13" t="str">
        <x:v>胭脂虫红</x:v>
      </x:c>
      <x:c r="F106" s="13" t="str">
        <x:v>P112</x:v>
      </x:c>
      <x:c r="G106" s="13" t="str">
        <x:v>卡亚俄</x:v>
      </x:c>
      <x:c r="H106" s="27" t="n">
        <x:v>3</x:v>
      </x:c>
      <x:c r="I106" s="27" t="n">
        <x:v>750</x:v>
      </x:c>
      <x:c r="J106" s="13" t="str">
        <x:v>本港生产/腹地集散/港内加工</x:v>
      </x:c>
    </x:row>
    <x:row r="107" ht="31" customHeight="1">
      <x:c r="A107" s="15" t="str">
        <x:v>RT17</x:v>
      </x:c>
      <x:c r="B107" s="15" t="str">
        <x:v>跨太平洋丝银线</x:v>
      </x:c>
      <x:c r="C107" s="15" t="str">
        <x:v>返程</x:v>
      </x:c>
      <x:c r="D107" s="15" t="str">
        <x:v>G023</x:v>
      </x:c>
      <x:c r="E107" s="15" t="str">
        <x:v>葡萄酒</x:v>
      </x:c>
      <x:c r="F107" s="15" t="str">
        <x:v>P112</x:v>
      </x:c>
      <x:c r="G107" s="15" t="str">
        <x:v>卡亚俄</x:v>
      </x:c>
      <x:c r="H107" s="30" t="n">
        <x:v>4</x:v>
      </x:c>
      <x:c r="I107" s="30" t="n">
        <x:v>115</x:v>
      </x:c>
      <x:c r="J107" s="15" t="str">
        <x:v>本港生产/腹地集散/港内加工</x:v>
      </x:c>
    </x:row>
    <x:row r="108" ht="31" customHeight="1">
      <x:c r="A108" s="13" t="str">
        <x:v>RT18</x:v>
      </x:c>
      <x:c r="B108" s="13" t="str">
        <x:v>加勒比糖与船材</x:v>
      </x:c>
      <x:c r="C108" s="13" t="str">
        <x:v>去程</x:v>
      </x:c>
      <x:c r="D108" s="13" t="str">
        <x:v>G011</x:v>
      </x:c>
      <x:c r="E108" s="13" t="str">
        <x:v>砂糖</x:v>
      </x:c>
      <x:c r="F108" s="13" t="str">
        <x:v>P095</x:v>
      </x:c>
      <x:c r="G108" s="13" t="str">
        <x:v>哈瓦那</x:v>
      </x:c>
      <x:c r="H108" s="27" t="n">
        <x:v>0</x:v>
      </x:c>
      <x:c r="I108" s="27" t="n">
        <x:v>140</x:v>
      </x:c>
      <x:c r="J108" s="13" t="str">
        <x:v>本港生产/腹地集散/港内加工</x:v>
      </x:c>
    </x:row>
    <x:row r="109" ht="31" customHeight="1">
      <x:c r="A109" s="15" t="str">
        <x:v>RT18</x:v>
      </x:c>
      <x:c r="B109" s="15" t="str">
        <x:v>加勒比糖与船材</x:v>
      </x:c>
      <x:c r="C109" s="15" t="str">
        <x:v>去程</x:v>
      </x:c>
      <x:c r="D109" s="15" t="str">
        <x:v>G025</x:v>
      </x:c>
      <x:c r="E109" s="15" t="str">
        <x:v>朗姆酒</x:v>
      </x:c>
      <x:c r="F109" s="15" t="str">
        <x:v>P095</x:v>
      </x:c>
      <x:c r="G109" s="15" t="str">
        <x:v>哈瓦那</x:v>
      </x:c>
      <x:c r="H109" s="30" t="n">
        <x:v>2</x:v>
      </x:c>
      <x:c r="I109" s="30" t="n">
        <x:v>155</x:v>
      </x:c>
      <x:c r="J109" s="15" t="str">
        <x:v>本港生产/腹地集散/港内加工</x:v>
      </x:c>
    </x:row>
    <x:row r="110" ht="31" customHeight="1">
      <x:c r="A110" s="13" t="str">
        <x:v>RT18</x:v>
      </x:c>
      <x:c r="B110" s="13" t="str">
        <x:v>加勒比糖与船材</x:v>
      </x:c>
      <x:c r="C110" s="13" t="str">
        <x:v>去程</x:v>
      </x:c>
      <x:c r="D110" s="13" t="str">
        <x:v>G097</x:v>
      </x:c>
      <x:c r="E110" s="13" t="str">
        <x:v>烟草</x:v>
      </x:c>
      <x:c r="F110" s="13" t="str">
        <x:v>P095</x:v>
      </x:c>
      <x:c r="G110" s="13" t="str">
        <x:v>哈瓦那</x:v>
      </x:c>
      <x:c r="H110" s="27" t="n">
        <x:v>1</x:v>
      </x:c>
      <x:c r="I110" s="27" t="n">
        <x:v>180</x:v>
      </x:c>
      <x:c r="J110" s="13" t="str">
        <x:v>本港生产/腹地集散/港内加工</x:v>
      </x:c>
    </x:row>
    <x:row r="111" ht="31" customHeight="1">
      <x:c r="A111" s="15" t="str">
        <x:v>RT18</x:v>
      </x:c>
      <x:c r="B111" s="15" t="str">
        <x:v>加勒比糖与船材</x:v>
      </x:c>
      <x:c r="C111" s="15" t="str">
        <x:v>返程</x:v>
      </x:c>
      <x:c r="D111" s="15" t="str">
        <x:v>G110</x:v>
      </x:c>
      <x:c r="E111" s="15" t="str">
        <x:v>硬木</x:v>
      </x:c>
      <x:c r="F111" s="15" t="str">
        <x:v>P097</x:v>
      </x:c>
      <x:c r="G111" s="15" t="str">
        <x:v>圣多明各</x:v>
      </x:c>
      <x:c r="H111" s="30" t="n">
        <x:v>4</x:v>
      </x:c>
      <x:c r="I111" s="30" t="n">
        <x:v>135</x:v>
      </x:c>
      <x:c r="J111" s="15" t="str">
        <x:v>本港生产/腹地集散/港内加工</x:v>
      </x:c>
    </x:row>
    <x:row r="112" ht="31" customHeight="1">
      <x:c r="A112" s="13" t="str">
        <x:v>RT18</x:v>
      </x:c>
      <x:c r="B112" s="13" t="str">
        <x:v>加勒比糖与船材</x:v>
      </x:c>
      <x:c r="C112" s="13" t="str">
        <x:v>返程</x:v>
      </x:c>
      <x:c r="D112" s="13" t="str">
        <x:v>G079</x:v>
      </x:c>
      <x:c r="E112" s="13" t="str">
        <x:v>皮革</x:v>
      </x:c>
      <x:c r="F112" s="13" t="str">
        <x:v>P105</x:v>
      </x:c>
      <x:c r="G112" s="13" t="str">
        <x:v>卡塔赫纳</x:v>
      </x:c>
      <x:c r="H112" s="27" t="n">
        <x:v>1</x:v>
      </x:c>
      <x:c r="I112" s="27" t="n">
        <x:v>110</x:v>
      </x:c>
      <x:c r="J112" s="13" t="str">
        <x:v>本港生产/腹地集散/港内加工</x:v>
      </x:c>
    </x:row>
    <x:row r="113" ht="31" customHeight="1">
      <x:c r="A113" s="15" t="str">
        <x:v>RT18</x:v>
      </x:c>
      <x:c r="B113" s="15" t="str">
        <x:v>加勒比糖与船材</x:v>
      </x:c>
      <x:c r="C113" s="15" t="str">
        <x:v>返程</x:v>
      </x:c>
      <x:c r="D113" s="15" t="str">
        <x:v>G022</x:v>
      </x:c>
      <x:c r="E113" s="15" t="str">
        <x:v>可可</x:v>
      </x:c>
      <x:c r="F113" s="15" t="str">
        <x:v>P097</x:v>
      </x:c>
      <x:c r="G113" s="15" t="str">
        <x:v>圣多明各</x:v>
      </x:c>
      <x:c r="H113" s="30" t="n">
        <x:v>1</x:v>
      </x:c>
      <x:c r="I113" s="30" t="n">
        <x:v>225</x:v>
      </x:c>
      <x:c r="J113" s="15" t="str">
        <x:v>本港生产/腹地集散/港内加工</x:v>
      </x:c>
    </x:row>
    <x:row r="114" ht="31" customHeight="1">
      <x:c r="A114" s="13" t="str">
        <x:v>RT19</x:v>
      </x:c>
      <x:c r="B114" s="13" t="str">
        <x:v>信风大西洋</x:v>
      </x:c>
      <x:c r="C114" s="13" t="str">
        <x:v>去程</x:v>
      </x:c>
      <x:c r="D114" s="13" t="str">
        <x:v>G023</x:v>
      </x:c>
      <x:c r="E114" s="13" t="str">
        <x:v>葡萄酒</x:v>
      </x:c>
      <x:c r="F114" s="13" t="str">
        <x:v>P014</x:v>
      </x:c>
      <x:c r="G114" s="13" t="str">
        <x:v>加的斯</x:v>
      </x:c>
      <x:c r="H114" s="27" t="n">
        <x:v>1</x:v>
      </x:c>
      <x:c r="I114" s="27" t="n">
        <x:v>115</x:v>
      </x:c>
      <x:c r="J114" s="13" t="str">
        <x:v>本港生产/腹地集散/港内加工</x:v>
      </x:c>
    </x:row>
    <x:row r="115" ht="31" customHeight="1">
      <x:c r="A115" s="15" t="str">
        <x:v>RT19</x:v>
      </x:c>
      <x:c r="B115" s="15" t="str">
        <x:v>信风大西洋</x:v>
      </x:c>
      <x:c r="C115" s="15" t="str">
        <x:v>去程</x:v>
      </x:c>
      <x:c r="D115" s="15" t="str">
        <x:v>G018</x:v>
      </x:c>
      <x:c r="E115" s="15" t="str">
        <x:v>咸牛肉</x:v>
      </x:c>
      <x:c r="F115" s="15" t="str">
        <x:v>P014</x:v>
      </x:c>
      <x:c r="G115" s="15" t="str">
        <x:v>加的斯</x:v>
      </x:c>
      <x:c r="H115" s="30" t="n">
        <x:v>1</x:v>
      </x:c>
      <x:c r="I115" s="30" t="n">
        <x:v>82</x:v>
      </x:c>
      <x:c r="J115" s="15" t="str">
        <x:v>本港生产/腹地集散/港内加工</x:v>
      </x:c>
    </x:row>
    <x:row r="116" ht="31" customHeight="1">
      <x:c r="A116" s="13" t="str">
        <x:v>RT19</x:v>
      </x:c>
      <x:c r="B116" s="13" t="str">
        <x:v>信风大西洋</x:v>
      </x:c>
      <x:c r="C116" s="13" t="str">
        <x:v>去程</x:v>
      </x:c>
      <x:c r="D116" s="13" t="str">
        <x:v>G067</x:v>
      </x:c>
      <x:c r="E116" s="13" t="str">
        <x:v>火药</x:v>
      </x:c>
      <x:c r="F116" s="13" t="str">
        <x:v>P014</x:v>
      </x:c>
      <x:c r="G116" s="13" t="str">
        <x:v>加的斯</x:v>
      </x:c>
      <x:c r="H116" s="27" t="n">
        <x:v>4</x:v>
      </x:c>
      <x:c r="I116" s="27" t="n">
        <x:v>265</x:v>
      </x:c>
      <x:c r="J116" s="13" t="str">
        <x:v>本港生产/腹地集散/港内加工</x:v>
      </x:c>
    </x:row>
    <x:row r="117" ht="31" customHeight="1">
      <x:c r="A117" s="15" t="str">
        <x:v>RT19</x:v>
      </x:c>
      <x:c r="B117" s="15" t="str">
        <x:v>信风大西洋</x:v>
      </x:c>
      <x:c r="C117" s="15" t="str">
        <x:v>返程</x:v>
      </x:c>
      <x:c r="D117" s="15" t="str">
        <x:v>G097</x:v>
      </x:c>
      <x:c r="E117" s="15" t="str">
        <x:v>烟草</x:v>
      </x:c>
      <x:c r="F117" s="15" t="str">
        <x:v>P095</x:v>
      </x:c>
      <x:c r="G117" s="15" t="str">
        <x:v>哈瓦那</x:v>
      </x:c>
      <x:c r="H117" s="30" t="n">
        <x:v>1</x:v>
      </x:c>
      <x:c r="I117" s="30" t="n">
        <x:v>180</x:v>
      </x:c>
      <x:c r="J117" s="15" t="str">
        <x:v>本港生产/腹地集散/港内加工</x:v>
      </x:c>
    </x:row>
    <x:row r="118" ht="31" customHeight="1">
      <x:c r="A118" s="13" t="str">
        <x:v>RT19</x:v>
      </x:c>
      <x:c r="B118" s="13" t="str">
        <x:v>信风大西洋</x:v>
      </x:c>
      <x:c r="C118" s="13" t="str">
        <x:v>返程</x:v>
      </x:c>
      <x:c r="D118" s="13" t="str">
        <x:v>G057</x:v>
      </x:c>
      <x:c r="E118" s="13" t="str">
        <x:v>松木</x:v>
      </x:c>
      <x:c r="F118" s="13" t="str">
        <x:v>P104</x:v>
      </x:c>
      <x:c r="G118" s="13" t="str">
        <x:v>波士顿</x:v>
      </x:c>
      <x:c r="H118" s="27" t="n">
        <x:v>0</x:v>
      </x:c>
      <x:c r="I118" s="27" t="n">
        <x:v>70</x:v>
      </x:c>
      <x:c r="J118" s="13" t="str">
        <x:v>本港生产/腹地集散/港内加工</x:v>
      </x:c>
    </x:row>
    <x:row r="119" ht="31" customHeight="1">
      <x:c r="A119" s="15" t="str">
        <x:v>RT19</x:v>
      </x:c>
      <x:c r="B119" s="15" t="str">
        <x:v>信风大西洋</x:v>
      </x:c>
      <x:c r="C119" s="15" t="str">
        <x:v>返程</x:v>
      </x:c>
      <x:c r="D119" s="15" t="str">
        <x:v>SP104</x:v>
      </x:c>
      <x:c r="E119" s="15" t="str">
        <x:v>波士顿星港铜版图</x:v>
      </x:c>
      <x:c r="F119" s="15" t="str">
        <x:v>P104</x:v>
      </x:c>
      <x:c r="G119" s="15" t="str">
        <x:v>波士顿</x:v>
      </x:c>
      <x:c r="H119" s="30" t="n">
        <x:v>4</x:v>
      </x:c>
      <x:c r="I119" s="30" t="n">
        <x:v>970</x:v>
      </x:c>
      <x:c r="J119" s="15" t="str">
        <x:v>港口独占原创工坊特产</x:v>
      </x:c>
    </x:row>
    <x:row r="120" ht="31" customHeight="1">
      <x:c r="A120" s="13" t="str">
        <x:v>RT20</x:v>
      </x:c>
      <x:c r="B120" s="13" t="str">
        <x:v>亚马孙药木巡航</x:v>
      </x:c>
      <x:c r="C120" s="13" t="str">
        <x:v>去程</x:v>
      </x:c>
      <x:c r="D120" s="13" t="str">
        <x:v>G079</x:v>
      </x:c>
      <x:c r="E120" s="13" t="str">
        <x:v>皮革</x:v>
      </x:c>
      <x:c r="F120" s="13" t="str">
        <x:v>P105</x:v>
      </x:c>
      <x:c r="G120" s="13" t="str">
        <x:v>卡塔赫纳</x:v>
      </x:c>
      <x:c r="H120" s="27" t="n">
        <x:v>1</x:v>
      </x:c>
      <x:c r="I120" s="27" t="n">
        <x:v>110</x:v>
      </x:c>
      <x:c r="J120" s="13" t="str">
        <x:v>本港生产/腹地集散/港内加工</x:v>
      </x:c>
    </x:row>
    <x:row r="121" ht="31" customHeight="1">
      <x:c r="A121" s="15" t="str">
        <x:v>RT20</x:v>
      </x:c>
      <x:c r="B121" s="15" t="str">
        <x:v>亚马孙药木巡航</x:v>
      </x:c>
      <x:c r="C121" s="15" t="str">
        <x:v>去程</x:v>
      </x:c>
      <x:c r="D121" s="15" t="str">
        <x:v>G011</x:v>
      </x:c>
      <x:c r="E121" s="15" t="str">
        <x:v>砂糖</x:v>
      </x:c>
      <x:c r="F121" s="15" t="str">
        <x:v>P105</x:v>
      </x:c>
      <x:c r="G121" s="15" t="str">
        <x:v>卡塔赫纳</x:v>
      </x:c>
      <x:c r="H121" s="30" t="n">
        <x:v>0</x:v>
      </x:c>
      <x:c r="I121" s="30" t="n">
        <x:v>140</x:v>
      </x:c>
      <x:c r="J121" s="15" t="str">
        <x:v>本港生产/腹地集散/港内加工</x:v>
      </x:c>
    </x:row>
    <x:row r="122" ht="31" customHeight="1">
      <x:c r="A122" s="13" t="str">
        <x:v>RT20</x:v>
      </x:c>
      <x:c r="B122" s="13" t="str">
        <x:v>亚马孙药木巡航</x:v>
      </x:c>
      <x:c r="C122" s="13" t="str">
        <x:v>去程</x:v>
      </x:c>
      <x:c r="D122" s="13" t="str">
        <x:v>G025</x:v>
      </x:c>
      <x:c r="E122" s="13" t="str">
        <x:v>朗姆酒</x:v>
      </x:c>
      <x:c r="F122" s="13" t="str">
        <x:v>P105</x:v>
      </x:c>
      <x:c r="G122" s="13" t="str">
        <x:v>卡塔赫纳</x:v>
      </x:c>
      <x:c r="H122" s="27" t="n">
        <x:v>4</x:v>
      </x:c>
      <x:c r="I122" s="27" t="n">
        <x:v>155</x:v>
      </x:c>
      <x:c r="J122" s="13" t="str">
        <x:v>本港生产/腹地集散/港内加工</x:v>
      </x:c>
    </x:row>
    <x:row r="123" ht="31" customHeight="1">
      <x:c r="A123" s="15" t="str">
        <x:v>RT20</x:v>
      </x:c>
      <x:c r="B123" s="15" t="str">
        <x:v>亚马孙药木巡航</x:v>
      </x:c>
      <x:c r="C123" s="15" t="str">
        <x:v>返程</x:v>
      </x:c>
      <x:c r="D123" s="15" t="str">
        <x:v>G101</x:v>
      </x:c>
      <x:c r="E123" s="15" t="str">
        <x:v>药草</x:v>
      </x:c>
      <x:c r="F123" s="15" t="str">
        <x:v>P106</x:v>
      </x:c>
      <x:c r="G123" s="15" t="str">
        <x:v>贝伦</x:v>
      </x:c>
      <x:c r="H123" s="30" t="n">
        <x:v>3</x:v>
      </x:c>
      <x:c r="I123" s="30" t="n">
        <x:v>130</x:v>
      </x:c>
      <x:c r="J123" s="15" t="str">
        <x:v>本港生产/腹地集散/港内加工</x:v>
      </x:c>
    </x:row>
    <x:row r="124" ht="31" customHeight="1">
      <x:c r="A124" s="13" t="str">
        <x:v>RT20</x:v>
      </x:c>
      <x:c r="B124" s="13" t="str">
        <x:v>亚马孙药木巡航</x:v>
      </x:c>
      <x:c r="C124" s="13" t="str">
        <x:v>返程</x:v>
      </x:c>
      <x:c r="D124" s="13" t="str">
        <x:v>G110</x:v>
      </x:c>
      <x:c r="E124" s="13" t="str">
        <x:v>硬木</x:v>
      </x:c>
      <x:c r="F124" s="13" t="str">
        <x:v>P106</x:v>
      </x:c>
      <x:c r="G124" s="13" t="str">
        <x:v>贝伦</x:v>
      </x:c>
      <x:c r="H124" s="27" t="n">
        <x:v>1</x:v>
      </x:c>
      <x:c r="I124" s="27" t="n">
        <x:v>135</x:v>
      </x:c>
      <x:c r="J124" s="13" t="str">
        <x:v>本港生产/腹地集散/港内加工</x:v>
      </x:c>
    </x:row>
    <x:row r="125" ht="31" customHeight="1">
      <x:c r="A125" s="15" t="str">
        <x:v>RT20</x:v>
      </x:c>
      <x:c r="B125" s="15" t="str">
        <x:v>亚马孙药木巡航</x:v>
      </x:c>
      <x:c r="C125" s="15" t="str">
        <x:v>返程</x:v>
      </x:c>
      <x:c r="D125" s="15" t="str">
        <x:v>G022</x:v>
      </x:c>
      <x:c r="E125" s="15" t="str">
        <x:v>可可</x:v>
      </x:c>
      <x:c r="F125" s="15" t="str">
        <x:v>P106</x:v>
      </x:c>
      <x:c r="G125" s="15" t="str">
        <x:v>贝伦</x:v>
      </x:c>
      <x:c r="H125" s="30" t="n">
        <x:v>1</x:v>
      </x:c>
      <x:c r="I125" s="30" t="n">
        <x:v>225</x:v>
      </x:c>
      <x:c r="J125" s="15" t="str">
        <x:v>本港生产/腹地集散/港内加工</x:v>
      </x:c>
    </x:row>
    <x:row r="126" ht="31" customHeight="1">
      <x:c r="A126" s="13" t="str">
        <x:v>RT21</x:v>
      </x:c>
      <x:c r="B126" s="13" t="str">
        <x:v>南端风暴邮路</x:v>
      </x:c>
      <x:c r="C126" s="13" t="str">
        <x:v>去程</x:v>
      </x:c>
      <x:c r="D126" s="13" t="str">
        <x:v>G011</x:v>
      </x:c>
      <x:c r="E126" s="13" t="str">
        <x:v>砂糖</x:v>
      </x:c>
      <x:c r="F126" s="13" t="str">
        <x:v>P108</x:v>
      </x:c>
      <x:c r="G126" s="13" t="str">
        <x:v>里约热内卢</x:v>
      </x:c>
      <x:c r="H126" s="27" t="n">
        <x:v>0</x:v>
      </x:c>
      <x:c r="I126" s="27" t="n">
        <x:v>140</x:v>
      </x:c>
      <x:c r="J126" s="13" t="str">
        <x:v>本港生产/腹地集散/港内加工</x:v>
      </x:c>
    </x:row>
    <x:row r="127" ht="31" customHeight="1">
      <x:c r="A127" s="15" t="str">
        <x:v>RT21</x:v>
      </x:c>
      <x:c r="B127" s="15" t="str">
        <x:v>南端风暴邮路</x:v>
      </x:c>
      <x:c r="C127" s="15" t="str">
        <x:v>去程</x:v>
      </x:c>
      <x:c r="D127" s="15" t="str">
        <x:v>G079</x:v>
      </x:c>
      <x:c r="E127" s="15" t="str">
        <x:v>皮革</x:v>
      </x:c>
      <x:c r="F127" s="15" t="str">
        <x:v>P108</x:v>
      </x:c>
      <x:c r="G127" s="15" t="str">
        <x:v>里约热内卢</x:v>
      </x:c>
      <x:c r="H127" s="30" t="n">
        <x:v>1</x:v>
      </x:c>
      <x:c r="I127" s="30" t="n">
        <x:v>110</x:v>
      </x:c>
      <x:c r="J127" s="15" t="str">
        <x:v>本港生产/腹地集散/港内加工</x:v>
      </x:c>
    </x:row>
    <x:row r="128" ht="31" customHeight="1">
      <x:c r="A128" s="13" t="str">
        <x:v>RT21</x:v>
      </x:c>
      <x:c r="B128" s="13" t="str">
        <x:v>南端风暴邮路</x:v>
      </x:c>
      <x:c r="C128" s="13" t="str">
        <x:v>去程</x:v>
      </x:c>
      <x:c r="D128" s="13" t="str">
        <x:v>G021</x:v>
      </x:c>
      <x:c r="E128" s="13" t="str">
        <x:v>咖啡</x:v>
      </x:c>
      <x:c r="F128" s="13" t="str">
        <x:v>P108</x:v>
      </x:c>
      <x:c r="G128" s="13" t="str">
        <x:v>里约热内卢</x:v>
      </x:c>
      <x:c r="H128" s="27" t="n">
        <x:v>3</x:v>
      </x:c>
      <x:c r="I128" s="27" t="n">
        <x:v>240</x:v>
      </x:c>
      <x:c r="J128" s="13" t="str">
        <x:v>本港生产/腹地集散/港内加工</x:v>
      </x:c>
    </x:row>
    <x:row r="129" ht="31" customHeight="1">
      <x:c r="A129" s="15" t="str">
        <x:v>RT21</x:v>
      </x:c>
      <x:c r="B129" s="15" t="str">
        <x:v>南端风暴邮路</x:v>
      </x:c>
      <x:c r="C129" s="15" t="str">
        <x:v>返程</x:v>
      </x:c>
      <x:c r="D129" s="15" t="str">
        <x:v>G062</x:v>
      </x:c>
      <x:c r="E129" s="15" t="str">
        <x:v>白银</x:v>
      </x:c>
      <x:c r="F129" s="15" t="str">
        <x:v>P112</x:v>
      </x:c>
      <x:c r="G129" s="15" t="str">
        <x:v>卡亚俄</x:v>
      </x:c>
      <x:c r="H129" s="30" t="n">
        <x:v>2</x:v>
      </x:c>
      <x:c r="I129" s="30" t="n">
        <x:v>850</x:v>
      </x:c>
      <x:c r="J129" s="15" t="str">
        <x:v>本港生产/腹地集散/港内加工</x:v>
      </x:c>
    </x:row>
    <x:row r="130" ht="31" customHeight="1">
      <x:c r="A130" s="13" t="str">
        <x:v>RT21</x:v>
      </x:c>
      <x:c r="B130" s="13" t="str">
        <x:v>南端风暴邮路</x:v>
      </x:c>
      <x:c r="C130" s="13" t="str">
        <x:v>返程</x:v>
      </x:c>
      <x:c r="D130" s="13" t="str">
        <x:v>G039</x:v>
      </x:c>
      <x:c r="E130" s="13" t="str">
        <x:v>羊毛</x:v>
      </x:c>
      <x:c r="F130" s="13" t="str">
        <x:v>P112</x:v>
      </x:c>
      <x:c r="G130" s="13" t="str">
        <x:v>卡亚俄</x:v>
      </x:c>
      <x:c r="H130" s="27" t="n">
        <x:v>1</x:v>
      </x:c>
      <x:c r="I130" s="27" t="n">
        <x:v>100</x:v>
      </x:c>
      <x:c r="J130" s="13" t="str">
        <x:v>本港生产/腹地集散/港内加工</x:v>
      </x:c>
    </x:row>
    <x:row r="131" ht="31" customHeight="1">
      <x:c r="A131" s="15" t="str">
        <x:v>RT21</x:v>
      </x:c>
      <x:c r="B131" s="15" t="str">
        <x:v>南端风暴邮路</x:v>
      </x:c>
      <x:c r="C131" s="15" t="str">
        <x:v>返程</x:v>
      </x:c>
      <x:c r="D131" s="15" t="str">
        <x:v>SP111</x:v>
      </x:c>
      <x:c r="E131" s="15" t="str">
        <x:v>安第斯风弦铜铃</x:v>
      </x:c>
      <x:c r="F131" s="15" t="str">
        <x:v>P111</x:v>
      </x:c>
      <x:c r="G131" s="15" t="str">
        <x:v>瓦尔帕莱索</x:v>
      </x:c>
      <x:c r="H131" s="30" t="n">
        <x:v>3</x:v>
      </x:c>
      <x:c r="I131" s="30" t="n">
        <x:v>750</x:v>
      </x:c>
      <x:c r="J131" s="15" t="str">
        <x:v>港口独占原创工坊特产</x:v>
      </x:c>
    </x:row>
    <x:row r="132" ht="31" customHeight="1">
      <x:c r="A132" s="13" t="str">
        <x:v>RT22</x:v>
      </x:c>
      <x:c r="B132" s="13" t="str">
        <x:v>帝汶与新月湾</x:v>
      </x:c>
      <x:c r="C132" s="13" t="str">
        <x:v>去程</x:v>
      </x:c>
      <x:c r="D132" s="13" t="str">
        <x:v>SP075</x:v>
      </x:c>
      <x:c r="E132" s="13" t="str">
        <x:v>南十字黑帆布</x:v>
      </x:c>
      <x:c r="F132" s="13" t="str">
        <x:v>P075</x:v>
      </x:c>
      <x:c r="G132" s="13" t="str">
        <x:v>望加锡</x:v>
      </x:c>
      <x:c r="H132" s="27" t="n">
        <x:v>3</x:v>
      </x:c>
      <x:c r="I132" s="27" t="n">
        <x:v>560</x:v>
      </x:c>
      <x:c r="J132" s="13" t="str">
        <x:v>港口独占原创工坊特产</x:v>
      </x:c>
    </x:row>
    <x:row r="133" ht="31" customHeight="1">
      <x:c r="A133" s="15" t="str">
        <x:v>RT22</x:v>
      </x:c>
      <x:c r="B133" s="15" t="str">
        <x:v>帝汶与新月湾</x:v>
      </x:c>
      <x:c r="C133" s="15" t="str">
        <x:v>去程</x:v>
      </x:c>
      <x:c r="D133" s="15" t="str">
        <x:v>G004</x:v>
      </x:c>
      <x:c r="E133" s="15" t="str">
        <x:v>稻米</x:v>
      </x:c>
      <x:c r="F133" s="15" t="str">
        <x:v>P075</x:v>
      </x:c>
      <x:c r="G133" s="15" t="str">
        <x:v>望加锡</x:v>
      </x:c>
      <x:c r="H133" s="30" t="n">
        <x:v>0</x:v>
      </x:c>
      <x:c r="I133" s="30" t="n">
        <x:v>55</x:v>
      </x:c>
      <x:c r="J133" s="15" t="str">
        <x:v>本港生产/腹地集散/港内加工</x:v>
      </x:c>
    </x:row>
    <x:row r="134" ht="31" customHeight="1">
      <x:c r="A134" s="13" t="str">
        <x:v>RT22</x:v>
      </x:c>
      <x:c r="B134" s="13" t="str">
        <x:v>帝汶与新月湾</x:v>
      </x:c>
      <x:c r="C134" s="13" t="str">
        <x:v>去程</x:v>
      </x:c>
      <x:c r="D134" s="13" t="str">
        <x:v>G096</x:v>
      </x:c>
      <x:c r="E134" s="13" t="str">
        <x:v>贝壳工艺品</x:v>
      </x:c>
      <x:c r="F134" s="13" t="str">
        <x:v>P075</x:v>
      </x:c>
      <x:c r="G134" s="13" t="str">
        <x:v>望加锡</x:v>
      </x:c>
      <x:c r="H134" s="27" t="n">
        <x:v>5</x:v>
      </x:c>
      <x:c r="I134" s="27" t="n">
        <x:v>210</x:v>
      </x:c>
      <x:c r="J134" s="13" t="str">
        <x:v>本港生产/腹地集散/港内加工</x:v>
      </x:c>
    </x:row>
    <x:row r="135" ht="31" customHeight="1">
      <x:c r="A135" s="15" t="str">
        <x:v>RT22</x:v>
      </x:c>
      <x:c r="B135" s="15" t="str">
        <x:v>帝汶与新月湾</x:v>
      </x:c>
      <x:c r="C135" s="15" t="str">
        <x:v>返程</x:v>
      </x:c>
      <x:c r="D135" s="15" t="str">
        <x:v>G054</x:v>
      </x:c>
      <x:c r="E135" s="15" t="str">
        <x:v>檀香木</x:v>
      </x:c>
      <x:c r="F135" s="15" t="str">
        <x:v>P114</x:v>
      </x:c>
      <x:c r="G135" s="15" t="str">
        <x:v>古邦</x:v>
      </x:c>
      <x:c r="H135" s="30" t="n">
        <x:v>2</x:v>
      </x:c>
      <x:c r="I135" s="30" t="n">
        <x:v>480</x:v>
      </x:c>
      <x:c r="J135" s="15" t="str">
        <x:v>本港生产/腹地集散/港内加工</x:v>
      </x:c>
    </x:row>
    <x:row r="136" ht="31" customHeight="1">
      <x:c r="A136" s="13" t="str">
        <x:v>RT22</x:v>
      </x:c>
      <x:c r="B136" s="13" t="str">
        <x:v>帝汶与新月湾</x:v>
      </x:c>
      <x:c r="C136" s="13" t="str">
        <x:v>返程</x:v>
      </x:c>
      <x:c r="D136" s="13" t="str">
        <x:v>G110</x:v>
      </x:c>
      <x:c r="E136" s="13" t="str">
        <x:v>硬木</x:v>
      </x:c>
      <x:c r="F136" s="13" t="str">
        <x:v>P115</x:v>
      </x:c>
      <x:c r="G136" s="13" t="str">
        <x:v>杰克逊湾</x:v>
      </x:c>
      <x:c r="H136" s="27" t="n">
        <x:v>1</x:v>
      </x:c>
      <x:c r="I136" s="27" t="n">
        <x:v>135</x:v>
      </x:c>
      <x:c r="J136" s="13" t="str">
        <x:v>本港生产/腹地集散/港内加工</x:v>
      </x:c>
    </x:row>
    <x:row r="137" ht="31" customHeight="1">
      <x:c r="A137" s="15" t="str">
        <x:v>RT22</x:v>
      </x:c>
      <x:c r="B137" s="15" t="str">
        <x:v>帝汶与新月湾</x:v>
      </x:c>
      <x:c r="C137" s="15" t="str">
        <x:v>返程</x:v>
      </x:c>
      <x:c r="D137" s="15" t="str">
        <x:v>SP115</x:v>
      </x:c>
      <x:c r="E137" s="15" t="str">
        <x:v>桉影赤金树脂漆</x:v>
      </x:c>
      <x:c r="F137" s="15" t="str">
        <x:v>P115</x:v>
      </x:c>
      <x:c r="G137" s="15" t="str">
        <x:v>杰克逊湾</x:v>
      </x:c>
      <x:c r="H137" s="30" t="n">
        <x:v>3</x:v>
      </x:c>
      <x:c r="I137" s="30" t="n">
        <x:v>610</x:v>
      </x:c>
      <x:c r="J137" s="15" t="str">
        <x:v>港口独占原创工坊特产</x:v>
      </x:c>
    </x:row>
    <x:row r="138" ht="31" customHeight="1">
      <x:c r="A138" s="13" t="str">
        <x:v>RT23</x:v>
      </x:c>
      <x:c r="B138" s="13" t="str">
        <x:v>借星而行</x:v>
      </x:c>
      <x:c r="C138" s="13" t="str">
        <x:v>去程</x:v>
      </x:c>
      <x:c r="D138" s="13" t="str">
        <x:v>G068</x:v>
      </x:c>
      <x:c r="E138" s="13" t="str">
        <x:v>铁工具</x:v>
      </x:c>
      <x:c r="F138" s="13" t="str">
        <x:v>P115</x:v>
      </x:c>
      <x:c r="G138" s="13" t="str">
        <x:v>杰克逊湾</x:v>
      </x:c>
      <x:c r="H138" s="27" t="n">
        <x:v>4</x:v>
      </x:c>
      <x:c r="I138" s="27" t="n">
        <x:v>190</x:v>
      </x:c>
      <x:c r="J138" s="13" t="str">
        <x:v>进口/区域转口</x:v>
      </x:c>
    </x:row>
    <x:row r="139" ht="31" customHeight="1">
      <x:c r="A139" s="15" t="str">
        <x:v>RT23</x:v>
      </x:c>
      <x:c r="B139" s="15" t="str">
        <x:v>借星而行</x:v>
      </x:c>
      <x:c r="C139" s="15" t="str">
        <x:v>去程</x:v>
      </x:c>
      <x:c r="D139" s="15" t="str">
        <x:v>G043</x:v>
      </x:c>
      <x:c r="E139" s="15" t="str">
        <x:v>棉布</x:v>
      </x:c>
      <x:c r="F139" s="15" t="str">
        <x:v>P115</x:v>
      </x:c>
      <x:c r="G139" s="15" t="str">
        <x:v>杰克逊湾</x:v>
      </x:c>
      <x:c r="H139" s="30" t="n">
        <x:v>3</x:v>
      </x:c>
      <x:c r="I139" s="30" t="n">
        <x:v>160</x:v>
      </x:c>
      <x:c r="J139" s="15" t="str">
        <x:v>进口/区域转口</x:v>
      </x:c>
    </x:row>
    <x:row r="140" ht="31" customHeight="1">
      <x:c r="A140" s="13" t="str">
        <x:v>RT23</x:v>
      </x:c>
      <x:c r="B140" s="13" t="str">
        <x:v>借星而行</x:v>
      </x:c>
      <x:c r="C140" s="13" t="str">
        <x:v>去程</x:v>
      </x:c>
      <x:c r="D140" s="13" t="str">
        <x:v>G015</x:v>
      </x:c>
      <x:c r="E140" s="13" t="str">
        <x:v>咸鱼</x:v>
      </x:c>
      <x:c r="F140" s="13" t="str">
        <x:v>P115</x:v>
      </x:c>
      <x:c r="G140" s="13" t="str">
        <x:v>杰克逊湾</x:v>
      </x:c>
      <x:c r="H140" s="27" t="n">
        <x:v>0</x:v>
      </x:c>
      <x:c r="I140" s="27" t="n">
        <x:v>65</x:v>
      </x:c>
      <x:c r="J140" s="13" t="str">
        <x:v>本港生产/腹地集散/港内加工</x:v>
      </x:c>
    </x:row>
    <x:row r="141" ht="31" customHeight="1">
      <x:c r="A141" s="15" t="str">
        <x:v>RT23</x:v>
      </x:c>
      <x:c r="B141" s="15" t="str">
        <x:v>借星而行</x:v>
      </x:c>
      <x:c r="C141" s="15" t="str">
        <x:v>返程</x:v>
      </x:c>
      <x:c r="D141" s="15" t="str">
        <x:v>G109</x:v>
      </x:c>
      <x:c r="E141" s="15" t="str">
        <x:v>树皮布</x:v>
      </x:c>
      <x:c r="F141" s="15" t="str">
        <x:v>P120</x:v>
      </x:c>
      <x:c r="G141" s="15" t="str">
        <x:v>汉加罗阿</x:v>
      </x:c>
      <x:c r="H141" s="30" t="n">
        <x:v>1</x:v>
      </x:c>
      <x:c r="I141" s="30" t="n">
        <x:v>195</x:v>
      </x:c>
      <x:c r="J141" s="15" t="str">
        <x:v>本港生产/腹地集散/港内加工</x:v>
      </x:c>
    </x:row>
    <x:row r="142" ht="31" customHeight="1">
      <x:c r="A142" s="13" t="str">
        <x:v>RT23</x:v>
      </x:c>
      <x:c r="B142" s="13" t="str">
        <x:v>借星而行</x:v>
      </x:c>
      <x:c r="C142" s="13" t="str">
        <x:v>返程</x:v>
      </x:c>
      <x:c r="D142" s="13" t="str">
        <x:v>G096</x:v>
      </x:c>
      <x:c r="E142" s="13" t="str">
        <x:v>贝壳工艺品</x:v>
      </x:c>
      <x:c r="F142" s="13" t="str">
        <x:v>P120</x:v>
      </x:c>
      <x:c r="G142" s="13" t="str">
        <x:v>汉加罗阿</x:v>
      </x:c>
      <x:c r="H142" s="27" t="n">
        <x:v>5</x:v>
      </x:c>
      <x:c r="I142" s="27" t="n">
        <x:v>210</x:v>
      </x:c>
      <x:c r="J142" s="13" t="str">
        <x:v>本港生产/腹地集散/港内加工</x:v>
      </x:c>
    </x:row>
    <x:row r="143" ht="31" customHeight="1">
      <x:c r="A143" s="15" t="str">
        <x:v>RT23</x:v>
      </x:c>
      <x:c r="B143" s="15" t="str">
        <x:v>借星而行</x:v>
      </x:c>
      <x:c r="C143" s="15" t="str">
        <x:v>返程</x:v>
      </x:c>
      <x:c r="D143" s="15" t="str">
        <x:v>SP120</x:v>
      </x:c>
      <x:c r="E143" s="15" t="str">
        <x:v>黑海鸟纹石印</x:v>
      </x:c>
      <x:c r="F143" s="15" t="str">
        <x:v>P120</x:v>
      </x:c>
      <x:c r="G143" s="15" t="str">
        <x:v>汉加罗阿</x:v>
      </x:c>
      <x:c r="H143" s="30" t="n">
        <x:v>3</x:v>
      </x:c>
      <x:c r="I143" s="30" t="n">
        <x:v>940</x:v>
      </x:c>
      <x:c r="J143" s="15" t="str">
        <x:v>港口独占原创工坊特产</x:v>
      </x:c>
    </x:row>
    <x:row r="144" ht="31" customHeight="1">
      <x:c r="A144" s="13" t="str">
        <x:v>RT24</x:v>
      </x:c>
      <x:c r="B144" s="13" t="str">
        <x:v>北太平洋回音</x:v>
      </x:c>
      <x:c r="C144" s="13" t="str">
        <x:v>去程</x:v>
      </x:c>
      <x:c r="D144" s="13" t="str">
        <x:v>G070</x:v>
      </x:c>
      <x:c r="E144" s="13" t="str">
        <x:v>瓷器</x:v>
      </x:c>
      <x:c r="F144" s="13" t="str">
        <x:v>P089</x:v>
      </x:c>
      <x:c r="G144" s="13" t="str">
        <x:v>长崎</x:v>
      </x:c>
      <x:c r="H144" s="27" t="n">
        <x:v>2</x:v>
      </x:c>
      <x:c r="I144" s="27" t="n">
        <x:v>370</x:v>
      </x:c>
      <x:c r="J144" s="13" t="str">
        <x:v>本港生产/腹地集散/港内加工</x:v>
      </x:c>
    </x:row>
    <x:row r="145" ht="31" customHeight="1">
      <x:c r="A145" s="15" t="str">
        <x:v>RT24</x:v>
      </x:c>
      <x:c r="B145" s="15" t="str">
        <x:v>北太平洋回音</x:v>
      </x:c>
      <x:c r="C145" s="15" t="str">
        <x:v>去程</x:v>
      </x:c>
      <x:c r="D145" s="15" t="str">
        <x:v>G020</x:v>
      </x:c>
      <x:c r="E145" s="15" t="str">
        <x:v>茶叶</x:v>
      </x:c>
      <x:c r="F145" s="15" t="str">
        <x:v>P089</x:v>
      </x:c>
      <x:c r="G145" s="15" t="str">
        <x:v>长崎</x:v>
      </x:c>
      <x:c r="H145" s="30" t="n">
        <x:v>1</x:v>
      </x:c>
      <x:c r="I145" s="30" t="n">
        <x:v>210</x:v>
      </x:c>
      <x:c r="J145" s="15" t="str">
        <x:v>本港生产/腹地集散/港内加工</x:v>
      </x:c>
    </x:row>
    <x:row r="146" ht="31" customHeight="1">
      <x:c r="A146" s="13" t="str">
        <x:v>RT24</x:v>
      </x:c>
      <x:c r="B146" s="13" t="str">
        <x:v>北太平洋回音</x:v>
      </x:c>
      <x:c r="C146" s="13" t="str">
        <x:v>去程</x:v>
      </x:c>
      <x:c r="D146" s="13" t="str">
        <x:v>G071</x:v>
      </x:c>
      <x:c r="E146" s="13" t="str">
        <x:v>玻璃器皿</x:v>
      </x:c>
      <x:c r="F146" s="13" t="str">
        <x:v>P089</x:v>
      </x:c>
      <x:c r="G146" s="13" t="str">
        <x:v>长崎</x:v>
      </x:c>
      <x:c r="H146" s="27" t="n">
        <x:v>4</x:v>
      </x:c>
      <x:c r="I146" s="27" t="n">
        <x:v>310</x:v>
      </x:c>
      <x:c r="J146" s="13" t="str">
        <x:v>本港生产/腹地集散/港内加工</x:v>
      </x:c>
    </x:row>
    <x:row r="147" ht="31" customHeight="1">
      <x:c r="A147" s="15" t="str">
        <x:v>RT24</x:v>
      </x:c>
      <x:c r="B147" s="15" t="str">
        <x:v>北太平洋回音</x:v>
      </x:c>
      <x:c r="C147" s="15" t="str">
        <x:v>返程</x:v>
      </x:c>
      <x:c r="D147" s="15" t="str">
        <x:v>G095</x:v>
      </x:c>
      <x:c r="E147" s="15" t="str">
        <x:v>干椰肉</x:v>
      </x:c>
      <x:c r="F147" s="15" t="str">
        <x:v>P119</x:v>
      </x:c>
      <x:c r="G147" s="15" t="str">
        <x:v>哈加特纳</x:v>
      </x:c>
      <x:c r="H147" s="30" t="n">
        <x:v>1</x:v>
      </x:c>
      <x:c r="I147" s="30" t="n">
        <x:v>60</x:v>
      </x:c>
      <x:c r="J147" s="15" t="str">
        <x:v>本港生产/腹地集散/港内加工</x:v>
      </x:c>
    </x:row>
    <x:row r="148" ht="31" customHeight="1">
      <x:c r="A148" s="13" t="str">
        <x:v>RT24</x:v>
      </x:c>
      <x:c r="B148" s="13" t="str">
        <x:v>北太平洋回音</x:v>
      </x:c>
      <x:c r="C148" s="13" t="str">
        <x:v>返程</x:v>
      </x:c>
      <x:c r="D148" s="13" t="str">
        <x:v>G109</x:v>
      </x:c>
      <x:c r="E148" s="13" t="str">
        <x:v>树皮布</x:v>
      </x:c>
      <x:c r="F148" s="13" t="str">
        <x:v>P119</x:v>
      </x:c>
      <x:c r="G148" s="13" t="str">
        <x:v>哈加特纳</x:v>
      </x:c>
      <x:c r="H148" s="27" t="n">
        <x:v>3</x:v>
      </x:c>
      <x:c r="I148" s="27" t="n">
        <x:v>195</x:v>
      </x:c>
      <x:c r="J148" s="13" t="str">
        <x:v>本港生产/腹地集散/港内加工</x:v>
      </x:c>
    </x:row>
    <x:row r="149" ht="31" customHeight="1">
      <x:c r="A149" s="16" t="str">
        <x:v>RT24</x:v>
      </x:c>
      <x:c r="B149" s="16" t="str">
        <x:v>北太平洋回音</x:v>
      </x:c>
      <x:c r="C149" s="16" t="str">
        <x:v>返程</x:v>
      </x:c>
      <x:c r="D149" s="16" t="str">
        <x:v>G096</x:v>
      </x:c>
      <x:c r="E149" s="16" t="str">
        <x:v>贝壳工艺品</x:v>
      </x:c>
      <x:c r="F149" s="16" t="str">
        <x:v>P119</x:v>
      </x:c>
      <x:c r="G149" s="16" t="str">
        <x:v>哈加特纳</x:v>
      </x:c>
      <x:c r="H149" s="32" t="n">
        <x:v>5</x:v>
      </x:c>
      <x:c r="I149" s="32" t="n">
        <x:v>210</x:v>
      </x:c>
      <x:c r="J149" s="16" t="str">
        <x:v>本港生产/腹地集散/港内加工</x:v>
      </x:c>
    </x:row>
    <x:row r="150">
      <x:c r="A150" s="2"/>
      <x:c r="B150" s="2"/>
      <x:c r="C150" s="2"/>
      <x:c r="D150" s="2"/>
      <x:c r="E150" s="2"/>
      <x:c r="F150" s="2"/>
      <x:c r="G150" s="2"/>
      <x:c r="H150" s="2"/>
      <x:c r="I150" s="2"/>
      <x:c r="J150" s="2"/>
    </x:row>
  </x:sheetData>
  <x:pageMargins left="0.7" right="0.7" top="0.75" bottom="0.75" header="0.3" footer="0.3"/>
  <x:tableParts count="1">
    <x:tablePart xmlns:r="http://schemas.openxmlformats.org/officeDocument/2006/relationships" r:id="Rad0159b73aca4555"/>
  </x:tableParts>
</x:worksheet>
</file>

<file path=xl/worksheets/sheet13.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28" hidden="0" customWidth="1"/>
    <x:col min="3" max="3" width="40" hidden="0" customWidth="1"/>
    <x:col min="4" max="4" width="40" hidden="0" customWidth="1"/>
    <x:col min="5" max="5" width="20" hidden="0" customWidth="1"/>
    <x:col min="6" max="6" width="18" hidden="0" customWidth="1"/>
    <x:col min="7" max="7" width="45" hidden="0" customWidth="1"/>
    <x:col min="8" max="8" width="62" hidden="0" customWidth="1"/>
    <x:col min="9" max="9" width="64" hidden="0" customWidth="1"/>
  </x:cols>
  <x:sheetData>
    <x:row r="1">
      <x:c r="A1" s="2"/>
      <x:c r="B1" s="2"/>
      <x:c r="C1" s="2"/>
      <x:c r="D1" s="2"/>
      <x:c r="E1" s="2"/>
      <x:c r="F1" s="2"/>
      <x:c r="G1" s="2"/>
      <x:c r="H1" s="2"/>
      <x:c r="I1" s="2"/>
    </x:row>
    <x:row r="2" ht="28" customHeight="1">
      <x:c r="A2" s="3" t="str">
        <x:v>市场、季节与事件需求</x:v>
      </x:c>
      <x:c r="B2" s="2"/>
      <x:c r="C2" s="2"/>
      <x:c r="D2" s="2"/>
      <x:c r="E2" s="2"/>
      <x:c r="F2" s="2"/>
      <x:c r="G2" s="2"/>
      <x:c r="H2" s="2"/>
      <x:c r="I2" s="2"/>
    </x:row>
    <x:row r="3">
      <x:c r="A3" s="2"/>
      <x:c r="B3" s="2"/>
      <x:c r="C3" s="2"/>
      <x:c r="D3" s="2"/>
      <x:c r="E3" s="2"/>
      <x:c r="F3" s="2"/>
      <x:c r="G3" s="2"/>
      <x:c r="H3" s="2"/>
      <x:c r="I3" s="2"/>
    </x:row>
    <x:row r="4">
      <x:c r="A4" s="2"/>
      <x:c r="B4" s="2"/>
      <x:c r="C4" s="2"/>
      <x:c r="D4" s="2"/>
      <x:c r="E4" s="2"/>
      <x:c r="F4" s="2"/>
      <x:c r="G4" s="2"/>
      <x:c r="H4" s="2"/>
      <x:c r="I4" s="2"/>
    </x:row>
    <x:row r="5" ht="34" customHeight="1">
      <x:c r="A5" s="10" t="str">
        <x:v>编号</x:v>
      </x:c>
      <x:c r="B5" s="10" t="str">
        <x:v>事件</x:v>
      </x:c>
      <x:c r="C5" s="10" t="str">
        <x:v>地区或港口</x:v>
      </x:c>
      <x:c r="D5" s="10" t="str">
        <x:v>影响商品分类</x:v>
      </x:c>
      <x:c r="E5" s="10" t="str">
        <x:v>E或T系数</x:v>
      </x:c>
      <x:c r="F5" s="10" t="str">
        <x:v>持续游戏日</x:v>
      </x:c>
      <x:c r="G5" s="10" t="str">
        <x:v>触发</x:v>
      </x:c>
      <x:c r="H5" s="10" t="str">
        <x:v>玩家机会</x:v>
      </x:c>
      <x:c r="I5" s="10" t="str">
        <x:v>解除或变化</x:v>
      </x:c>
    </x:row>
    <x:row r="6" ht="31" customHeight="1">
      <x:c r="A6" s="12" t="str">
        <x:v>EV01</x:v>
      </x:c>
      <x:c r="B6" s="12" t="str">
        <x:v>北海早冬</x:v>
      </x:c>
      <x:c r="C6" s="12" t="str">
        <x:v>R01</x:v>
      </x:c>
      <x:c r="D6" s="12" t="str">
        <x:v>食品、木材</x:v>
      </x:c>
      <x:c r="E6" s="12" t="str">
        <x:v>1.30</x:v>
      </x:c>
      <x:c r="F6" s="12" t="str">
        <x:v>24</x:v>
      </x:c>
      <x:c r="G6" s="12" t="str">
        <x:v>10—12月季节事件</x:v>
      </x:c>
      <x:c r="H6" s="12" t="str">
        <x:v>运送干鱼、燃材、毛织物</x:v>
      </x:c>
      <x:c r="I6" s="12" t="str">
        <x:v>冬季补给达到目标后回归1</x:v>
      </x:c>
    </x:row>
    <x:row r="7" ht="31" customHeight="1">
      <x:c r="A7" s="15" t="str">
        <x:v>EV02</x:v>
      </x:c>
      <x:c r="B7" s="15" t="str">
        <x:v>丰收船队</x:v>
      </x:c>
      <x:c r="C7" s="15" t="str">
        <x:v>R02</x:v>
      </x:c>
      <x:c r="D7" s="15" t="str">
        <x:v>粮食、酒类</x:v>
      </x:c>
      <x:c r="E7" s="15" t="str">
        <x:v>0.80</x:v>
      </x:c>
      <x:c r="F7" s="15" t="str">
        <x:v>18</x:v>
      </x:c>
      <x:c r="G7" s="15" t="str">
        <x:v>秋季粮船到港</x:v>
      </x:c>
      <x:c r="H7" s="15" t="str">
        <x:v>低价采购并装返程酒货</x:v>
      </x:c>
      <x:c r="I7" s="15" t="str">
        <x:v>船队库存售完或18日结束</x:v>
      </x:c>
    </x:row>
    <x:row r="8" ht="31" customHeight="1">
      <x:c r="A8" s="13" t="str">
        <x:v>EV03</x:v>
      </x:c>
      <x:c r="B8" s="13" t="str">
        <x:v>玻璃匠庆典</x:v>
      </x:c>
      <x:c r="C8" s="13" t="str">
        <x:v>威尼斯</x:v>
      </x:c>
      <x:c r="D8" s="13" t="str">
        <x:v>工艺品、金属</x:v>
      </x:c>
      <x:c r="E8" s="13" t="str">
        <x:v>1.25</x:v>
      </x:c>
      <x:c r="F8" s="13" t="str">
        <x:v>12</x:v>
      </x:c>
      <x:c r="G8" s="13" t="str">
        <x:v>玩家修复窑炉或当地节期</x:v>
      </x:c>
      <x:c r="H8" s="13" t="str">
        <x:v>交铜料换玻璃特产订单</x:v>
      </x:c>
      <x:c r="I8" s="13" t="str">
        <x:v>完成庆典订单解锁工匠会见</x:v>
      </x:c>
    </x:row>
    <x:row r="9" ht="31" customHeight="1">
      <x:c r="A9" s="15" t="str">
        <x:v>EV04</x:v>
      </x:c>
      <x:c r="B9" s="15" t="str">
        <x:v>大教堂彩窗订单</x:v>
      </x:c>
      <x:c r="C9" s="15" t="str">
        <x:v>R02、R03</x:v>
      </x:c>
      <x:c r="D9" s="15" t="str">
        <x:v>工艺品、染料</x:v>
      </x:c>
      <x:c r="E9" s="15" t="str">
        <x:v>1.40</x:v>
      </x:c>
      <x:c r="F9" s="15" t="str">
        <x:v>20</x:v>
      </x:c>
      <x:c r="G9" s="15" t="str">
        <x:v>城市D3后</x:v>
      </x:c>
      <x:c r="H9" s="15" t="str">
        <x:v>跨海送玻璃与颜料</x:v>
      </x:c>
      <x:c r="I9" s="15" t="str">
        <x:v>交货留下可见建筑变化</x:v>
      </x:c>
    </x:row>
    <x:row r="10" ht="31" customHeight="1">
      <x:c r="A10" s="13" t="str">
        <x:v>EV05</x:v>
      </x:c>
      <x:c r="B10" s="13" t="str">
        <x:v>靛蓝染坊开张</x:v>
      </x:c>
      <x:c r="C10" s="13" t="str">
        <x:v>R04</x:v>
      </x:c>
      <x:c r="D10" s="13" t="str">
        <x:v>纤维、染料</x:v>
      </x:c>
      <x:c r="E10" s="13" t="str">
        <x:v>1.30</x:v>
      </x:c>
      <x:c r="F10" s="13" t="str">
        <x:v>14</x:v>
      </x:c>
      <x:c r="G10" s="13" t="str">
        <x:v>D2建设完成</x:v>
      </x:c>
      <x:c r="H10" s="13" t="str">
        <x:v>供棉花换当地染布</x:v>
      </x:c>
      <x:c r="I10" s="13" t="str">
        <x:v>形成长期采购合同</x:v>
      </x:c>
    </x:row>
    <x:row r="11" ht="31" customHeight="1">
      <x:c r="A11" s="15" t="str">
        <x:v>EV06</x:v>
      </x:c>
      <x:c r="B11" s="15" t="str">
        <x:v>干季河口浅滩</x:v>
      </x:c>
      <x:c r="C11" s="15" t="str">
        <x:v>R04</x:v>
      </x:c>
      <x:c r="D11" s="15" t="str">
        <x:v>粮食、食品</x:v>
      </x:c>
      <x:c r="E11" s="15" t="str">
        <x:v>1.20</x:v>
      </x:c>
      <x:c r="F11" s="15" t="str">
        <x:v>22</x:v>
      </x:c>
      <x:c r="G11" s="15" t="str">
        <x:v>干季且上游航运减少</x:v>
      </x:c>
      <x:c r="H11" s="15" t="str">
        <x:v>浅吃水船独占短期航路优势</x:v>
      </x:c>
      <x:c r="I11" s="15" t="str">
        <x:v>雨季恢复供应</x:v>
      </x:c>
    </x:row>
    <x:row r="12" ht="31" customHeight="1">
      <x:c r="A12" s="13" t="str">
        <x:v>EV07</x:v>
      </x:c>
      <x:c r="B12" s="13" t="str">
        <x:v>季风首航</x:v>
      </x:c>
      <x:c r="C12" s="13" t="str">
        <x:v>R05、R06、R07</x:v>
      </x:c>
      <x:c r="D12" s="13" t="str">
        <x:v>香辛料、织物</x:v>
      </x:c>
      <x:c r="E12" s="13" t="str">
        <x:v>0.88</x:v>
      </x:c>
      <x:c r="F12" s="13" t="str">
        <x:v>16</x:v>
      </x:c>
      <x:c r="G12" s="13" t="str">
        <x:v>顺季风商队集中抵达</x:v>
      </x:c>
      <x:c r="H12" s="13" t="str">
        <x:v>采买后转运内海</x:v>
      </x:c>
      <x:c r="I12" s="13" t="str">
        <x:v>流量恢复后回归1</x:v>
      </x:c>
    </x:row>
    <x:row r="13" ht="31" customHeight="1">
      <x:c r="A13" s="15" t="str">
        <x:v>EV08</x:v>
      </x:c>
      <x:c r="B13" s="15" t="str">
        <x:v>咖啡诗会</x:v>
      </x:c>
      <x:c r="C13" s="15" t="str">
        <x:v>摩卡、亚丁</x:v>
      </x:c>
      <x:c r="D13" s="15" t="str">
        <x:v>嗜好品、工艺品</x:v>
      </x:c>
      <x:c r="E13" s="15" t="str">
        <x:v>1.45</x:v>
      </x:c>
      <x:c r="F13" s="15" t="str">
        <x:v>10</x:v>
      </x:c>
      <x:c r="G13" s="15" t="str">
        <x:v>地方人物支线</x:v>
      </x:c>
      <x:c r="H13" s="15" t="str">
        <x:v>带咖啡杯与精品豆</x:v>
      </x:c>
      <x:c r="I13" s="15" t="str">
        <x:v>开启船上茶会对话</x:v>
      </x:c>
    </x:row>
    <x:row r="14" ht="31" customHeight="1">
      <x:c r="A14" s="13" t="str">
        <x:v>EV09</x:v>
      </x:c>
      <x:c r="B14" s="13" t="str">
        <x:v>圣城远行潮</x:v>
      </x:c>
      <x:c r="C14" s="13" t="str">
        <x:v>吉达</x:v>
      </x:c>
      <x:c r="D14" s="13" t="str">
        <x:v>食品、织物、药材</x:v>
      </x:c>
      <x:c r="E14" s="13" t="str">
        <x:v>1.30</x:v>
      </x:c>
      <x:c r="F14" s="13" t="str">
        <x:v>21</x:v>
      </x:c>
      <x:c r="G14" s="13" t="str">
        <x:v>地方节期</x:v>
      </x:c>
      <x:c r="H14" s="13" t="str">
        <x:v>补给和运客合同</x:v>
      </x:c>
      <x:c r="I14" s="13" t="str">
        <x:v>完成护送获得地方引荐</x:v>
      </x:c>
    </x:row>
    <x:row r="15" ht="31" customHeight="1">
      <x:c r="A15" s="15" t="str">
        <x:v>EV10</x:v>
      </x:c>
      <x:c r="B15" s="15" t="str">
        <x:v>珍珠潜季</x:v>
      </x:c>
      <x:c r="C15" s="15" t="str">
        <x:v>霍尔木兹</x:v>
      </x:c>
      <x:c r="D15" s="15" t="str">
        <x:v>宝石</x:v>
      </x:c>
      <x:c r="E15" s="15" t="str">
        <x:v>0.82</x:v>
      </x:c>
      <x:c r="F15" s="15" t="str">
        <x:v>15</x:v>
      </x:c>
      <x:c r="G15" s="15" t="str">
        <x:v>平静海况连续3日</x:v>
      </x:c>
      <x:c r="H15" s="15" t="str">
        <x:v>采购珍珠并承接潜水协作</x:v>
      </x:c>
      <x:c r="I15" s="15" t="str">
        <x:v>风浪后暂停采珠</x:v>
      </x:c>
    </x:row>
    <x:row r="16" ht="31" customHeight="1">
      <x:c r="A16" s="13" t="str">
        <x:v>EV11</x:v>
      </x:c>
      <x:c r="B16" s="13" t="str">
        <x:v>棉纺机坊扩建</x:v>
      </x:c>
      <x:c r="C16" s="13" t="str">
        <x:v>苏拉特、马苏利帕特南</x:v>
      </x:c>
      <x:c r="D16" s="13" t="str">
        <x:v>金属、工业品</x:v>
      </x:c>
      <x:c r="E16" s="13" t="str">
        <x:v>1.25</x:v>
      </x:c>
      <x:c r="F16" s="13" t="str">
        <x:v>20</x:v>
      </x:c>
      <x:c r="G16" s="13" t="str">
        <x:v>发展投资D3</x:v>
      </x:c>
      <x:c r="H16" s="13" t="str">
        <x:v>工具交付换精选棉布</x:v>
      </x:c>
      <x:c r="I16" s="13" t="str">
        <x:v>增加当地weekly_supply</x:v>
      </x:c>
    </x:row>
    <x:row r="17" ht="31" customHeight="1">
      <x:c r="A17" s="15" t="str">
        <x:v>EV12</x:v>
      </x:c>
      <x:c r="B17" s="15" t="str">
        <x:v>染料船延误</x:v>
      </x:c>
      <x:c r="C17" s="15" t="str">
        <x:v>R07</x:v>
      </x:c>
      <x:c r="D17" s="15" t="str">
        <x:v>染料</x:v>
      </x:c>
      <x:c r="E17" s="15" t="str">
        <x:v>1.45</x:v>
      </x:c>
      <x:c r="F17" s="15" t="str">
        <x:v>12</x:v>
      </x:c>
      <x:c r="G17" s="15" t="str">
        <x:v>季风转向</x:v>
      </x:c>
      <x:c r="H17" s="15" t="str">
        <x:v>从邻区补足染料</x:v>
      </x:c>
      <x:c r="I17" s="15" t="str">
        <x:v>供给160单位后提前结束</x:v>
      </x:c>
    </x:row>
    <x:row r="18" ht="31" customHeight="1">
      <x:c r="A18" s="13" t="str">
        <x:v>EV13</x:v>
      </x:c>
      <x:c r="B18" s="13" t="str">
        <x:v>香料收获月</x:v>
      </x:c>
      <x:c r="C18" s="13" t="str">
        <x:v>R08</x:v>
      </x:c>
      <x:c r="D18" s="13" t="str">
        <x:v>香辛料</x:v>
      </x:c>
      <x:c r="E18" s="13" t="str">
        <x:v>0.78</x:v>
      </x:c>
      <x:c r="F18" s="13" t="str">
        <x:v>24</x:v>
      </x:c>
      <x:c r="G18" s="13" t="str">
        <x:v>当地收获季</x:v>
      </x:c>
      <x:c r="H18" s="13" t="str">
        <x:v>组成多种香料而非单一满仓</x:v>
      </x:c>
      <x:c r="I18" s="13" t="str">
        <x:v>下月回归1</x:v>
      </x:c>
    </x:row>
    <x:row r="19" ht="31" customHeight="1">
      <x:c r="A19" s="15" t="str">
        <x:v>EV14</x:v>
      </x:c>
      <x:c r="B19" s="15" t="str">
        <x:v>火山灰落港</x:v>
      </x:c>
      <x:c r="C19" s="15" t="str">
        <x:v>特尔纳特</x:v>
      </x:c>
      <x:c r="D19" s="15" t="str">
        <x:v>食品、木材、药材</x:v>
      </x:c>
      <x:c r="E19" s="15" t="str">
        <x:v>1.40</x:v>
      </x:c>
      <x:c r="F19" s="15" t="str">
        <x:v>18</x:v>
      </x:c>
      <x:c r="G19" s="15" t="str">
        <x:v>区域故事固定事件</x:v>
      </x:c>
      <x:c r="H19" s="15" t="str">
        <x:v>补给、迁港和探查火山</x:v>
      </x:c>
      <x:c r="I19" s="15" t="str">
        <x:v>支援后开启地方信任剧情</x:v>
      </x:c>
    </x:row>
    <x:row r="20" ht="31" customHeight="1">
      <x:c r="A20" s="13" t="str">
        <x:v>EV15</x:v>
      </x:c>
      <x:c r="B20" s="13" t="str">
        <x:v>雨季修船潮</x:v>
      </x:c>
      <x:c r="C20" s="13" t="str">
        <x:v>R08</x:v>
      </x:c>
      <x:c r="D20" s="13" t="str">
        <x:v>木材、工业品</x:v>
      </x:c>
      <x:c r="E20" s="13" t="str">
        <x:v>1.28</x:v>
      </x:c>
      <x:c r="F20" s="13" t="str">
        <x:v>20</x:v>
      </x:c>
      <x:c r="G20" s="13" t="str">
        <x:v>连续雨季</x:v>
      </x:c>
      <x:c r="H20" s="13" t="str">
        <x:v>送木料与树脂换船厂优先位</x:v>
      </x:c>
      <x:c r="I20" s="13" t="str">
        <x:v>天气转晴后订单减少</x:v>
      </x:c>
    </x:row>
    <x:row r="21" ht="31" customHeight="1">
      <x:c r="A21" s="15" t="str">
        <x:v>EV16</x:v>
      </x:c>
      <x:c r="B21" s="15" t="str">
        <x:v>外洋瓷器品鉴</x:v>
      </x:c>
      <x:c r="C21" s="15" t="str">
        <x:v>阿姆斯特丹、伦敦</x:v>
      </x:c>
      <x:c r="D21" s="15" t="str">
        <x:v>工艺品、奢侈品</x:v>
      </x:c>
      <x:c r="E21" s="15" t="str">
        <x:v>1.55</x:v>
      </x:c>
      <x:c r="F21" s="15" t="str">
        <x:v>16</x:v>
      </x:c>
      <x:c r="G21" s="15" t="str">
        <x:v>首批东亚货到达</x:v>
      </x:c>
      <x:c r="H21" s="15" t="str">
        <x:v>发起品牌订单与人物宴会</x:v>
      </x:c>
      <x:c r="I21" s="15" t="str">
        <x:v>高额订单售完回归常态</x:v>
      </x:c>
    </x:row>
    <x:row r="22" ht="31" customHeight="1">
      <x:c r="A22" s="13" t="str">
        <x:v>EV17</x:v>
      </x:c>
      <x:c r="B22" s="13" t="str">
        <x:v>茶山新摘</x:v>
      </x:c>
      <x:c r="C22" s="13" t="str">
        <x:v>R09</x:v>
      </x:c>
      <x:c r="D22" s="13" t="str">
        <x:v>嗜好品</x:v>
      </x:c>
      <x:c r="E22" s="13" t="str">
        <x:v>0.84</x:v>
      </x:c>
      <x:c r="F22" s="13" t="str">
        <x:v>18</x:v>
      </x:c>
      <x:c r="G22" s="13" t="str">
        <x:v>春季</x:v>
      </x:c>
      <x:c r="H22" s="13" t="str">
        <x:v>快船鲜茶与干茶双路线</x:v>
      </x:c>
      <x:c r="I22" s="13" t="str">
        <x:v>离港后计货物保质期</x:v>
      </x:c>
    </x:row>
    <x:row r="23" ht="31" customHeight="1">
      <x:c r="A23" s="15" t="str">
        <x:v>EV18</x:v>
      </x:c>
      <x:c r="B23" s="15" t="str">
        <x:v>港湾祭典</x:v>
      </x:c>
      <x:c r="C23" s="15" t="str">
        <x:v>长崎、那霸、釜山</x:v>
      </x:c>
      <x:c r="D23" s="15" t="str">
        <x:v>食品、酒类、工艺品</x:v>
      </x:c>
      <x:c r="E23" s="15" t="str">
        <x:v>1.30</x:v>
      </x:c>
      <x:c r="F23" s="15" t="str">
        <x:v>10</x:v>
      </x:c>
      <x:c r="G23" s="15" t="str">
        <x:v>地方庆典</x:v>
      </x:c>
      <x:c r="H23" s="15" t="str">
        <x:v>短途多品类采购</x:v>
      </x:c>
      <x:c r="I23" s="15" t="str">
        <x:v>祭典结束回归1</x:v>
      </x:c>
    </x:row>
    <x:row r="24" ht="31" customHeight="1">
      <x:c r="A24" s="13" t="str">
        <x:v>EV19</x:v>
      </x:c>
      <x:c r="B24" s="13" t="str">
        <x:v>漆坊大师收徒</x:v>
      </x:c>
      <x:c r="C24" s="13" t="str">
        <x:v>福州、堺</x:v>
      </x:c>
      <x:c r="D24" s="13" t="str">
        <x:v>木材、染料</x:v>
      </x:c>
      <x:c r="E24" s="13" t="str">
        <x:v>1.35</x:v>
      </x:c>
      <x:c r="F24" s="13" t="str">
        <x:v>14</x:v>
      </x:c>
      <x:c r="G24" s="13" t="str">
        <x:v>海员推荐事件</x:v>
      </x:c>
      <x:c r="H24" s="13" t="str">
        <x:v>交特殊木料解锁船饰工艺</x:v>
      </x:c>
      <x:c r="I24" s="13" t="str">
        <x:v>一次剧情奖励</x:v>
      </x:c>
    </x:row>
    <x:row r="25" ht="31" customHeight="1">
      <x:c r="A25" s="15" t="str">
        <x:v>EV20</x:v>
      </x:c>
      <x:c r="B25" s="15" t="str">
        <x:v>舰队远征采购</x:v>
      </x:c>
      <x:c r="C25" s="15" t="str">
        <x:v>R01、R03、R09</x:v>
      </x:c>
      <x:c r="D25" s="15" t="str">
        <x:v>金属、工业品、食品</x:v>
      </x:c>
      <x:c r="E25" s="15" t="str">
        <x:v>1.35</x:v>
      </x:c>
      <x:c r="F25" s="15" t="str">
        <x:v>24</x:v>
      </x:c>
      <x:c r="G25" s="15" t="str">
        <x:v>势力准备远征</x:v>
      </x:c>
      <x:c r="H25" s="15" t="str">
        <x:v>供应或跟随护航</x:v>
      </x:c>
      <x:c r="I25" s="15" t="str">
        <x:v>战争或外交决定后续需求</x:v>
      </x:c>
    </x:row>
    <x:row r="26" ht="31" customHeight="1">
      <x:c r="A26" s="13" t="str">
        <x:v>EV21</x:v>
      </x:c>
      <x:c r="B26" s="13" t="str">
        <x:v>加勒比舞会季</x:v>
      </x:c>
      <x:c r="C26" s="13" t="str">
        <x:v>R10</x:v>
      </x:c>
      <x:c r="D26" s="13" t="str">
        <x:v>酒类、织物、奢侈品</x:v>
      </x:c>
      <x:c r="E26" s="13" t="str">
        <x:v>1.35</x:v>
      </x:c>
      <x:c r="F26" s="13" t="str">
        <x:v>15</x:v>
      </x:c>
      <x:c r="G26" s="13" t="str">
        <x:v>地方上层与市民节庆</x:v>
      </x:c>
      <x:c r="H26" s="13" t="str">
        <x:v>三港接力配送</x:v>
      </x:c>
      <x:c r="I26" s="13" t="str">
        <x:v>交付引出政治喜剧支线</x:v>
      </x:c>
    </x:row>
    <x:row r="27" ht="31" customHeight="1">
      <x:c r="A27" s="15" t="str">
        <x:v>EV22</x:v>
      </x:c>
      <x:c r="B27" s="15" t="str">
        <x:v>飓风后重建</x:v>
      </x:c>
      <x:c r="C27" s="15" t="str">
        <x:v>R10</x:v>
      </x:c>
      <x:c r="D27" s="15" t="str">
        <x:v>木材、食品、工业品</x:v>
      </x:c>
      <x:c r="E27" s="15" t="str">
        <x:v>1.50</x:v>
      </x:c>
      <x:c r="F27" s="15" t="str">
        <x:v>20</x:v>
      </x:c>
      <x:c r="G27" s="15" t="str">
        <x:v>大型风暴后</x:v>
      </x:c>
      <x:c r="H27" s="15" t="str">
        <x:v>帮港口修船坞并建立稳定合同</x:v>
      </x:c>
      <x:c r="I27" s="15" t="str">
        <x:v>完成重建恢复固定库存</x:v>
      </x:c>
    </x:row>
    <x:row r="28" ht="31" customHeight="1">
      <x:c r="A28" s="13" t="str">
        <x:v>EV23</x:v>
      </x:c>
      <x:c r="B28" s="13" t="str">
        <x:v>银船提前归港</x:v>
      </x:c>
      <x:c r="C28" s="13" t="str">
        <x:v>韦拉克鲁斯</x:v>
      </x:c>
      <x:c r="D28" s="13" t="str">
        <x:v>金属、宝石</x:v>
      </x:c>
      <x:c r="E28" s="13" t="str">
        <x:v>0.82</x:v>
      </x:c>
      <x:c r="F28" s="13" t="str">
        <x:v>10</x:v>
      </x:c>
      <x:c r="G28" s="13" t="str">
        <x:v>护航完成</x:v>
      </x:c>
      <x:c r="H28" s="13" t="str">
        <x:v>购银器原料或截获贸易消息</x:v>
      </x:c>
      <x:c r="I28" s="13" t="str">
        <x:v>港口资金充裕提高奢侈品需求</x:v>
      </x:c>
    </x:row>
    <x:row r="29" ht="31" customHeight="1">
      <x:c r="A29" s="15" t="str">
        <x:v>EV24</x:v>
      </x:c>
      <x:c r="B29" s="15" t="str">
        <x:v>可可饮风潮</x:v>
      </x:c>
      <x:c r="C29" s="15" t="str">
        <x:v>R02、R03</x:v>
      </x:c>
      <x:c r="D29" s="15" t="str">
        <x:v>嗜好品</x:v>
      </x:c>
      <x:c r="E29" s="15" t="str">
        <x:v>1.50</x:v>
      </x:c>
      <x:c r="F29" s="15" t="str">
        <x:v>20</x:v>
      </x:c>
      <x:c r="G29" s="15" t="str">
        <x:v>玩家完成可可引介</x:v>
      </x:c>
      <x:c r="H29" s="15" t="str">
        <x:v>建立新异域消费市场</x:v>
      </x:c>
      <x:c r="I29" s="15" t="str">
        <x:v>同区域每季最多一次</x:v>
      </x:c>
    </x:row>
    <x:row r="30" ht="31" customHeight="1">
      <x:c r="A30" s="13" t="str">
        <x:v>EV25</x:v>
      </x:c>
      <x:c r="B30" s="13" t="str">
        <x:v>高原驮运到港</x:v>
      </x:c>
      <x:c r="C30" s="13" t="str">
        <x:v>卡亚俄</x:v>
      </x:c>
      <x:c r="D30" s="13" t="str">
        <x:v>金属、纤维</x:v>
      </x:c>
      <x:c r="E30" s="13" t="str">
        <x:v>0.85</x:v>
      </x:c>
      <x:c r="F30" s="13" t="str">
        <x:v>16</x:v>
      </x:c>
      <x:c r="G30" s="13" t="str">
        <x:v>山路开放</x:v>
      </x:c>
      <x:c r="H30" s="13" t="str">
        <x:v>购银锭羊毛、带回工具</x:v>
      </x:c>
      <x:c r="I30" s="13" t="str">
        <x:v>山路季节关闭后供应回落</x:v>
      </x:c>
    </x:row>
    <x:row r="31" ht="31" customHeight="1">
      <x:c r="A31" s="15" t="str">
        <x:v>EV26</x:v>
      </x:c>
      <x:c r="B31" s="15" t="str">
        <x:v>大河涨水</x:v>
      </x:c>
      <x:c r="C31" s="15" t="str">
        <x:v>贝伦</x:v>
      </x:c>
      <x:c r="D31" s="15" t="str">
        <x:v>木材、药材</x:v>
      </x:c>
      <x:c r="E31" s="15" t="str">
        <x:v>0.85</x:v>
      </x:c>
      <x:c r="F31" s="15" t="str">
        <x:v>20</x:v>
      </x:c>
      <x:c r="G31" s="15" t="str">
        <x:v>河流丰水季</x:v>
      </x:c>
      <x:c r="H31" s="15" t="str">
        <x:v>深入支流探索后运出材料</x:v>
      </x:c>
      <x:c r="I31" s="15" t="str">
        <x:v>潮退转浅水船运输</x:v>
      </x:c>
    </x:row>
    <x:row r="32" ht="31" customHeight="1">
      <x:c r="A32" s="13" t="str">
        <x:v>EV27</x:v>
      </x:c>
      <x:c r="B32" s="13" t="str">
        <x:v>南端避风船群</x:v>
      </x:c>
      <x:c r="C32" s="13" t="str">
        <x:v>瓦尔帕莱索</x:v>
      </x:c>
      <x:c r="D32" s="13" t="str">
        <x:v>食品、木材、药材</x:v>
      </x:c>
      <x:c r="E32" s="13" t="str">
        <x:v>1.32</x:v>
      </x:c>
      <x:c r="F32" s="13" t="str">
        <x:v>14</x:v>
      </x:c>
      <x:c r="G32" s="13" t="str">
        <x:v>恶劣西风</x:v>
      </x:c>
      <x:c r="H32" s="13" t="str">
        <x:v>供应滞留船只与招募漂泊者</x:v>
      </x:c>
      <x:c r="I32" s="13" t="str">
        <x:v>海况平复后启航</x:v>
      </x:c>
    </x:row>
    <x:row r="33" ht="31" customHeight="1">
      <x:c r="A33" s="15" t="str">
        <x:v>EV28</x:v>
      </x:c>
      <x:c r="B33" s="15" t="str">
        <x:v>星航会盟</x:v>
      </x:c>
      <x:c r="C33" s="15" t="str">
        <x:v>R12</x:v>
      </x:c>
      <x:c r="D33" s="15" t="str">
        <x:v>织物、工业品、食品</x:v>
      </x:c>
      <x:c r="E33" s="15" t="str">
        <x:v>1.30</x:v>
      </x:c>
      <x:c r="F33" s="15" t="str">
        <x:v>12</x:v>
      </x:c>
      <x:c r="G33" s="15" t="str">
        <x:v>区域故事会盟阶段</x:v>
      </x:c>
      <x:c r="H33" s="15" t="str">
        <x:v>交换工具与航海知识</x:v>
      </x:c>
      <x:c r="I33" s="15" t="str">
        <x:v>获得跨岛引航权</x:v>
      </x:c>
    </x:row>
    <x:row r="34" ht="31" customHeight="1">
      <x:c r="A34" s="13" t="str">
        <x:v>EV29</x:v>
      </x:c>
      <x:c r="B34" s="13" t="str">
        <x:v>珍稀木料禁伐协商</x:v>
      </x:c>
      <x:c r="C34" s="13" t="str">
        <x:v>R12</x:v>
      </x:c>
      <x:c r="D34" s="13" t="str">
        <x:v>木材</x:v>
      </x:c>
      <x:c r="E34" s="13" t="str">
        <x:v>1.35</x:v>
      </x:c>
      <x:c r="F34" s="13" t="str">
        <x:v>30</x:v>
      </x:c>
      <x:c r="G34" s="13" t="str">
        <x:v>地方资源争议剧情</x:v>
      </x:c>
      <x:c r="H34" s="13" t="str">
        <x:v>建立定额合作或改运其他货</x:v>
      </x:c>
      <x:c r="I34" s="13" t="str">
        <x:v>协议决定长期供货量</x:v>
      </x:c>
    </x:row>
    <x:row r="35" ht="31" customHeight="1">
      <x:c r="A35" s="15" t="str">
        <x:v>EV30</x:v>
      </x:c>
      <x:c r="B35" s="15" t="str">
        <x:v>港口封锁</x:v>
      </x:c>
      <x:c r="C35" s="15" t="str">
        <x:v>任一交战港</x:v>
      </x:c>
      <x:c r="D35" s="15" t="str">
        <x:v>全部</x:v>
      </x:c>
      <x:c r="E35" s="15" t="str">
        <x:v>1.45</x:v>
      </x:c>
      <x:c r="F35" s="15" t="str">
        <x:v>14</x:v>
      </x:c>
      <x:c r="G35" s="15" t="str">
        <x:v>势力战线事件</x:v>
      </x:c>
      <x:c r="H35" s="15" t="str">
        <x:v>突破护送、谈判解封或转港</x:v>
      </x:c>
      <x:c r="I35" s="15" t="str">
        <x:v>完成对应海战/外交目标</x:v>
      </x:c>
    </x:row>
    <x:row r="36" ht="31" customHeight="1">
      <x:c r="A36" s="13" t="str">
        <x:v>EV31</x:v>
      </x:c>
      <x:c r="B36" s="13" t="str">
        <x:v>商报误传</x:v>
      </x:c>
      <x:c r="C36" s="13" t="str">
        <x:v>相邻两海域</x:v>
      </x:c>
      <x:c r="D36" s="13" t="str">
        <x:v>单一品类</x:v>
      </x:c>
      <x:c r="E36" s="13" t="str">
        <x:v>1.00</x:v>
      </x:c>
      <x:c r="F36" s="13" t="str">
        <x:v>6</x:v>
      </x:c>
      <x:c r="G36" s="13" t="str">
        <x:v>竞争者制造旧闻</x:v>
      </x:c>
      <x:c r="H36" s="13" t="str">
        <x:v>对比日期和实际库存找机会</x:v>
      </x:c>
      <x:c r="I36" s="13" t="str">
        <x:v>实地价格不受谣言直接改变</x:v>
      </x:c>
    </x:row>
    <x:row r="37" ht="31" customHeight="1">
      <x:c r="A37" s="16" t="str">
        <x:v>EV32</x:v>
      </x:c>
      <x:c r="B37" s="16" t="str">
        <x:v>全球航图展</x:v>
      </x:c>
      <x:c r="C37" s="16" t="str">
        <x:v>六个区域首府</x:v>
      </x:c>
      <x:c r="D37" s="16" t="str">
        <x:v>工艺品、奢侈品、嗜好品</x:v>
      </x:c>
      <x:c r="E37" s="16" t="str">
        <x:v>1.25</x:v>
      </x:c>
      <x:c r="F37" s="16" t="str">
        <x:v>30</x:v>
      </x:c>
      <x:c r="G37" s="16" t="str">
        <x:v>终章前开放展会</x:v>
      </x:c>
      <x:c r="H37" s="16" t="str">
        <x:v>用环球贸易路线串联人物终章</x:v>
      </x:c>
      <x:c r="I37" s="16" t="str">
        <x:v>会展结束后保留工坊合作</x:v>
      </x:c>
    </x:row>
    <x:row r="38">
      <x:c r="A38" s="2"/>
      <x:c r="B38" s="2"/>
      <x:c r="C38" s="2"/>
      <x:c r="D38" s="2"/>
      <x:c r="E38" s="2"/>
      <x:c r="F38" s="2"/>
      <x:c r="G38" s="2"/>
      <x:c r="H38" s="2"/>
      <x:c r="I38" s="2"/>
    </x:row>
  </x:sheetData>
  <x:pageMargins left="0.7" right="0.7" top="0.75" bottom="0.75" header="0.3" footer="0.3"/>
  <x:tableParts count="1">
    <x:tablePart xmlns:r="http://schemas.openxmlformats.org/officeDocument/2006/relationships" r:id="R0dfd6bc7623c4a27"/>
  </x:tableParts>
</x:worksheet>
</file>

<file path=xl/worksheets/sheet14.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20" hidden="0" customWidth="1"/>
    <x:col min="3" max="3" width="30" hidden="0" customWidth="1"/>
    <x:col min="4" max="4" width="44" hidden="0" customWidth="1"/>
    <x:col min="5" max="5" width="42" hidden="0" customWidth="1"/>
    <x:col min="6" max="6" width="27" hidden="0" customWidth="1"/>
    <x:col min="7" max="7" width="18" hidden="0" customWidth="1"/>
    <x:col min="8" max="8" width="45" hidden="0" customWidth="1"/>
    <x:col min="9" max="9" width="18" hidden="0" customWidth="1"/>
    <x:col min="10" max="10" width="65" hidden="0" customWidth="1"/>
  </x:cols>
  <x:sheetData>
    <x:row r="1">
      <x:c r="A1" s="2"/>
      <x:c r="B1" s="2"/>
      <x:c r="C1" s="2"/>
      <x:c r="D1" s="2"/>
      <x:c r="E1" s="2"/>
      <x:c r="F1" s="2"/>
      <x:c r="G1" s="2"/>
      <x:c r="H1" s="2"/>
      <x:c r="I1" s="2"/>
      <x:c r="J1" s="2"/>
    </x:row>
    <x:row r="2" ht="28" customHeight="1">
      <x:c r="A2" s="3" t="str">
        <x:v>把世界货流接成地方工艺</x:v>
      </x:c>
      <x:c r="B2" s="2"/>
      <x:c r="C2" s="2"/>
      <x:c r="D2" s="2"/>
      <x:c r="E2" s="2"/>
      <x:c r="F2" s="2"/>
      <x:c r="G2" s="2"/>
      <x:c r="H2" s="2"/>
      <x:c r="I2" s="2"/>
      <x:c r="J2" s="2"/>
    </x:row>
    <x:row r="3">
      <x:c r="A3" s="5" t="str">
        <x:v>工坊配方为设计方向；具体贸易产地与货品价格以商品、港口供货表为准。</x:v>
      </x:c>
      <x:c r="B3" s="2"/>
      <x:c r="C3" s="2"/>
      <x:c r="D3" s="2"/>
      <x:c r="E3" s="2"/>
      <x:c r="F3" s="2"/>
      <x:c r="G3" s="2"/>
      <x:c r="H3" s="2"/>
      <x:c r="I3" s="2"/>
      <x:c r="J3" s="2"/>
    </x:row>
    <x:row r="4">
      <x:c r="A4" s="2"/>
      <x:c r="B4" s="2"/>
      <x:c r="C4" s="2"/>
      <x:c r="D4" s="2"/>
      <x:c r="E4" s="2"/>
      <x:c r="F4" s="2"/>
      <x:c r="G4" s="2"/>
      <x:c r="H4" s="2"/>
      <x:c r="I4" s="2"/>
      <x:c r="J4" s="2"/>
    </x:row>
    <x:row r="5" ht="34" customHeight="1">
      <x:c r="A5" s="10" t="str">
        <x:v>工坊ID</x:v>
      </x:c>
      <x:c r="B5" s="10" t="str">
        <x:v>港口</x:v>
      </x:c>
      <x:c r="C5" s="10" t="str">
        <x:v>工坊主题</x:v>
      </x:c>
      <x:c r="D5" s="10" t="str">
        <x:v>原料方向</x:v>
      </x:c>
      <x:c r="E5" s="10" t="str">
        <x:v>产品方向</x:v>
      </x:c>
      <x:c r="F5" s="10" t="str">
        <x:v>条件</x:v>
      </x:c>
      <x:c r="G5" s="10" t="str">
        <x:v>加工游戏日</x:v>
      </x:c>
      <x:c r="H5" s="10" t="str">
        <x:v>工艺解锁</x:v>
      </x:c>
      <x:c r="I5" s="10" t="str">
        <x:v>关联改造ID</x:v>
      </x:c>
      <x:c r="J5" s="10" t="str">
        <x:v>关联玩法</x:v>
      </x:c>
    </x:row>
    <x:row r="6" ht="31" customHeight="1">
      <x:c r="A6" s="12" t="str">
        <x:v>CP01</x:v>
      </x:c>
      <x:c r="B6" s="12" t="str">
        <x:v>威尼斯</x:v>
      </x:c>
      <x:c r="C6" s="12" t="str">
        <x:v>彩窗与航灯</x:v>
      </x:c>
      <x:c r="D6" s="12" t="str">
        <x:v>玻璃原料、铜材</x:v>
      </x:c>
      <x:c r="E6" s="12" t="str">
        <x:v>港口专属玻璃精品</x:v>
      </x:c>
      <x:c r="F6" s="12" t="str">
        <x:v>D3</x:v>
      </x:c>
      <x:c r="G6" s="12" t="str">
        <x:v>8日</x:v>
      </x:c>
      <x:c r="H6" s="12" t="str">
        <x:v>精工航灯改造</x:v>
      </x:c>
      <x:c r="I6" s="12" t="str"/>
      <x:c r="J6" s="12" t="str">
        <x:v>用铜材返程货支持工匠委托</x:v>
      </x:c>
    </x:row>
    <x:row r="7" ht="31" customHeight="1">
      <x:c r="A7" s="15" t="str">
        <x:v>CP02</x:v>
      </x:c>
      <x:c r="B7" s="15" t="str">
        <x:v>里斯本</x:v>
      </x:c>
      <x:c r="C7" s="15" t="str">
        <x:v>蓝瓷海图砖</x:v>
      </x:c>
      <x:c r="D7" s="15" t="str">
        <x:v>陶土、颜料</x:v>
      </x:c>
      <x:c r="E7" s="15" t="str">
        <x:v>蓝瓷特产</x:v>
      </x:c>
      <x:c r="F7" s="15" t="str">
        <x:v>D3</x:v>
      </x:c>
      <x:c r="G7" s="15" t="str">
        <x:v>7日</x:v>
      </x:c>
      <x:c r="H7" s="15" t="str">
        <x:v>纪念船室装饰</x:v>
      </x:c>
      <x:c r="I7" s="15" t="str"/>
      <x:c r="J7" s="15" t="str">
        <x:v>依港口故事绘制不同航海图案</x:v>
      </x:c>
    </x:row>
    <x:row r="8" ht="31" customHeight="1">
      <x:c r="A8" s="13" t="str">
        <x:v>CP03</x:v>
      </x:c>
      <x:c r="B8" s="13" t="str">
        <x:v>圣路易</x:v>
      </x:c>
      <x:c r="C8" s="13" t="str">
        <x:v>靛布工坊</x:v>
      </x:c>
      <x:c r="D8" s="13" t="str">
        <x:v>棉花、靛蓝</x:v>
      </x:c>
      <x:c r="E8" s="13" t="str">
        <x:v>地方靛染织物</x:v>
      </x:c>
      <x:c r="F8" s="13" t="str">
        <x:v>D3</x:v>
      </x:c>
      <x:c r="G8" s="13" t="str">
        <x:v>6日</x:v>
      </x:c>
      <x:c r="H8" s="13" t="str">
        <x:v>遮阳帆工艺</x:v>
      </x:c>
      <x:c r="I8" s="13" t="str"/>
      <x:c r="J8" s="13" t="str">
        <x:v>地方工坊与船商直接签约</x:v>
      </x:c>
    </x:row>
    <x:row r="9" ht="31" customHeight="1">
      <x:c r="A9" s="15" t="str">
        <x:v>CP04</x:v>
      </x:c>
      <x:c r="B9" s="15" t="str">
        <x:v>桑给巴尔</x:v>
      </x:c>
      <x:c r="C9" s="15" t="str">
        <x:v>雕门与船饰</x:v>
      </x:c>
      <x:c r="D9" s="15" t="str">
        <x:v>木材、铜件</x:v>
      </x:c>
      <x:c r="E9" s="15" t="str">
        <x:v>雕花工艺品</x:v>
      </x:c>
      <x:c r="F9" s="15" t="str">
        <x:v>D3</x:v>
      </x:c>
      <x:c r="G9" s="15" t="str">
        <x:v>9日</x:v>
      </x:c>
      <x:c r="H9" s="15" t="str">
        <x:v>舱室饰件与舒适船室</x:v>
      </x:c>
      <x:c r="I9" s="15" t="str"/>
      <x:c r="J9" s="15" t="str">
        <x:v>传统工匠人物事件</x:v>
      </x:c>
    </x:row>
    <x:row r="10" ht="31" customHeight="1">
      <x:c r="A10" s="13" t="str">
        <x:v>CP05</x:v>
      </x:c>
      <x:c r="B10" s="13" t="str">
        <x:v>摩卡</x:v>
      </x:c>
      <x:c r="C10" s="13" t="str">
        <x:v>烘焙与器具</x:v>
      </x:c>
      <x:c r="D10" s="13" t="str">
        <x:v>咖啡豆、铜材</x:v>
      </x:c>
      <x:c r="E10" s="13" t="str">
        <x:v>精选咖啡组合</x:v>
      </x:c>
      <x:c r="F10" s="13" t="str">
        <x:v>D3</x:v>
      </x:c>
      <x:c r="G10" s="13" t="str">
        <x:v>4日</x:v>
      </x:c>
      <x:c r="H10" s="13" t="str">
        <x:v>船上咖啡间</x:v>
      </x:c>
      <x:c r="I10" s="13" t="str"/>
      <x:c r="J10" s="13" t="str">
        <x:v>咖啡诗会引出船上夜谈</x:v>
      </x:c>
    </x:row>
    <x:row r="11" ht="31" customHeight="1">
      <x:c r="A11" s="15" t="str">
        <x:v>CP06</x:v>
      </x:c>
      <x:c r="B11" s="15" t="str">
        <x:v>苏拉特</x:v>
      </x:c>
      <x:c r="C11" s="15" t="str">
        <x:v>万色印花布</x:v>
      </x:c>
      <x:c r="D11" s="15" t="str">
        <x:v>棉布、染料</x:v>
      </x:c>
      <x:c r="E11" s="15" t="str">
        <x:v>高级印花织物</x:v>
      </x:c>
      <x:c r="F11" s="15" t="str">
        <x:v>D4</x:v>
      </x:c>
      <x:c r="G11" s="15" t="str">
        <x:v>8日</x:v>
      </x:c>
      <x:c r="H11" s="15" t="str">
        <x:v>彩帆与身份帆旗</x:v>
      </x:c>
      <x:c r="I11" s="15" t="str"/>
      <x:c r="J11" s="15" t="str">
        <x:v>优先采购合同改变季风路线</x:v>
      </x:c>
    </x:row>
    <x:row r="12" ht="31" customHeight="1">
      <x:c r="A12" s="13" t="str">
        <x:v>CP07</x:v>
      </x:c>
      <x:c r="B12" s="13" t="str">
        <x:v>马六甲</x:v>
      </x:c>
      <x:c r="C12" s="13" t="str">
        <x:v>漆木器与防潮</x:v>
      </x:c>
      <x:c r="D12" s="13" t="str">
        <x:v>木材、树脂</x:v>
      </x:c>
      <x:c r="E12" s="13" t="str">
        <x:v>防潮工艺品</x:v>
      </x:c>
      <x:c r="F12" s="13" t="str">
        <x:v>D3</x:v>
      </x:c>
      <x:c r="G12" s="13" t="str">
        <x:v>6日</x:v>
      </x:c>
      <x:c r="H12" s="13" t="str">
        <x:v>热带防潮货舱</x:v>
      </x:c>
      <x:c r="I12" s="13" t="str"/>
      <x:c r="J12" s="13" t="str">
        <x:v>保质货远航更有价值</x:v>
      </x:c>
    </x:row>
    <x:row r="13" ht="31" customHeight="1">
      <x:c r="A13" s="15" t="str">
        <x:v>CP08</x:v>
      </x:c>
      <x:c r="B13" s="15" t="str">
        <x:v>泉州</x:v>
      </x:c>
      <x:c r="C13" s="15" t="str">
        <x:v>船漆与隔舱匠作</x:v>
      </x:c>
      <x:c r="D13" s="15" t="str">
        <x:v>漆料、木材、铁件</x:v>
      </x:c>
      <x:c r="E13" s="15" t="str">
        <x:v>船厂专门工程</x:v>
      </x:c>
      <x:c r="F13" s="15" t="str">
        <x:v>D3且A2</x:v>
      </x:c>
      <x:c r="G13" s="15" t="str">
        <x:v>12日</x:v>
      </x:c>
      <x:c r="H13" s="15" t="str">
        <x:v>东亚隔舱工艺</x:v>
      </x:c>
      <x:c r="I13" s="15" t="str">
        <x:v>M049</x:v>
      </x:c>
      <x:c r="J13" s="15" t="str">
        <x:v>把区域船体知识带到旗舰</x:v>
      </x:c>
    </x:row>
    <x:row r="14" ht="31" customHeight="1">
      <x:c r="A14" s="13" t="str">
        <x:v>CP09</x:v>
      </x:c>
      <x:c r="B14" s="13" t="str">
        <x:v>堺</x:v>
      </x:c>
      <x:c r="C14" s="13" t="str">
        <x:v>名匠刀装</x:v>
      </x:c>
      <x:c r="D14" s="13" t="str">
        <x:v>钢材、漆料</x:v>
      </x:c>
      <x:c r="E14" s="13" t="str">
        <x:v>精工白刃装备</x:v>
      </x:c>
      <x:c r="F14" s="13" t="str">
        <x:v>D4且A3</x:v>
      </x:c>
      <x:c r="G14" s="13" t="str">
        <x:v>10日</x:v>
      </x:c>
      <x:c r="H14" s="13" t="str">
        <x:v>军械定制</x:v>
      </x:c>
      <x:c r="I14" s="13" t="str"/>
      <x:c r="J14" s="13" t="str">
        <x:v>个人委托绑定角色刀装</x:v>
      </x:c>
    </x:row>
    <x:row r="15" ht="31" customHeight="1">
      <x:c r="A15" s="15" t="str">
        <x:v>CP10</x:v>
      </x:c>
      <x:c r="B15" s="15" t="str">
        <x:v>哈瓦那</x:v>
      </x:c>
      <x:c r="C15" s="15" t="str">
        <x:v>船厂旧木新生</x:v>
      </x:c>
      <x:c r="D15" s="15" t="str">
        <x:v>硬木、帆布、绳索</x:v>
      </x:c>
      <x:c r="E15" s="15" t="str">
        <x:v>修复工程</x:v>
      </x:c>
      <x:c r="F15" s="15" t="str">
        <x:v>D3且A3</x:v>
      </x:c>
      <x:c r="G15" s="15" t="str">
        <x:v>8日</x:v>
      </x:c>
      <x:c r="H15" s="15" t="str">
        <x:v>远洋维修工艺</x:v>
      </x:c>
      <x:c r="I15" s="15" t="str"/>
      <x:c r="J15" s="15" t="str">
        <x:v>风暴后保留船名与旧材料记忆</x:v>
      </x:c>
    </x:row>
    <x:row r="16" ht="31" customHeight="1">
      <x:c r="A16" s="13" t="str">
        <x:v>CP11</x:v>
      </x:c>
      <x:c r="B16" s="13" t="str">
        <x:v>卡亚俄</x:v>
      </x:c>
      <x:c r="C16" s="13" t="str">
        <x:v>银艺与观测器</x:v>
      </x:c>
      <x:c r="D16" s="13" t="str">
        <x:v>银材、铜材、工艺工具</x:v>
      </x:c>
      <x:c r="E16" s="13" t="str">
        <x:v>银质观测工艺</x:v>
      </x:c>
      <x:c r="F16" s="13" t="str">
        <x:v>D4</x:v>
      </x:c>
      <x:c r="G16" s="13" t="str">
        <x:v>10日</x:v>
      </x:c>
      <x:c r="H16" s="13" t="str">
        <x:v>天文测角装置</x:v>
      </x:c>
      <x:c r="I16" s="13" t="str"/>
      <x:c r="J16" s="13" t="str">
        <x:v>高原记录与海上观测会合</x:v>
      </x:c>
    </x:row>
    <x:row r="17" ht="31" customHeight="1">
      <x:c r="A17" s="16" t="str">
        <x:v>CP12</x:v>
      </x:c>
      <x:c r="B17" s="16" t="str">
        <x:v>马塔瓦伊湾</x:v>
      </x:c>
      <x:c r="C17" s="16" t="str">
        <x:v>纤维帆与双体结构</x:v>
      </x:c>
      <x:c r="D17" s="16" t="str">
        <x:v>植物纤维、地方木料</x:v>
      </x:c>
      <x:c r="E17" s="16" t="str">
        <x:v>岛际航具</x:v>
      </x:c>
      <x:c r="F17" s="16" t="str">
        <x:v>D3且A2</x:v>
      </x:c>
      <x:c r="G17" s="16" t="str">
        <x:v>9日</x:v>
      </x:c>
      <x:c r="H17" s="16" t="str">
        <x:v>轻型远航改造</x:v>
      </x:c>
      <x:c r="I17" s="16" t="str"/>
      <x:c r="J17" s="16" t="str">
        <x:v>合作学艺解锁，不以占领获取技术</x:v>
      </x:c>
    </x:row>
    <x:row r="18">
      <x:c r="A18" s="2"/>
      <x:c r="B18" s="2"/>
      <x:c r="C18" s="2"/>
      <x:c r="D18" s="2"/>
      <x:c r="E18" s="2"/>
      <x:c r="F18" s="2"/>
      <x:c r="G18" s="2"/>
      <x:c r="H18" s="2"/>
      <x:c r="I18" s="2"/>
      <x:c r="J18" s="2"/>
    </x:row>
  </x:sheetData>
  <x:pageMargins left="0.7" right="0.7" top="0.75" bottom="0.75" header="0.3" footer="0.3"/>
  <x:tableParts count="1">
    <x:tablePart xmlns:r="http://schemas.openxmlformats.org/officeDocument/2006/relationships" r:id="R8c735c938fa0457c"/>
  </x:tableParts>
</x:worksheet>
</file>

<file path=xl/worksheets/sheet15.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3" hidden="0" customWidth="1"/>
    <x:col min="2" max="2" width="36" hidden="0" customWidth="1"/>
    <x:col min="3" max="3" width="41" hidden="0" customWidth="1"/>
    <x:col min="4" max="4" width="32" hidden="0" customWidth="1"/>
    <x:col min="5" max="5" width="46" hidden="0" customWidth="1"/>
    <x:col min="6" max="6" width="16" hidden="0" customWidth="1"/>
    <x:col min="7" max="7" width="21" hidden="0" customWidth="1"/>
    <x:col min="8" max="8" width="17" hidden="0" customWidth="1"/>
    <x:col min="9" max="9" width="16" hidden="0" customWidth="1"/>
    <x:col min="10" max="10" width="14" hidden="0" customWidth="1"/>
    <x:col min="11" max="11" width="15" hidden="0" customWidth="1"/>
    <x:col min="12" max="12" width="15" hidden="0" customWidth="1"/>
    <x:col min="13" max="13" width="17" hidden="0" customWidth="1"/>
    <x:col min="14" max="14" width="17" hidden="0" customWidth="1"/>
    <x:col min="15" max="15" width="15" hidden="0" customWidth="1"/>
    <x:col min="16" max="16" width="15" hidden="0" customWidth="1"/>
    <x:col min="17" max="17" width="15" hidden="0" customWidth="1"/>
    <x:col min="18" max="18" width="13" hidden="0" customWidth="1"/>
    <x:col min="19" max="19" width="13" hidden="0" customWidth="1"/>
    <x:col min="20" max="20" width="17" hidden="0" customWidth="1"/>
    <x:col min="21" max="21" width="24" hidden="0" customWidth="1"/>
    <x:col min="22" max="22" width="24" hidden="0" customWidth="1"/>
    <x:col min="23" max="23" width="16" hidden="0" customWidth="1"/>
    <x:col min="24" max="24" width="55" hidden="0" customWidth="1"/>
    <x:col min="25" max="25" width="83" hidden="0" customWidth="1"/>
    <x:col min="26" max="26" width="77" hidden="0" customWidth="1"/>
    <x:col min="27" max="27" width="40"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c r="AA1" s="2"/>
    </x:row>
    <x:row r="2" ht="28" customHeight="1">
      <x:c r="A2" s="3" t="str">
        <x:v>文化舰船与建造参数</x:v>
      </x:c>
      <x:c r="B2" s="2"/>
      <x:c r="C2" s="2"/>
      <x:c r="D2" s="2"/>
      <x:c r="E2" s="2"/>
      <x:c r="F2" s="2"/>
      <x:c r="G2" s="2"/>
      <x:c r="H2" s="2"/>
      <x:c r="I2" s="2"/>
      <x:c r="J2" s="2"/>
      <x:c r="K2" s="2"/>
      <x:c r="L2" s="2"/>
      <x:c r="M2" s="2"/>
      <x:c r="N2" s="2"/>
      <x:c r="O2" s="2"/>
      <x:c r="P2" s="2"/>
      <x:c r="Q2" s="2"/>
      <x:c r="R2" s="2"/>
      <x:c r="S2" s="2"/>
      <x:c r="T2" s="2"/>
      <x:c r="U2" s="2"/>
      <x:c r="V2" s="2"/>
      <x:c r="W2" s="2"/>
      <x:c r="X2" s="2"/>
      <x:c r="Y2" s="2"/>
      <x:c r="Z2" s="2"/>
      <x:c r="AA2" s="2"/>
    </x:row>
    <x:row r="3">
      <x:c r="A3" s="5" t="str">
        <x:v>船舷左右各有gun_ports个炮位，艏/艉/甲板另外计；船价不含武器与改造，节速基准为空载适风。</x:v>
      </x:c>
      <x:c r="B3" s="2"/>
      <x:c r="C3" s="2"/>
      <x:c r="D3" s="2"/>
      <x:c r="E3" s="2"/>
      <x:c r="F3" s="2"/>
      <x:c r="G3" s="2"/>
      <x:c r="H3" s="2"/>
      <x:c r="I3" s="2"/>
      <x:c r="J3" s="2"/>
      <x:c r="K3" s="2"/>
      <x:c r="L3" s="2"/>
      <x:c r="M3" s="2"/>
      <x:c r="N3" s="2"/>
      <x:c r="O3" s="2"/>
      <x:c r="P3" s="2"/>
      <x:c r="Q3" s="2"/>
      <x:c r="R3" s="2"/>
      <x:c r="S3" s="2"/>
      <x:c r="T3" s="2"/>
      <x:c r="U3" s="2"/>
      <x:c r="V3" s="2"/>
      <x:c r="W3" s="2"/>
      <x:c r="X3" s="2"/>
      <x:c r="Y3" s="2"/>
      <x:c r="Z3" s="2"/>
      <x:c r="AA3" s="2"/>
    </x:row>
    <x:row r="4">
      <x:c r="A4" s="2"/>
      <x:c r="B4" s="2"/>
      <x:c r="C4" s="2"/>
      <x:c r="D4" s="2"/>
      <x:c r="E4" s="2"/>
      <x:c r="F4" s="2"/>
      <x:c r="G4" s="2"/>
      <x:c r="H4" s="2"/>
      <x:c r="I4" s="2"/>
      <x:c r="J4" s="2"/>
      <x:c r="K4" s="2"/>
      <x:c r="L4" s="2"/>
      <x:c r="M4" s="2"/>
      <x:c r="N4" s="2"/>
      <x:c r="O4" s="2"/>
      <x:c r="P4" s="2"/>
      <x:c r="Q4" s="2"/>
      <x:c r="R4" s="2"/>
      <x:c r="S4" s="2"/>
      <x:c r="T4" s="2"/>
      <x:c r="U4" s="2"/>
      <x:c r="V4" s="2"/>
      <x:c r="W4" s="2"/>
      <x:c r="X4" s="2"/>
      <x:c r="Y4" s="2"/>
      <x:c r="Z4" s="2"/>
      <x:c r="AA4" s="2"/>
    </x:row>
    <x:row r="5" ht="34" customHeight="1">
      <x:c r="A5" s="10" t="str">
        <x:v>船型ID</x:v>
      </x:c>
      <x:c r="B5" s="10" t="str">
        <x:v>船名与型号</x:v>
      </x:c>
      <x:c r="C5" s="10" t="str">
        <x:v>形制</x:v>
      </x:c>
      <x:c r="D5" s="10" t="str">
        <x:v>文化</x:v>
      </x:c>
      <x:c r="E5" s="10" t="str">
        <x:v>建造港</x:v>
      </x:c>
      <x:c r="F5" s="10" t="str">
        <x:v>A解锁等级</x:v>
      </x:c>
      <x:c r="G5" s="10" t="str">
        <x:v>建造价（银币）</x:v>
      </x:c>
      <x:c r="H5" s="10" t="str">
        <x:v>建造游戏日</x:v>
      </x:c>
      <x:c r="I5" s="10" t="str">
        <x:v>船体耐久</x:v>
      </x:c>
      <x:c r="J5" s="10" t="str">
        <x:v>装甲值</x:v>
      </x:c>
      <x:c r="K5" s="10" t="str">
        <x:v>基础节速</x:v>
      </x:c>
      <x:c r="L5" s="10" t="str">
        <x:v>转向值</x:v>
      </x:c>
      <x:c r="M5" s="10" t="str">
        <x:v>吃水（米）</x:v>
      </x:c>
      <x:c r="N5" s="10" t="str">
        <x:v>货载容量</x:v>
      </x:c>
      <x:c r="O5" s="10" t="str">
        <x:v>最低水手</x:v>
      </x:c>
      <x:c r="P5" s="10" t="str">
        <x:v>最大水手</x:v>
      </x:c>
      <x:c r="Q5" s="10" t="str">
        <x:v>每舷炮位</x:v>
      </x:c>
      <x:c r="R5" s="10" t="str">
        <x:v>艏炮位</x:v>
      </x:c>
      <x:c r="S5" s="10" t="str">
        <x:v>艉炮位</x:v>
      </x:c>
      <x:c r="T5" s="10" t="str">
        <x:v>甲板武器位</x:v>
      </x:c>
      <x:c r="U5" s="10" t="str">
        <x:v>单安装点限重（吨）</x:v>
      </x:c>
      <x:c r="V5" s="10" t="str">
        <x:v>帆装</x:v>
      </x:c>
      <x:c r="W5" s="10" t="str">
        <x:v>桨速（节）</x:v>
      </x:c>
      <x:c r="X5" s="10" t="str">
        <x:v>改造槽位</x:v>
      </x:c>
      <x:c r="Y5" s="10" t="str">
        <x:v>水手编制定义</x:v>
      </x:c>
      <x:c r="Z5" s="10" t="str">
        <x:v>基础航速条件</x:v>
      </x:c>
      <x:c r="AA5" s="10" t="str">
        <x:v>船厂港口ID</x:v>
      </x:c>
    </x:row>
    <x:row r="6" ht="42" customHeight="1">
      <x:c r="A6" s="12" t="str">
        <x:v>S001</x:v>
      </x:c>
      <x:c r="B6" s="12" t="str">
        <x:v>银鲱·北海渔商艇</x:v>
      </x:c>
      <x:c r="C6" s="12" t="str">
        <x:v>北海单桅沿岸帆船</x:v>
      </x:c>
      <x:c r="D6" s="12" t="str">
        <x:v>弗里斯兰—低地</x:v>
      </x:c>
      <x:c r="E6" s="12" t="str">
        <x:v>阿姆斯特丹</x:v>
      </x:c>
      <x:c r="F6" s="26" t="n">
        <x:v>0</x:v>
      </x:c>
      <x:c r="G6" s="26" t="n">
        <x:v>7200</x:v>
      </x:c>
      <x:c r="H6" s="26" t="n">
        <x:v>5</x:v>
      </x:c>
      <x:c r="I6" s="26" t="n">
        <x:v>180</x:v>
      </x:c>
      <x:c r="J6" s="26" t="n">
        <x:v>8</x:v>
      </x:c>
      <x:c r="K6" s="41" t="n">
        <x:v>8.8</x:v>
      </x:c>
      <x:c r="L6" s="26" t="n">
        <x:v>89</x:v>
      </x:c>
      <x:c r="M6" s="41" t="n">
        <x:v>1.1</x:v>
      </x:c>
      <x:c r="N6" s="26" t="n">
        <x:v>62</x:v>
      </x:c>
      <x:c r="O6" s="26" t="n">
        <x:v>5</x:v>
      </x:c>
      <x:c r="P6" s="26" t="n">
        <x:v>20</x:v>
      </x:c>
      <x:c r="Q6" s="26" t="n">
        <x:v>2</x:v>
      </x:c>
      <x:c r="R6" s="26" t="n">
        <x:v>0</x:v>
      </x:c>
      <x:c r="S6" s="26" t="n">
        <x:v>1</x:v>
      </x:c>
      <x:c r="T6" s="26" t="n">
        <x:v>2</x:v>
      </x:c>
      <x:c r="U6" s="51" t="n">
        <x:v>0.35</x:v>
      </x:c>
      <x:c r="V6" s="12" t="str">
        <x:v>纵帆</x:v>
      </x:c>
      <x:c r="W6" s="41" t="n">
        <x:v>0</x:v>
      </x:c>
      <x:c r="X6" s="12" t="str">
        <x:v>结构：1；帆装：1；货舱：1；甲板：1；船艏：1；船艉：1；通用：1</x:v>
      </x:c>
      <x:c r="Y6" s="12" t="str">
        <x:v>维持基本航行与船务的普通水手编制；炮班与突击队需从 crew_max 以内另行分配，独特海员另计薪资并计入补给人数。</x:v>
      </x:c>
      <x:c r="Z6" s="12" t="str">
        <x:v>完整船体、空载、适宜 16 节风与理想帆位；货载与风况按总经济表再乘系数。</x:v>
      </x:c>
      <x:c r="AA6" s="12" t="str">
        <x:v>P002</x:v>
      </x:c>
    </x:row>
    <x:row r="7" ht="42" customHeight="1">
      <x:c r="A7" s="15" t="str">
        <x:v>S002</x:v>
      </x:c>
      <x:c r="B7" s="15" t="str">
        <x:v>琥珀·波罗的海货船</x:v>
      </x:c>
      <x:c r="C7" s="15" t="str">
        <x:v>北欧圆底货船</x:v>
      </x:c>
      <x:c r="D7" s="15" t="str">
        <x:v>波罗的海港市</x:v>
      </x:c>
      <x:c r="E7" s="15" t="str">
        <x:v>吕贝克；里加</x:v>
      </x:c>
      <x:c r="F7" s="30" t="n">
        <x:v>1</x:v>
      </x:c>
      <x:c r="G7" s="30" t="n">
        <x:v>18000</x:v>
      </x:c>
      <x:c r="H7" s="30" t="n">
        <x:v>9</x:v>
      </x:c>
      <x:c r="I7" s="30" t="n">
        <x:v>300</x:v>
      </x:c>
      <x:c r="J7" s="30" t="n">
        <x:v>13</x:v>
      </x:c>
      <x:c r="K7" s="44" t="n">
        <x:v>7.8</x:v>
      </x:c>
      <x:c r="L7" s="30" t="n">
        <x:v>69</x:v>
      </x:c>
      <x:c r="M7" s="44" t="n">
        <x:v>1.8</x:v>
      </x:c>
      <x:c r="N7" s="30" t="n">
        <x:v>138</x:v>
      </x:c>
      <x:c r="O7" s="30" t="n">
        <x:v>9</x:v>
      </x:c>
      <x:c r="P7" s="30" t="n">
        <x:v>36</x:v>
      </x:c>
      <x:c r="Q7" s="30" t="n">
        <x:v>3</x:v>
      </x:c>
      <x:c r="R7" s="30" t="n">
        <x:v>0</x:v>
      </x:c>
      <x:c r="S7" s="30" t="n">
        <x:v>1</x:v>
      </x:c>
      <x:c r="T7" s="30" t="n">
        <x:v>2</x:v>
      </x:c>
      <x:c r="U7" s="54" t="n">
        <x:v>0.35</x:v>
      </x:c>
      <x:c r="V7" s="15" t="str">
        <x:v>横帆</x:v>
      </x:c>
      <x:c r="W7" s="44" t="n">
        <x:v>0</x:v>
      </x:c>
      <x:c r="X7" s="15" t="str">
        <x:v>结构：1；帆装：1；货舱：1；甲板：1；船艏：1；船艉：1；通用：1</x:v>
      </x:c>
      <x:c r="Y7" s="15" t="str">
        <x:v>维持基本航行与船务的普通水手编制；炮班与突击队需从 crew_max 以内另行分配，独特海员另计薪资并计入补给人数。</x:v>
      </x:c>
      <x:c r="Z7" s="15" t="str">
        <x:v>完整船体、空载、适宜 16 节风与理想帆位；货载与风况按总经济表再乘系数。</x:v>
      </x:c>
      <x:c r="AA7" s="15" t="str">
        <x:v>P004；P009</x:v>
      </x:c>
    </x:row>
    <x:row r="8" ht="42" customHeight="1">
      <x:c r="A8" s="13" t="str">
        <x:v>S003</x:v>
      </x:c>
      <x:c r="B8" s="13" t="str">
        <x:v>细颈·霍恩笛型商船</x:v>
      </x:c>
      <x:c r="C8" s="13" t="str">
        <x:v>Fluyt 笛型船</x:v>
      </x:c>
      <x:c r="D8" s="13" t="str">
        <x:v>荷兰</x:v>
      </x:c>
      <x:c r="E8" s="13" t="str">
        <x:v>阿姆斯特丹</x:v>
      </x:c>
      <x:c r="F8" s="27" t="n">
        <x:v>2</x:v>
      </x:c>
      <x:c r="G8" s="27" t="n">
        <x:v>62000</x:v>
      </x:c>
      <x:c r="H8" s="27" t="n">
        <x:v>19</x:v>
      </x:c>
      <x:c r="I8" s="27" t="n">
        <x:v>590</x:v>
      </x:c>
      <x:c r="J8" s="27" t="n">
        <x:v>18</x:v>
      </x:c>
      <x:c r="K8" s="42" t="n">
        <x:v>9</x:v>
      </x:c>
      <x:c r="L8" s="27" t="n">
        <x:v>56</x:v>
      </x:c>
      <x:c r="M8" s="42" t="n">
        <x:v>2.8</x:v>
      </x:c>
      <x:c r="N8" s="27" t="n">
        <x:v>350</x:v>
      </x:c>
      <x:c r="O8" s="27" t="n">
        <x:v>18</x:v>
      </x:c>
      <x:c r="P8" s="27" t="n">
        <x:v>75</x:v>
      </x:c>
      <x:c r="Q8" s="27" t="n">
        <x:v>5</x:v>
      </x:c>
      <x:c r="R8" s="27" t="n">
        <x:v>0</x:v>
      </x:c>
      <x:c r="S8" s="27" t="n">
        <x:v>2</x:v>
      </x:c>
      <x:c r="T8" s="27" t="n">
        <x:v>3</x:v>
      </x:c>
      <x:c r="U8" s="52" t="n">
        <x:v>1.2</x:v>
      </x:c>
      <x:c r="V8" s="13" t="str">
        <x:v>横帆</x:v>
      </x:c>
      <x:c r="W8" s="42" t="n">
        <x:v>0</x:v>
      </x:c>
      <x:c r="X8" s="13" t="str">
        <x:v>结构：1；帆装：1；货舱：1；甲板：1；船艏：1；船艉：1；通用：2</x:v>
      </x:c>
      <x:c r="Y8" s="13" t="str">
        <x:v>维持基本航行与船务的普通水手编制；炮班与突击队需从 crew_max 以内另行分配，独特海员另计薪资并计入补给人数。</x:v>
      </x:c>
      <x:c r="Z8" s="13" t="str">
        <x:v>完整船体、空载、适宜 16 节风与理想帆位；货载与风况按总经济表再乘系数。</x:v>
      </x:c>
      <x:c r="AA8" s="13" t="str">
        <x:v>P002</x:v>
      </x:c>
    </x:row>
    <x:row r="9" ht="42" customHeight="1">
      <x:c r="A9" s="15" t="str">
        <x:v>S004</x:v>
      </x:c>
      <x:c r="B9" s="15" t="str">
        <x:v>群岛蜂·双桨炮艇</x:v>
      </x:c>
      <x:c r="C9" s="15" t="str">
        <x:v>群岛桨帆炮艇</x:v>
      </x:c>
      <x:c r="D9" s="15" t="str">
        <x:v>瑞典—芬兰</x:v>
      </x:c>
      <x:c r="E9" s="15" t="str">
        <x:v>斯德哥尔摩</x:v>
      </x:c>
      <x:c r="F9" s="30" t="n">
        <x:v>3</x:v>
      </x:c>
      <x:c r="G9" s="30" t="n">
        <x:v>86000</x:v>
      </x:c>
      <x:c r="H9" s="30" t="n">
        <x:v>16</x:v>
      </x:c>
      <x:c r="I9" s="30" t="n">
        <x:v>510</x:v>
      </x:c>
      <x:c r="J9" s="30" t="n">
        <x:v>23</x:v>
      </x:c>
      <x:c r="K9" s="44" t="n">
        <x:v>7.2</x:v>
      </x:c>
      <x:c r="L9" s="30" t="n">
        <x:v>92</x:v>
      </x:c>
      <x:c r="M9" s="44" t="n">
        <x:v>1.2</x:v>
      </x:c>
      <x:c r="N9" s="30" t="n">
        <x:v>82</x:v>
      </x:c>
      <x:c r="O9" s="30" t="n">
        <x:v>28</x:v>
      </x:c>
      <x:c r="P9" s="30" t="n">
        <x:v>82</x:v>
      </x:c>
      <x:c r="Q9" s="30" t="n">
        <x:v>4</x:v>
      </x:c>
      <x:c r="R9" s="30" t="n">
        <x:v>3</x:v>
      </x:c>
      <x:c r="S9" s="30" t="n">
        <x:v>1</x:v>
      </x:c>
      <x:c r="T9" s="30" t="n">
        <x:v>3</x:v>
      </x:c>
      <x:c r="U9" s="54" t="n">
        <x:v>1.2</x:v>
      </x:c>
      <x:c r="V9" s="15" t="str">
        <x:v>拉丁帆</x:v>
      </x:c>
      <x:c r="W9" s="44" t="n">
        <x:v>4.6</x:v>
      </x:c>
      <x:c r="X9" s="15" t="str">
        <x:v>结构：1；帆装：1；货舱：1；甲板：1；船艏：1；船艉：1；通用：2</x:v>
      </x:c>
      <x:c r="Y9" s="15" t="str">
        <x:v>维持基本航行与船务的普通水手编制；炮班与突击队需从 crew_max 以内另行分配，独特海员另计薪资并计入补给人数。</x:v>
      </x:c>
      <x:c r="Z9" s="15" t="str">
        <x:v>完整船体、空载、适宜 16 节风与理想帆位；货载与风况按总经济表再乘系数。</x:v>
      </x:c>
      <x:c r="AA9" s="15" t="str">
        <x:v>P007</x:v>
      </x:c>
    </x:row>
    <x:row r="10" ht="42" customHeight="1">
      <x:c r="A10" s="13" t="str">
        <x:v>S005</x:v>
      </x:c>
      <x:c r="B10" s="13" t="str">
        <x:v>白隼·北海巡航舰</x:v>
      </x:c>
      <x:c r="C10" s="13" t="str">
        <x:v>单炮甲板护卫舰</x:v>
      </x:c>
      <x:c r="D10" s="13" t="str">
        <x:v>英格兰—低地</x:v>
      </x:c>
      <x:c r="E10" s="13" t="str">
        <x:v>伦敦；阿姆斯特丹</x:v>
      </x:c>
      <x:c r="F10" s="27" t="n">
        <x:v>4</x:v>
      </x:c>
      <x:c r="G10" s="27" t="n">
        <x:v>260000</x:v>
      </x:c>
      <x:c r="H10" s="27" t="n">
        <x:v>34</x:v>
      </x:c>
      <x:c r="I10" s="27" t="n">
        <x:v>1020</x:v>
      </x:c>
      <x:c r="J10" s="27" t="n">
        <x:v>34</x:v>
      </x:c>
      <x:c r="K10" s="42" t="n">
        <x:v>12.4</x:v>
      </x:c>
      <x:c r="L10" s="27" t="n">
        <x:v>70</x:v>
      </x:c>
      <x:c r="M10" s="42" t="n">
        <x:v>3.8</x:v>
      </x:c>
      <x:c r="N10" s="27" t="n">
        <x:v>180</x:v>
      </x:c>
      <x:c r="O10" s="27" t="n">
        <x:v>42</x:v>
      </x:c>
      <x:c r="P10" s="27" t="n">
        <x:v>175</x:v>
      </x:c>
      <x:c r="Q10" s="27" t="n">
        <x:v>14</x:v>
      </x:c>
      <x:c r="R10" s="27" t="n">
        <x:v>2</x:v>
      </x:c>
      <x:c r="S10" s="27" t="n">
        <x:v>2</x:v>
      </x:c>
      <x:c r="T10" s="27" t="n">
        <x:v>4</x:v>
      </x:c>
      <x:c r="U10" s="52" t="n">
        <x:v>2</x:v>
      </x:c>
      <x:c r="V10" s="13" t="str">
        <x:v>横帆</x:v>
      </x:c>
      <x:c r="W10" s="42" t="n">
        <x:v>0</x:v>
      </x:c>
      <x:c r="X10" s="13" t="str">
        <x:v>结构：1；帆装：1；货舱：1；甲板：1；船艏：1；船艉：1；通用：3</x:v>
      </x:c>
      <x:c r="Y10" s="13" t="str">
        <x:v>维持基本航行与船务的普通水手编制；炮班与突击队需从 crew_max 以内另行分配，独特海员另计薪资并计入补给人数。</x:v>
      </x:c>
      <x:c r="Z10" s="13" t="str">
        <x:v>完整船体、空载、适宜 16 节风与理想帆位；货载与风况按总经济表再乘系数。</x:v>
      </x:c>
      <x:c r="AA10" s="13" t="str">
        <x:v>P001；P002</x:v>
      </x:c>
    </x:row>
    <x:row r="11" ht="42" customHeight="1">
      <x:c r="A11" s="15" t="str">
        <x:v>S006</x:v>
      </x:c>
      <x:c r="B11" s="15" t="str">
        <x:v>冬冠·波罗的海战列舰</x:v>
      </x:c>
      <x:c r="C11" s="15" t="str">
        <x:v>双层炮甲板战列舰</x:v>
      </x:c>
      <x:c r="D11" s="15" t="str">
        <x:v>丹麦—瑞典</x:v>
      </x:c>
      <x:c r="E11" s="15" t="str">
        <x:v>哥本哈根；斯德哥尔摩</x:v>
      </x:c>
      <x:c r="F11" s="30" t="n">
        <x:v>5</x:v>
      </x:c>
      <x:c r="G11" s="30" t="n">
        <x:v>880000</x:v>
      </x:c>
      <x:c r="H11" s="30" t="n">
        <x:v>65</x:v>
      </x:c>
      <x:c r="I11" s="30" t="n">
        <x:v>2380</x:v>
      </x:c>
      <x:c r="J11" s="30" t="n">
        <x:v>57</x:v>
      </x:c>
      <x:c r="K11" s="44" t="n">
        <x:v>8.9</x:v>
      </x:c>
      <x:c r="L11" s="30" t="n">
        <x:v>33</x:v>
      </x:c>
      <x:c r="M11" s="44" t="n">
        <x:v>5.7</x:v>
      </x:c>
      <x:c r="N11" s="30" t="n">
        <x:v>255</x:v>
      </x:c>
      <x:c r="O11" s="30" t="n">
        <x:v>130</x:v>
      </x:c>
      <x:c r="P11" s="30" t="n">
        <x:v>430</x:v>
      </x:c>
      <x:c r="Q11" s="30" t="n">
        <x:v>32</x:v>
      </x:c>
      <x:c r="R11" s="30" t="n">
        <x:v>2</x:v>
      </x:c>
      <x:c r="S11" s="30" t="n">
        <x:v>2</x:v>
      </x:c>
      <x:c r="T11" s="30" t="n">
        <x:v>4</x:v>
      </x:c>
      <x:c r="U11" s="54" t="n">
        <x:v>3.5</x:v>
      </x:c>
      <x:c r="V11" s="15" t="str">
        <x:v>横帆</x:v>
      </x:c>
      <x:c r="W11" s="44" t="n">
        <x:v>0</x:v>
      </x:c>
      <x:c r="X11" s="15" t="str">
        <x:v>结构：1；帆装：1；货舱：1；甲板：1；船艏：1；船艉：1；通用：3</x:v>
      </x:c>
      <x:c r="Y11" s="15" t="str">
        <x:v>维持基本航行与船务的普通水手编制；炮班与突击队需从 crew_max 以内另行分配，独特海员另计薪资并计入补给人数。</x:v>
      </x:c>
      <x:c r="Z11" s="15" t="str">
        <x:v>完整船体、空载、适宜 16 节风与理想帆位；货载与风况按总经济表再乘系数。</x:v>
      </x:c>
      <x:c r="AA11" s="15" t="str">
        <x:v>P006；P007</x:v>
      </x:c>
    </x:row>
    <x:row r="12" ht="42" customHeight="1">
      <x:c r="A12" s="13" t="str">
        <x:v>S007</x:v>
      </x:c>
      <x:c r="B12" s="13" t="str">
        <x:v>海燕·拉丁帆卡拉维尔</x:v>
      </x:c>
      <x:c r="C12" s="13" t="str">
        <x:v>Caravel 卡拉维尔</x:v>
      </x:c>
      <x:c r="D12" s="13" t="str">
        <x:v>葡萄牙</x:v>
      </x:c>
      <x:c r="E12" s="13" t="str">
        <x:v>里斯本；波尔图</x:v>
      </x:c>
      <x:c r="F12" s="27" t="n">
        <x:v>0</x:v>
      </x:c>
      <x:c r="G12" s="27" t="n">
        <x:v>9500</x:v>
      </x:c>
      <x:c r="H12" s="27" t="n">
        <x:v>7</x:v>
      </x:c>
      <x:c r="I12" s="27" t="n">
        <x:v>215</x:v>
      </x:c>
      <x:c r="J12" s="27" t="n">
        <x:v>10</x:v>
      </x:c>
      <x:c r="K12" s="42" t="n">
        <x:v>9.4</x:v>
      </x:c>
      <x:c r="L12" s="27" t="n">
        <x:v>84</x:v>
      </x:c>
      <x:c r="M12" s="42" t="n">
        <x:v>1.4</x:v>
      </x:c>
      <x:c r="N12" s="27" t="n">
        <x:v>80</x:v>
      </x:c>
      <x:c r="O12" s="27" t="n">
        <x:v>7</x:v>
      </x:c>
      <x:c r="P12" s="27" t="n">
        <x:v>28</x:v>
      </x:c>
      <x:c r="Q12" s="27" t="n">
        <x:v>2</x:v>
      </x:c>
      <x:c r="R12" s="27" t="n">
        <x:v>1</x:v>
      </x:c>
      <x:c r="S12" s="27" t="n">
        <x:v>0</x:v>
      </x:c>
      <x:c r="T12" s="27" t="n">
        <x:v>2</x:v>
      </x:c>
      <x:c r="U12" s="52" t="n">
        <x:v>0.35</x:v>
      </x:c>
      <x:c r="V12" s="13" t="str">
        <x:v>拉丁帆</x:v>
      </x:c>
      <x:c r="W12" s="42" t="n">
        <x:v>0</x:v>
      </x:c>
      <x:c r="X12" s="13" t="str">
        <x:v>结构：1；帆装：1；货舱：1；甲板：1；船艏：1；船艉：1；通用：1</x:v>
      </x:c>
      <x:c r="Y12" s="13" t="str">
        <x:v>维持基本航行与船务的普通水手编制；炮班与突击队需从 crew_max 以内另行分配，独特海员另计薪资并计入补给人数。</x:v>
      </x:c>
      <x:c r="Z12" s="13" t="str">
        <x:v>完整船体、空载、适宜 16 节风与理想帆位；货载与风况按总经济表再乘系数。</x:v>
      </x:c>
      <x:c r="AA12" s="13" t="str">
        <x:v>P011；P012</x:v>
      </x:c>
    </x:row>
    <x:row r="13" ht="42" customHeight="1">
      <x:c r="A13" s="15" t="str">
        <x:v>S008</x:v>
      </x:c>
      <x:c r="B13" s="15" t="str">
        <x:v>落日·混帆远航船</x:v>
      </x:c>
      <x:c r="C13" s="15" t="str">
        <x:v>Caravela Redonda 混帆卡拉维尔</x:v>
      </x:c>
      <x:c r="D13" s="15" t="str">
        <x:v>葡萄牙</x:v>
      </x:c>
      <x:c r="E13" s="15" t="str">
        <x:v>里斯本</x:v>
      </x:c>
      <x:c r="F13" s="30" t="n">
        <x:v>1</x:v>
      </x:c>
      <x:c r="G13" s="30" t="n">
        <x:v>26000</x:v>
      </x:c>
      <x:c r="H13" s="30" t="n">
        <x:v>12</x:v>
      </x:c>
      <x:c r="I13" s="30" t="n">
        <x:v>365</x:v>
      </x:c>
      <x:c r="J13" s="30" t="n">
        <x:v>15</x:v>
      </x:c>
      <x:c r="K13" s="44" t="n">
        <x:v>10</x:v>
      </x:c>
      <x:c r="L13" s="30" t="n">
        <x:v>74</x:v>
      </x:c>
      <x:c r="M13" s="44" t="n">
        <x:v>1.9</x:v>
      </x:c>
      <x:c r="N13" s="30" t="n">
        <x:v>130</x:v>
      </x:c>
      <x:c r="O13" s="30" t="n">
        <x:v>11</x:v>
      </x:c>
      <x:c r="P13" s="30" t="n">
        <x:v>45</x:v>
      </x:c>
      <x:c r="Q13" s="30" t="n">
        <x:v>4</x:v>
      </x:c>
      <x:c r="R13" s="30" t="n">
        <x:v>1</x:v>
      </x:c>
      <x:c r="S13" s="30" t="n">
        <x:v>1</x:v>
      </x:c>
      <x:c r="T13" s="30" t="n">
        <x:v>2</x:v>
      </x:c>
      <x:c r="U13" s="54" t="n">
        <x:v>1.2</x:v>
      </x:c>
      <x:c r="V13" s="15" t="str">
        <x:v>混帆</x:v>
      </x:c>
      <x:c r="W13" s="44" t="n">
        <x:v>0</x:v>
      </x:c>
      <x:c r="X13" s="15" t="str">
        <x:v>结构：1；帆装：1；货舱：1；甲板：1；船艏：1；船艉：1；通用：1</x:v>
      </x:c>
      <x:c r="Y13" s="15" t="str">
        <x:v>维持基本航行与船务的普通水手编制；炮班与突击队需从 crew_max 以内另行分配，独特海员另计薪资并计入补给人数。</x:v>
      </x:c>
      <x:c r="Z13" s="15" t="str">
        <x:v>完整船体、空载、适宜 16 节风与理想帆位；货载与风况按总经济表再乘系数。</x:v>
      </x:c>
      <x:c r="AA13" s="15" t="str">
        <x:v>P011</x:v>
      </x:c>
    </x:row>
    <x:row r="14" ht="42" customHeight="1">
      <x:c r="A14" s="13" t="str">
        <x:v>S009</x:v>
      </x:c>
      <x:c r="B14" s="13" t="str">
        <x:v>白鲸·深舱卡拉克</x:v>
      </x:c>
      <x:c r="C14" s="13" t="str">
        <x:v>Carrack 卡拉克</x:v>
      </x:c>
      <x:c r="D14" s="13" t="str">
        <x:v>葡萄牙—巴斯克</x:v>
      </x:c>
      <x:c r="E14" s="13" t="str">
        <x:v>里斯本；塞维利亚</x:v>
      </x:c>
      <x:c r="F14" s="27" t="n">
        <x:v>2</x:v>
      </x:c>
      <x:c r="G14" s="27" t="n">
        <x:v>79000</x:v>
      </x:c>
      <x:c r="H14" s="27" t="n">
        <x:v>23</x:v>
      </x:c>
      <x:c r="I14" s="27" t="n">
        <x:v>730</x:v>
      </x:c>
      <x:c r="J14" s="27" t="n">
        <x:v>25</x:v>
      </x:c>
      <x:c r="K14" s="42" t="n">
        <x:v>8</x:v>
      </x:c>
      <x:c r="L14" s="27" t="n">
        <x:v>46</x:v>
      </x:c>
      <x:c r="M14" s="42" t="n">
        <x:v>3.5</x:v>
      </x:c>
      <x:c r="N14" s="27" t="n">
        <x:v>365</x:v>
      </x:c>
      <x:c r="O14" s="27" t="n">
        <x:v>25</x:v>
      </x:c>
      <x:c r="P14" s="27" t="n">
        <x:v>105</x:v>
      </x:c>
      <x:c r="Q14" s="27" t="n">
        <x:v>8</x:v>
      </x:c>
      <x:c r="R14" s="27" t="n">
        <x:v>2</x:v>
      </x:c>
      <x:c r="S14" s="27" t="n">
        <x:v>2</x:v>
      </x:c>
      <x:c r="T14" s="27" t="n">
        <x:v>3</x:v>
      </x:c>
      <x:c r="U14" s="52" t="n">
        <x:v>2</x:v>
      </x:c>
      <x:c r="V14" s="13" t="str">
        <x:v>横帆</x:v>
      </x:c>
      <x:c r="W14" s="42" t="n">
        <x:v>0</x:v>
      </x:c>
      <x:c r="X14" s="13" t="str">
        <x:v>结构：1；帆装：1；货舱：1；甲板：1；船艏：1；船艉：1；通用：2</x:v>
      </x:c>
      <x:c r="Y14" s="13" t="str">
        <x:v>维持基本航行与船务的普通水手编制；炮班与突击队需从 crew_max 以内另行分配，独特海员另计薪资并计入补给人数。</x:v>
      </x:c>
      <x:c r="Z14" s="13" t="str">
        <x:v>完整船体、空载、适宜 16 节风与理想帆位；货载与风况按总经济表再乘系数。</x:v>
      </x:c>
      <x:c r="AA14" s="13" t="str">
        <x:v>P011；P013</x:v>
      </x:c>
    </x:row>
    <x:row r="15" ht="42" customHeight="1">
      <x:c r="A15" s="15" t="str">
        <x:v>S010</x:v>
      </x:c>
      <x:c r="B15" s="15" t="str">
        <x:v>星铸·远洋盖伦</x:v>
      </x:c>
      <x:c r="C15" s="15" t="str">
        <x:v>Galleon 盖伦</x:v>
      </x:c>
      <x:c r="D15" s="15" t="str">
        <x:v>伊比利亚</x:v>
      </x:c>
      <x:c r="E15" s="15" t="str">
        <x:v>塞维利亚；里斯本</x:v>
      </x:c>
      <x:c r="F15" s="30" t="n">
        <x:v>3</x:v>
      </x:c>
      <x:c r="G15" s="30" t="n">
        <x:v>160000</x:v>
      </x:c>
      <x:c r="H15" s="30" t="n">
        <x:v>29</x:v>
      </x:c>
      <x:c r="I15" s="30" t="n">
        <x:v>1060</x:v>
      </x:c>
      <x:c r="J15" s="30" t="n">
        <x:v>34</x:v>
      </x:c>
      <x:c r="K15" s="44" t="n">
        <x:v>9.4</x:v>
      </x:c>
      <x:c r="L15" s="30" t="n">
        <x:v>50</x:v>
      </x:c>
      <x:c r="M15" s="44" t="n">
        <x:v>3.9</x:v>
      </x:c>
      <x:c r="N15" s="30" t="n">
        <x:v>340</x:v>
      </x:c>
      <x:c r="O15" s="30" t="n">
        <x:v>43</x:v>
      </x:c>
      <x:c r="P15" s="30" t="n">
        <x:v>190</x:v>
      </x:c>
      <x:c r="Q15" s="30" t="n">
        <x:v>12</x:v>
      </x:c>
      <x:c r="R15" s="30" t="n">
        <x:v>2</x:v>
      </x:c>
      <x:c r="S15" s="30" t="n">
        <x:v>2</x:v>
      </x:c>
      <x:c r="T15" s="30" t="n">
        <x:v>3</x:v>
      </x:c>
      <x:c r="U15" s="54" t="n">
        <x:v>2</x:v>
      </x:c>
      <x:c r="V15" s="15" t="str">
        <x:v>横帆</x:v>
      </x:c>
      <x:c r="W15" s="44" t="n">
        <x:v>0</x:v>
      </x:c>
      <x:c r="X15" s="15" t="str">
        <x:v>结构：1；帆装：1；货舱：1；甲板：1；船艏：1；船艉：1；通用：2</x:v>
      </x:c>
      <x:c r="Y15" s="15" t="str">
        <x:v>维持基本航行与船务的普通水手编制；炮班与突击队需从 crew_max 以内另行分配，独特海员另计薪资并计入补给人数。</x:v>
      </x:c>
      <x:c r="Z15" s="15" t="str">
        <x:v>完整船体、空载、适宜 16 节风与理想帆位；货载与风况按总经济表再乘系数。</x:v>
      </x:c>
      <x:c r="AA15" s="15" t="str">
        <x:v>P013；P011</x:v>
      </x:c>
    </x:row>
    <x:row r="16" ht="42" customHeight="1">
      <x:c r="A16" s="13" t="str">
        <x:v>S011</x:v>
      </x:c>
      <x:c r="B16" s="13" t="str">
        <x:v>赤鸢·低艉袭击舰</x:v>
      </x:c>
      <x:c r="C16" s="13" t="str">
        <x:v>Race-built Galleon 低艉盖伦</x:v>
      </x:c>
      <x:c r="D16" s="13" t="str">
        <x:v>英格兰—布列塔尼</x:v>
      </x:c>
      <x:c r="E16" s="13" t="str">
        <x:v>伦敦；南特</x:v>
      </x:c>
      <x:c r="F16" s="27" t="n">
        <x:v>4</x:v>
      </x:c>
      <x:c r="G16" s="27" t="n">
        <x:v>295000</x:v>
      </x:c>
      <x:c r="H16" s="27" t="n">
        <x:v>36</x:v>
      </x:c>
      <x:c r="I16" s="27" t="n">
        <x:v>1090</x:v>
      </x:c>
      <x:c r="J16" s="27" t="n">
        <x:v>32</x:v>
      </x:c>
      <x:c r="K16" s="42" t="n">
        <x:v>12</x:v>
      </x:c>
      <x:c r="L16" s="27" t="n">
        <x:v>65</x:v>
      </x:c>
      <x:c r="M16" s="42" t="n">
        <x:v>3.5</x:v>
      </x:c>
      <x:c r="N16" s="27" t="n">
        <x:v>205</x:v>
      </x:c>
      <x:c r="O16" s="27" t="n">
        <x:v>42</x:v>
      </x:c>
      <x:c r="P16" s="27" t="n">
        <x:v>180</x:v>
      </x:c>
      <x:c r="Q16" s="27" t="n">
        <x:v>15</x:v>
      </x:c>
      <x:c r="R16" s="27" t="n">
        <x:v>2</x:v>
      </x:c>
      <x:c r="S16" s="27" t="n">
        <x:v>2</x:v>
      </x:c>
      <x:c r="T16" s="27" t="n">
        <x:v>4</x:v>
      </x:c>
      <x:c r="U16" s="52" t="n">
        <x:v>2</x:v>
      </x:c>
      <x:c r="V16" s="13" t="str">
        <x:v>横帆</x:v>
      </x:c>
      <x:c r="W16" s="42" t="n">
        <x:v>0</x:v>
      </x:c>
      <x:c r="X16" s="13" t="str">
        <x:v>结构：1；帆装：1；货舱：1；甲板：1；船艏：1；船艉：1；通用：3</x:v>
      </x:c>
      <x:c r="Y16" s="13" t="str">
        <x:v>维持基本航行与船务的普通水手编制；炮班与突击队需从 crew_max 以内另行分配，独特海员另计薪资并计入补给人数。</x:v>
      </x:c>
      <x:c r="Z16" s="13" t="str">
        <x:v>完整船体、空载、适宜 16 节风与理想帆位；货载与风况按总经济表再乘系数。</x:v>
      </x:c>
      <x:c r="AA16" s="13" t="str">
        <x:v>P001；P018</x:v>
      </x:c>
    </x:row>
    <x:row r="17" ht="42" customHeight="1">
      <x:c r="A17" s="15" t="str">
        <x:v>S012</x:v>
      </x:c>
      <x:c r="B17" s="15" t="str">
        <x:v>圣潮·双层重炮舰</x:v>
      </x:c>
      <x:c r="C17" s="15" t="str">
        <x:v>74 炮时代双层战列舰变体</x:v>
      </x:c>
      <x:c r="D17" s="15" t="str">
        <x:v>法国—伊比利亚</x:v>
      </x:c>
      <x:c r="E17" s="15" t="str">
        <x:v>南特；塞维利亚</x:v>
      </x:c>
      <x:c r="F17" s="30" t="n">
        <x:v>5</x:v>
      </x:c>
      <x:c r="G17" s="30" t="n">
        <x:v>940000</x:v>
      </x:c>
      <x:c r="H17" s="30" t="n">
        <x:v>67</x:v>
      </x:c>
      <x:c r="I17" s="30" t="n">
        <x:v>2500</x:v>
      </x:c>
      <x:c r="J17" s="30" t="n">
        <x:v>59</x:v>
      </x:c>
      <x:c r="K17" s="44" t="n">
        <x:v>9.6</x:v>
      </x:c>
      <x:c r="L17" s="30" t="n">
        <x:v>36</x:v>
      </x:c>
      <x:c r="M17" s="44" t="n">
        <x:v>5.9</x:v>
      </x:c>
      <x:c r="N17" s="30" t="n">
        <x:v>280</x:v>
      </x:c>
      <x:c r="O17" s="30" t="n">
        <x:v>145</x:v>
      </x:c>
      <x:c r="P17" s="30" t="n">
        <x:v>455</x:v>
      </x:c>
      <x:c r="Q17" s="30" t="n">
        <x:v>34</x:v>
      </x:c>
      <x:c r="R17" s="30" t="n">
        <x:v>2</x:v>
      </x:c>
      <x:c r="S17" s="30" t="n">
        <x:v>2</x:v>
      </x:c>
      <x:c r="T17" s="30" t="n">
        <x:v>4</x:v>
      </x:c>
      <x:c r="U17" s="54" t="n">
        <x:v>3.5</x:v>
      </x:c>
      <x:c r="V17" s="15" t="str">
        <x:v>横帆</x:v>
      </x:c>
      <x:c r="W17" s="44" t="n">
        <x:v>0</x:v>
      </x:c>
      <x:c r="X17" s="15" t="str">
        <x:v>结构：1；帆装：1；货舱：1；甲板：1；船艏：1；船艉：1；通用：3</x:v>
      </x:c>
      <x:c r="Y17" s="15" t="str">
        <x:v>维持基本航行与船务的普通水手编制；炮班与突击队需从 crew_max 以内另行分配，独特海员另计薪资并计入补给人数。</x:v>
      </x:c>
      <x:c r="Z17" s="15" t="str">
        <x:v>完整船体、空载、适宜 16 节风与理想帆位；货载与风况按总经济表再乘系数。</x:v>
      </x:c>
      <x:c r="AA17" s="15" t="str">
        <x:v>P018；P013</x:v>
      </x:c>
    </x:row>
    <x:row r="18" ht="42" customHeight="1">
      <x:c r="A18" s="13" t="str">
        <x:v>S013</x:v>
      </x:c>
      <x:c r="B18" s="13" t="str">
        <x:v>蓝陶·三角帆塔尔坦</x:v>
      </x:c>
      <x:c r="C18" s="13" t="str">
        <x:v>Tartane 地中海沿岸帆船</x:v>
      </x:c>
      <x:c r="D18" s="13" t="str">
        <x:v>普罗旺斯—利古里亚</x:v>
      </x:c>
      <x:c r="E18" s="13" t="str">
        <x:v>热那亚；坎迪亚</x:v>
      </x:c>
      <x:c r="F18" s="27" t="n">
        <x:v>0</x:v>
      </x:c>
      <x:c r="G18" s="27" t="n">
        <x:v>8200</x:v>
      </x:c>
      <x:c r="H18" s="27" t="n">
        <x:v>6</x:v>
      </x:c>
      <x:c r="I18" s="27" t="n">
        <x:v>205</x:v>
      </x:c>
      <x:c r="J18" s="27" t="n">
        <x:v>9</x:v>
      </x:c>
      <x:c r="K18" s="42" t="n">
        <x:v>9</x:v>
      </x:c>
      <x:c r="L18" s="27" t="n">
        <x:v>90</x:v>
      </x:c>
      <x:c r="M18" s="42" t="n">
        <x:v>1.2</x:v>
      </x:c>
      <x:c r="N18" s="27" t="n">
        <x:v>76</x:v>
      </x:c>
      <x:c r="O18" s="27" t="n">
        <x:v>6</x:v>
      </x:c>
      <x:c r="P18" s="27" t="n">
        <x:v>27</x:v>
      </x:c>
      <x:c r="Q18" s="27" t="n">
        <x:v>2</x:v>
      </x:c>
      <x:c r="R18" s="27" t="n">
        <x:v>1</x:v>
      </x:c>
      <x:c r="S18" s="27" t="n">
        <x:v>0</x:v>
      </x:c>
      <x:c r="T18" s="27" t="n">
        <x:v>2</x:v>
      </x:c>
      <x:c r="U18" s="52" t="n">
        <x:v>0.35</x:v>
      </x:c>
      <x:c r="V18" s="13" t="str">
        <x:v>拉丁帆</x:v>
      </x:c>
      <x:c r="W18" s="42" t="n">
        <x:v>0</x:v>
      </x:c>
      <x:c r="X18" s="13" t="str">
        <x:v>结构：1；帆装：1；货舱：1；甲板：1；船艏：1；船艉：1；通用：1</x:v>
      </x:c>
      <x:c r="Y18" s="13" t="str">
        <x:v>维持基本航行与船务的普通水手编制；炮班与突击队需从 crew_max 以内另行分配，独特海员另计薪资并计入补给人数。</x:v>
      </x:c>
      <x:c r="Z18" s="13" t="str">
        <x:v>完整船体、空载、适宜 16 节风与理想帆位；货载与风况按总经济表再乘系数。</x:v>
      </x:c>
      <x:c r="AA18" s="13" t="str">
        <x:v>P022；P031</x:v>
      </x:c>
    </x:row>
    <x:row r="19" ht="42" customHeight="1">
      <x:c r="A19" s="15" t="str">
        <x:v>S014</x:v>
      </x:c>
      <x:c r="B19" s="15" t="str">
        <x:v>铜雀·轻桨帆战艇</x:v>
      </x:c>
      <x:c r="C19" s="15" t="str">
        <x:v>Fusta 轻桨帆船</x:v>
      </x:c>
      <x:c r="D19" s="15" t="str">
        <x:v>亚得里亚海</x:v>
      </x:c>
      <x:c r="E19" s="15" t="str">
        <x:v>威尼斯；拉古萨</x:v>
      </x:c>
      <x:c r="F19" s="30" t="n">
        <x:v>1</x:v>
      </x:c>
      <x:c r="G19" s="30" t="n">
        <x:v>22000</x:v>
      </x:c>
      <x:c r="H19" s="30" t="n">
        <x:v>10</x:v>
      </x:c>
      <x:c r="I19" s="30" t="n">
        <x:v>335</x:v>
      </x:c>
      <x:c r="J19" s="30" t="n">
        <x:v>14</x:v>
      </x:c>
      <x:c r="K19" s="44" t="n">
        <x:v>8.5</x:v>
      </x:c>
      <x:c r="L19" s="30" t="n">
        <x:v>95</x:v>
      </x:c>
      <x:c r="M19" s="44" t="n">
        <x:v>1.1</x:v>
      </x:c>
      <x:c r="N19" s="30" t="n">
        <x:v>65</x:v>
      </x:c>
      <x:c r="O19" s="30" t="n">
        <x:v>24</x:v>
      </x:c>
      <x:c r="P19" s="30" t="n">
        <x:v>68</x:v>
      </x:c>
      <x:c r="Q19" s="30" t="n">
        <x:v>2</x:v>
      </x:c>
      <x:c r="R19" s="30" t="n">
        <x:v>2</x:v>
      </x:c>
      <x:c r="S19" s="30" t="n">
        <x:v>0</x:v>
      </x:c>
      <x:c r="T19" s="30" t="n">
        <x:v>2</x:v>
      </x:c>
      <x:c r="U19" s="54" t="n">
        <x:v>0.35</x:v>
      </x:c>
      <x:c r="V19" s="15" t="str">
        <x:v>拉丁帆</x:v>
      </x:c>
      <x:c r="W19" s="44" t="n">
        <x:v>4.8</x:v>
      </x:c>
      <x:c r="X19" s="15" t="str">
        <x:v>结构：1；帆装：1；货舱：1；甲板：1；船艏：1；船艉：1；通用：1</x:v>
      </x:c>
      <x:c r="Y19" s="15" t="str">
        <x:v>维持基本航行与船务的普通水手编制；炮班与突击队需从 crew_max 以内另行分配，独特海员另计薪资并计入补给人数。</x:v>
      </x:c>
      <x:c r="Z19" s="15" t="str">
        <x:v>完整船体、空载、适宜 16 节风与理想帆位；货载与风况按总经济表再乘系数。</x:v>
      </x:c>
      <x:c r="AA19" s="15" t="str">
        <x:v>P023；P033</x:v>
      </x:c>
    </x:row>
    <x:row r="20" ht="42" customHeight="1">
      <x:c r="A20" s="13" t="str">
        <x:v>S015</x:v>
      </x:c>
      <x:c r="B20" s="13" t="str">
        <x:v>月弯·地中海舍贝克</x:v>
      </x:c>
      <x:c r="C20" s="13" t="str">
        <x:v>Xebec 舍贝克</x:v>
      </x:c>
      <x:c r="D20" s="13" t="str">
        <x:v>马格里布—地中海</x:v>
      </x:c>
      <x:c r="E20" s="13" t="str">
        <x:v>亚历山大；君士坦丁堡</x:v>
      </x:c>
      <x:c r="F20" s="27" t="n">
        <x:v>2</x:v>
      </x:c>
      <x:c r="G20" s="27" t="n">
        <x:v>67000</x:v>
      </x:c>
      <x:c r="H20" s="27" t="n">
        <x:v>18</x:v>
      </x:c>
      <x:c r="I20" s="27" t="n">
        <x:v>575</x:v>
      </x:c>
      <x:c r="J20" s="27" t="n">
        <x:v>18</x:v>
      </x:c>
      <x:c r="K20" s="42" t="n">
        <x:v>12.2</x:v>
      </x:c>
      <x:c r="L20" s="27" t="n">
        <x:v>88</x:v>
      </x:c>
      <x:c r="M20" s="42" t="n">
        <x:v>1.8</x:v>
      </x:c>
      <x:c r="N20" s="27" t="n">
        <x:v>165</x:v>
      </x:c>
      <x:c r="O20" s="27" t="n">
        <x:v>20</x:v>
      </x:c>
      <x:c r="P20" s="27" t="n">
        <x:v>95</x:v>
      </x:c>
      <x:c r="Q20" s="27" t="n">
        <x:v>6</x:v>
      </x:c>
      <x:c r="R20" s="27" t="n">
        <x:v>2</x:v>
      </x:c>
      <x:c r="S20" s="27" t="n">
        <x:v>1</x:v>
      </x:c>
      <x:c r="T20" s="27" t="n">
        <x:v>3</x:v>
      </x:c>
      <x:c r="U20" s="52" t="n">
        <x:v>1.2</x:v>
      </x:c>
      <x:c r="V20" s="13" t="str">
        <x:v>拉丁帆</x:v>
      </x:c>
      <x:c r="W20" s="42" t="n">
        <x:v>3.8</x:v>
      </x:c>
      <x:c r="X20" s="13" t="str">
        <x:v>结构：1；帆装：1；货舱：1；甲板：1；船艏：1；船艉：1；通用：2</x:v>
      </x:c>
      <x:c r="Y20" s="13" t="str">
        <x:v>维持基本航行与船务的普通水手编制；炮班与突击队需从 crew_max 以内另行分配，独特海员另计薪资并计入补给人数。</x:v>
      </x:c>
      <x:c r="Z20" s="13" t="str">
        <x:v>完整船体、空载、适宜 16 节风与理想帆位；货载与风况按总经济表再乘系数。</x:v>
      </x:c>
      <x:c r="AA20" s="13" t="str">
        <x:v>P030；P032</x:v>
      </x:c>
    </x:row>
    <x:row r="21" ht="42" customHeight="1">
      <x:c r="A21" s="15" t="str">
        <x:v>S016</x:v>
      </x:c>
      <x:c r="B21" s="15" t="str">
        <x:v>绯狮·大桨帆战舰</x:v>
      </x:c>
      <x:c r="C21" s="15" t="str">
        <x:v>Galley 大桨帆船</x:v>
      </x:c>
      <x:c r="D21" s="15" t="str">
        <x:v>威尼斯—奥斯曼</x:v>
      </x:c>
      <x:c r="E21" s="15" t="str">
        <x:v>威尼斯；君士坦丁堡</x:v>
      </x:c>
      <x:c r="F21" s="30" t="n">
        <x:v>3</x:v>
      </x:c>
      <x:c r="G21" s="30" t="n">
        <x:v>122000</x:v>
      </x:c>
      <x:c r="H21" s="30" t="n">
        <x:v>25</x:v>
      </x:c>
      <x:c r="I21" s="30" t="n">
        <x:v>840</x:v>
      </x:c>
      <x:c r="J21" s="30" t="n">
        <x:v>31</x:v>
      </x:c>
      <x:c r="K21" s="44" t="n">
        <x:v>8</x:v>
      </x:c>
      <x:c r="L21" s="30" t="n">
        <x:v>79</x:v>
      </x:c>
      <x:c r="M21" s="44" t="n">
        <x:v>1.7</x:v>
      </x:c>
      <x:c r="N21" s="30" t="n">
        <x:v>105</x:v>
      </x:c>
      <x:c r="O21" s="30" t="n">
        <x:v>75</x:v>
      </x:c>
      <x:c r="P21" s="30" t="n">
        <x:v>235</x:v>
      </x:c>
      <x:c r="Q21" s="30" t="n">
        <x:v>3</x:v>
      </x:c>
      <x:c r="R21" s="30" t="n">
        <x:v>5</x:v>
      </x:c>
      <x:c r="S21" s="30" t="n">
        <x:v>1</x:v>
      </x:c>
      <x:c r="T21" s="30" t="n">
        <x:v>3</x:v>
      </x:c>
      <x:c r="U21" s="54" t="n">
        <x:v>2</x:v>
      </x:c>
      <x:c r="V21" s="15" t="str">
        <x:v>拉丁帆</x:v>
      </x:c>
      <x:c r="W21" s="44" t="n">
        <x:v>5</x:v>
      </x:c>
      <x:c r="X21" s="15" t="str">
        <x:v>结构：1；帆装：1；货舱：1；甲板：1；船艏：1；船艉：1；通用：2</x:v>
      </x:c>
      <x:c r="Y21" s="15" t="str">
        <x:v>维持基本航行与船务的普通水手编制；炮班与突击队需从 crew_max 以内另行分配，独特海员另计薪资并计入补给人数。</x:v>
      </x:c>
      <x:c r="Z21" s="15" t="str">
        <x:v>完整船体、空载、适宜 16 节风与理想帆位；货载与风况按总经济表再乘系数。</x:v>
      </x:c>
      <x:c r="AA21" s="15" t="str">
        <x:v>P023；P032</x:v>
      </x:c>
    </x:row>
    <x:row r="22" ht="42" customHeight="1">
      <x:c r="A22" s="13" t="str">
        <x:v>S017</x:v>
      </x:c>
      <x:c r="B22" s="13" t="str">
        <x:v>琉璃堡·加莱赛重桨舰</x:v>
      </x:c>
      <x:c r="C22" s="13" t="str">
        <x:v>Galleass 加莱赛桨帆舰</x:v>
      </x:c>
      <x:c r="D22" s="13" t="str">
        <x:v>威尼斯</x:v>
      </x:c>
      <x:c r="E22" s="13" t="str">
        <x:v>威尼斯</x:v>
      </x:c>
      <x:c r="F22" s="27" t="n">
        <x:v>4</x:v>
      </x:c>
      <x:c r="G22" s="27" t="n">
        <x:v>335000</x:v>
      </x:c>
      <x:c r="H22" s="27" t="n">
        <x:v>40</x:v>
      </x:c>
      <x:c r="I22" s="27" t="n">
        <x:v>1520</x:v>
      </x:c>
      <x:c r="J22" s="27" t="n">
        <x:v>46</x:v>
      </x:c>
      <x:c r="K22" s="42" t="n">
        <x:v>6.9</x:v>
      </x:c>
      <x:c r="L22" s="27" t="n">
        <x:v>57</x:v>
      </x:c>
      <x:c r="M22" s="42" t="n">
        <x:v>2.6</x:v>
      </x:c>
      <x:c r="N22" s="27" t="n">
        <x:v>200</x:v>
      </x:c>
      <x:c r="O22" s="27" t="n">
        <x:v>110</x:v>
      </x:c>
      <x:c r="P22" s="27" t="n">
        <x:v>325</x:v>
      </x:c>
      <x:c r="Q22" s="27" t="n">
        <x:v>12</x:v>
      </x:c>
      <x:c r="R22" s="27" t="n">
        <x:v>4</x:v>
      </x:c>
      <x:c r="S22" s="27" t="n">
        <x:v>3</x:v>
      </x:c>
      <x:c r="T22" s="27" t="n">
        <x:v>4</x:v>
      </x:c>
      <x:c r="U22" s="52" t="n">
        <x:v>2.8</x:v>
      </x:c>
      <x:c r="V22" s="13" t="str">
        <x:v>拉丁帆</x:v>
      </x:c>
      <x:c r="W22" s="42" t="n">
        <x:v>3.6</x:v>
      </x:c>
      <x:c r="X22" s="13" t="str">
        <x:v>结构：1；帆装：1；货舱：1；甲板：1；船艏：1；船艉：1；通用：3</x:v>
      </x:c>
      <x:c r="Y22" s="13" t="str">
        <x:v>维持基本航行与船务的普通水手编制；炮班与突击队需从 crew_max 以内另行分配，独特海员另计薪资并计入补给人数。</x:v>
      </x:c>
      <x:c r="Z22" s="13" t="str">
        <x:v>完整船体、空载、适宜 16 节风与理想帆位；货载与风况按总经济表再乘系数。</x:v>
      </x:c>
      <x:c r="AA22" s="13" t="str">
        <x:v>P023</x:v>
      </x:c>
    </x:row>
    <x:row r="23" ht="42" customHeight="1">
      <x:c r="A23" s="15" t="str">
        <x:v>S018</x:v>
      </x:c>
      <x:c r="B23" s="15" t="str">
        <x:v>黑海鸢尾·军需圆船</x:v>
      </x:c>
      <x:c r="C23" s="15" t="str">
        <x:v>武装圆船／近海运输旗舰</x:v>
      </x:c>
      <x:c r="D23" s="15" t="str">
        <x:v>黑海—希腊</x:v>
      </x:c>
      <x:c r="E23" s="15" t="str">
        <x:v>君士坦丁堡；卡法</x:v>
      </x:c>
      <x:c r="F23" s="30" t="n">
        <x:v>5</x:v>
      </x:c>
      <x:c r="G23" s="30" t="n">
        <x:v>410000</x:v>
      </x:c>
      <x:c r="H23" s="30" t="n">
        <x:v>42</x:v>
      </x:c>
      <x:c r="I23" s="30" t="n">
        <x:v>1460</x:v>
      </x:c>
      <x:c r="J23" s="30" t="n">
        <x:v>40</x:v>
      </x:c>
      <x:c r="K23" s="44" t="n">
        <x:v>9.2</x:v>
      </x:c>
      <x:c r="L23" s="30" t="n">
        <x:v>51</x:v>
      </x:c>
      <x:c r="M23" s="44" t="n">
        <x:v>3.8</x:v>
      </x:c>
      <x:c r="N23" s="30" t="n">
        <x:v>525</x:v>
      </x:c>
      <x:c r="O23" s="30" t="n">
        <x:v>58</x:v>
      </x:c>
      <x:c r="P23" s="30" t="n">
        <x:v>240</x:v>
      </x:c>
      <x:c r="Q23" s="30" t="n">
        <x:v>13</x:v>
      </x:c>
      <x:c r="R23" s="30" t="n">
        <x:v>2</x:v>
      </x:c>
      <x:c r="S23" s="30" t="n">
        <x:v>2</x:v>
      </x:c>
      <x:c r="T23" s="30" t="n">
        <x:v>4</x:v>
      </x:c>
      <x:c r="U23" s="54" t="n">
        <x:v>2.8</x:v>
      </x:c>
      <x:c r="V23" s="15" t="str">
        <x:v>混帆</x:v>
      </x:c>
      <x:c r="W23" s="44" t="n">
        <x:v>0</x:v>
      </x:c>
      <x:c r="X23" s="15" t="str">
        <x:v>结构：1；帆装：1；货舱：1；甲板：1；船艏：1；船艉：1；通用：3</x:v>
      </x:c>
      <x:c r="Y23" s="15" t="str">
        <x:v>维持基本航行与船务的普通水手编制；炮班与突击队需从 crew_max 以内另行分配，独特海员另计薪资并计入补给人数。</x:v>
      </x:c>
      <x:c r="Z23" s="15" t="str">
        <x:v>完整船体、空载、适宜 16 节风与理想帆位；货载与风况按总经济表再乘系数。</x:v>
      </x:c>
      <x:c r="AA23" s="15" t="str">
        <x:v>P032；P034</x:v>
      </x:c>
    </x:row>
    <x:row r="24" ht="42" customHeight="1">
      <x:c r="A24" s="13" t="str">
        <x:v>S019</x:v>
      </x:c>
      <x:c r="B24" s="13" t="str">
        <x:v>浪鼓·几内亚海岸舟</x:v>
      </x:c>
      <x:c r="C24" s="13" t="str">
        <x:v>西非大型独木舟变体</x:v>
      </x:c>
      <x:c r="D24" s="13" t="str">
        <x:v>沃洛夫—几内亚湾</x:v>
      </x:c>
      <x:c r="E24" s="13" t="str">
        <x:v>圣路易；埃尔米纳</x:v>
      </x:c>
      <x:c r="F24" s="27" t="n">
        <x:v>0</x:v>
      </x:c>
      <x:c r="G24" s="27" t="n">
        <x:v>5400</x:v>
      </x:c>
      <x:c r="H24" s="27" t="n">
        <x:v>4</x:v>
      </x:c>
      <x:c r="I24" s="27" t="n">
        <x:v>150</x:v>
      </x:c>
      <x:c r="J24" s="27" t="n">
        <x:v>6</x:v>
      </x:c>
      <x:c r="K24" s="42" t="n">
        <x:v>8.2</x:v>
      </x:c>
      <x:c r="L24" s="27" t="n">
        <x:v>98</x:v>
      </x:c>
      <x:c r="M24" s="42" t="n">
        <x:v>0.6</x:v>
      </x:c>
      <x:c r="N24" s="27" t="n">
        <x:v>46</x:v>
      </x:c>
      <x:c r="O24" s="27" t="n">
        <x:v>6</x:v>
      </x:c>
      <x:c r="P24" s="27" t="n">
        <x:v>30</x:v>
      </x:c>
      <x:c r="Q24" s="27" t="n">
        <x:v>0</x:v>
      </x:c>
      <x:c r="R24" s="27" t="n">
        <x:v>1</x:v>
      </x:c>
      <x:c r="S24" s="27" t="n">
        <x:v>0</x:v>
      </x:c>
      <x:c r="T24" s="27" t="n">
        <x:v>2</x:v>
      </x:c>
      <x:c r="U24" s="52" t="n">
        <x:v>0.35</x:v>
      </x:c>
      <x:c r="V24" s="13" t="str">
        <x:v>纵帆</x:v>
      </x:c>
      <x:c r="W24" s="42" t="n">
        <x:v>4.8</x:v>
      </x:c>
      <x:c r="X24" s="13" t="str">
        <x:v>结构：1；帆装：1；货舱：1；甲板：1；船艏：1；船艉：1；通用：1</x:v>
      </x:c>
      <x:c r="Y24" s="13" t="str">
        <x:v>维持基本航行与船务的普通水手编制；炮班与突击队需从 crew_max 以内另行分配，独特海员另计薪资并计入补给人数。</x:v>
      </x:c>
      <x:c r="Z24" s="13" t="str">
        <x:v>完整船体、空载、适宜 16 节风与理想帆位；货载与风况按总经济表再乘系数。</x:v>
      </x:c>
      <x:c r="AA24" s="13" t="str">
        <x:v>P039；P041</x:v>
      </x:c>
    </x:row>
    <x:row r="25" ht="42" customHeight="1">
      <x:c r="A25" s="15" t="str">
        <x:v>S020</x:v>
      </x:c>
      <x:c r="B25" s="15" t="str">
        <x:v>河金·红树林接驳船</x:v>
      </x:c>
      <x:c r="C25" s="15" t="str">
        <x:v>浅吃水混合帆船</x:v>
      </x:c>
      <x:c r="D25" s="15" t="str">
        <x:v>塞内加尔河口</x:v>
      </x:c>
      <x:c r="E25" s="15" t="str">
        <x:v>圣路易</x:v>
      </x:c>
      <x:c r="F25" s="30" t="n">
        <x:v>1</x:v>
      </x:c>
      <x:c r="G25" s="30" t="n">
        <x:v>19500</x:v>
      </x:c>
      <x:c r="H25" s="30" t="n">
        <x:v>10</x:v>
      </x:c>
      <x:c r="I25" s="30" t="n">
        <x:v>330</x:v>
      </x:c>
      <x:c r="J25" s="30" t="n">
        <x:v>13</x:v>
      </x:c>
      <x:c r="K25" s="44" t="n">
        <x:v>7.8</x:v>
      </x:c>
      <x:c r="L25" s="30" t="n">
        <x:v>88</x:v>
      </x:c>
      <x:c r="M25" s="44" t="n">
        <x:v>0.9</x:v>
      </x:c>
      <x:c r="N25" s="30" t="n">
        <x:v>155</x:v>
      </x:c>
      <x:c r="O25" s="30" t="n">
        <x:v>10</x:v>
      </x:c>
      <x:c r="P25" s="30" t="n">
        <x:v>46</x:v>
      </x:c>
      <x:c r="Q25" s="30" t="n">
        <x:v>3</x:v>
      </x:c>
      <x:c r="R25" s="30" t="n">
        <x:v>1</x:v>
      </x:c>
      <x:c r="S25" s="30" t="n">
        <x:v>0</x:v>
      </x:c>
      <x:c r="T25" s="30" t="n">
        <x:v>2</x:v>
      </x:c>
      <x:c r="U25" s="54" t="n">
        <x:v>0.35</x:v>
      </x:c>
      <x:c r="V25" s="15" t="str">
        <x:v>纵帆</x:v>
      </x:c>
      <x:c r="W25" s="44" t="n">
        <x:v>3.5</x:v>
      </x:c>
      <x:c r="X25" s="15" t="str">
        <x:v>结构：1；帆装：1；货舱：1；甲板：1；船艏：1；船艉：1；通用：1</x:v>
      </x:c>
      <x:c r="Y25" s="15" t="str">
        <x:v>维持基本航行与船务的普通水手编制；炮班与突击队需从 crew_max 以内另行分配，独特海员另计薪资并计入补给人数。</x:v>
      </x:c>
      <x:c r="Z25" s="15" t="str">
        <x:v>完整船体、空载、适宜 16 节风与理想帆位；货载与风况按总经济表再乘系数。</x:v>
      </x:c>
      <x:c r="AA25" s="15" t="str">
        <x:v>P039</x:v>
      </x:c>
    </x:row>
    <x:row r="26" ht="42" customHeight="1">
      <x:c r="A26" s="13" t="str">
        <x:v>S021</x:v>
      </x:c>
      <x:c r="B26" s="13" t="str">
        <x:v>火山铃·岛链轻快商船</x:v>
      </x:c>
      <x:c r="C26" s="13" t="str">
        <x:v>轻型 Brigantine 混帆商船</x:v>
      </x:c>
      <x:c r="D26" s="13" t="str">
        <x:v>大西洋岛屿工匠</x:v>
      </x:c>
      <x:c r="E26" s="13" t="str">
        <x:v>丰沙尔；里贝拉格兰德</x:v>
      </x:c>
      <x:c r="F26" s="27" t="n">
        <x:v>2</x:v>
      </x:c>
      <x:c r="G26" s="27" t="n">
        <x:v>54000</x:v>
      </x:c>
      <x:c r="H26" s="27" t="n">
        <x:v>16</x:v>
      </x:c>
      <x:c r="I26" s="27" t="n">
        <x:v>480</x:v>
      </x:c>
      <x:c r="J26" s="27" t="n">
        <x:v>18</x:v>
      </x:c>
      <x:c r="K26" s="42" t="n">
        <x:v>11</x:v>
      </x:c>
      <x:c r="L26" s="27" t="n">
        <x:v>76</x:v>
      </x:c>
      <x:c r="M26" s="42" t="n">
        <x:v>1.8</x:v>
      </x:c>
      <x:c r="N26" s="27" t="n">
        <x:v>190</x:v>
      </x:c>
      <x:c r="O26" s="27" t="n">
        <x:v>15</x:v>
      </x:c>
      <x:c r="P26" s="27" t="n">
        <x:v>66</x:v>
      </x:c>
      <x:c r="Q26" s="27" t="n">
        <x:v>5</x:v>
      </x:c>
      <x:c r="R26" s="27" t="n">
        <x:v>1</x:v>
      </x:c>
      <x:c r="S26" s="27" t="n">
        <x:v>2</x:v>
      </x:c>
      <x:c r="T26" s="27" t="n">
        <x:v>3</x:v>
      </x:c>
      <x:c r="U26" s="52" t="n">
        <x:v>1.2</x:v>
      </x:c>
      <x:c r="V26" s="13" t="str">
        <x:v>混帆</x:v>
      </x:c>
      <x:c r="W26" s="42" t="n">
        <x:v>0</x:v>
      </x:c>
      <x:c r="X26" s="13" t="str">
        <x:v>结构：1；帆装：1；货舱：1；甲板：1；船艏：1；船艉：1；通用：2</x:v>
      </x:c>
      <x:c r="Y26" s="13" t="str">
        <x:v>维持基本航行与船务的普通水手编制；炮班与突击队需从 crew_max 以内另行分配，独特海员另计薪资并计入补给人数。</x:v>
      </x:c>
      <x:c r="Z26" s="13" t="str">
        <x:v>完整船体、空载、适宜 16 节风与理想帆位；货载与风况按总经济表再乘系数。</x:v>
      </x:c>
      <x:c r="AA26" s="13" t="str">
        <x:v>P035；P040</x:v>
      </x:c>
    </x:row>
    <x:row r="27" ht="42" customHeight="1">
      <x:c r="A27" s="15" t="str">
        <x:v>S022</x:v>
      </x:c>
      <x:c r="B27" s="15" t="str">
        <x:v>长昼·西非护航舰</x:v>
      </x:c>
      <x:c r="C27" s="15" t="str">
        <x:v>热带护航盖伦变体</x:v>
      </x:c>
      <x:c r="D27" s="15" t="str">
        <x:v>西非—伊比利亚船厂交流</x:v>
      </x:c>
      <x:c r="E27" s="15" t="str">
        <x:v>埃尔米纳；圣路易</x:v>
      </x:c>
      <x:c r="F27" s="30" t="n">
        <x:v>4</x:v>
      </x:c>
      <x:c r="G27" s="30" t="n">
        <x:v>248000</x:v>
      </x:c>
      <x:c r="H27" s="30" t="n">
        <x:v>33</x:v>
      </x:c>
      <x:c r="I27" s="30" t="n">
        <x:v>1170</x:v>
      </x:c>
      <x:c r="J27" s="30" t="n">
        <x:v>36</x:v>
      </x:c>
      <x:c r="K27" s="44" t="n">
        <x:v>10.4</x:v>
      </x:c>
      <x:c r="L27" s="30" t="n">
        <x:v>61</x:v>
      </x:c>
      <x:c r="M27" s="44" t="n">
        <x:v>3.3</x:v>
      </x:c>
      <x:c r="N27" s="30" t="n">
        <x:v>300</x:v>
      </x:c>
      <x:c r="O27" s="30" t="n">
        <x:v>42</x:v>
      </x:c>
      <x:c r="P27" s="30" t="n">
        <x:v>185</x:v>
      </x:c>
      <x:c r="Q27" s="30" t="n">
        <x:v>12</x:v>
      </x:c>
      <x:c r="R27" s="30" t="n">
        <x:v>2</x:v>
      </x:c>
      <x:c r="S27" s="30" t="n">
        <x:v>2</x:v>
      </x:c>
      <x:c r="T27" s="30" t="n">
        <x:v>4</x:v>
      </x:c>
      <x:c r="U27" s="54" t="n">
        <x:v>2.8</x:v>
      </x:c>
      <x:c r="V27" s="15" t="str">
        <x:v>混帆</x:v>
      </x:c>
      <x:c r="W27" s="44" t="n">
        <x:v>0</x:v>
      </x:c>
      <x:c r="X27" s="15" t="str">
        <x:v>结构：1；帆装：1；货舱：1；甲板：1；船艏：1；船艉：1；通用：3</x:v>
      </x:c>
      <x:c r="Y27" s="15" t="str">
        <x:v>维持基本航行与船务的普通水手编制；炮班与突击队需从 crew_max 以内另行分配，独特海员另计薪资并计入补给人数。</x:v>
      </x:c>
      <x:c r="Z27" s="15" t="str">
        <x:v>完整船体、空载、适宜 16 节风与理想帆位；货载与风况按总经济表再乘系数。</x:v>
      </x:c>
      <x:c r="AA27" s="15" t="str">
        <x:v>P041；P039</x:v>
      </x:c>
    </x:row>
    <x:row r="28" ht="42" customHeight="1">
      <x:c r="A28" s="13" t="str">
        <x:v>S023</x:v>
      </x:c>
      <x:c r="B28" s="13" t="str">
        <x:v>金岸群灯·浮动市集船</x:v>
      </x:c>
      <x:c r="C28" s="13" t="str">
        <x:v>大型商贸母船</x:v>
      </x:c>
      <x:c r="D28" s="13" t="str">
        <x:v>几内亚湾城市联盟</x:v>
      </x:c>
      <x:c r="E28" s="13" t="str">
        <x:v>埃尔米纳；圣多美</x:v>
      </x:c>
      <x:c r="F28" s="27" t="n">
        <x:v>5</x:v>
      </x:c>
      <x:c r="G28" s="27" t="n">
        <x:v>485000</x:v>
      </x:c>
      <x:c r="H28" s="27" t="n">
        <x:v>46</x:v>
      </x:c>
      <x:c r="I28" s="27" t="n">
        <x:v>1580</x:v>
      </x:c>
      <x:c r="J28" s="27" t="n">
        <x:v>38</x:v>
      </x:c>
      <x:c r="K28" s="42" t="n">
        <x:v>8.3</x:v>
      </x:c>
      <x:c r="L28" s="27" t="n">
        <x:v>41</x:v>
      </x:c>
      <x:c r="M28" s="42" t="n">
        <x:v>3.7</x:v>
      </x:c>
      <x:c r="N28" s="27" t="n">
        <x:v>610</x:v>
      </x:c>
      <x:c r="O28" s="27" t="n">
        <x:v>55</x:v>
      </x:c>
      <x:c r="P28" s="27" t="n">
        <x:v>215</x:v>
      </x:c>
      <x:c r="Q28" s="27" t="n">
        <x:v>10</x:v>
      </x:c>
      <x:c r="R28" s="27" t="n">
        <x:v>2</x:v>
      </x:c>
      <x:c r="S28" s="27" t="n">
        <x:v>2</x:v>
      </x:c>
      <x:c r="T28" s="27" t="n">
        <x:v>4</x:v>
      </x:c>
      <x:c r="U28" s="52" t="n">
        <x:v>2.8</x:v>
      </x:c>
      <x:c r="V28" s="13" t="str">
        <x:v>混帆</x:v>
      </x:c>
      <x:c r="W28" s="42" t="n">
        <x:v>0</x:v>
      </x:c>
      <x:c r="X28" s="13" t="str">
        <x:v>结构：1；帆装：1；货舱：1；甲板：1；船艏：1；船艉：1；通用：3</x:v>
      </x:c>
      <x:c r="Y28" s="13" t="str">
        <x:v>维持基本航行与船务的普通水手编制；炮班与突击队需从 crew_max 以内另行分配，独特海员另计薪资并计入补给人数。</x:v>
      </x:c>
      <x:c r="Z28" s="13" t="str">
        <x:v>完整船体、空载、适宜 16 节风与理想帆位；货载与风况按总经济表再乘系数。</x:v>
      </x:c>
      <x:c r="AA28" s="13" t="str">
        <x:v>P041；P042</x:v>
      </x:c>
    </x:row>
    <x:row r="29" ht="42" customHeight="1">
      <x:c r="A29" s="15" t="str">
        <x:v>S024</x:v>
      </x:c>
      <x:c r="B29" s="15" t="str">
        <x:v>珊瑚针·斯瓦希里缝板帆舟</x:v>
      </x:c>
      <x:c r="C29" s="15" t="str">
        <x:v>缝板晚帆近岸船</x:v>
      </x:c>
      <x:c r="D29" s="15" t="str">
        <x:v>斯瓦希里海岸</x:v>
      </x:c>
      <x:c r="E29" s="15" t="str">
        <x:v>蒙巴萨；桑给巴尔</x:v>
      </x:c>
      <x:c r="F29" s="30" t="n">
        <x:v>0</x:v>
      </x:c>
      <x:c r="G29" s="30" t="n">
        <x:v>6800</x:v>
      </x:c>
      <x:c r="H29" s="30" t="n">
        <x:v>5</x:v>
      </x:c>
      <x:c r="I29" s="30" t="n">
        <x:v>170</x:v>
      </x:c>
      <x:c r="J29" s="30" t="n">
        <x:v>7</x:v>
      </x:c>
      <x:c r="K29" s="44" t="n">
        <x:v>9</x:v>
      </x:c>
      <x:c r="L29" s="30" t="n">
        <x:v>92</x:v>
      </x:c>
      <x:c r="M29" s="44" t="n">
        <x:v>0.8</x:v>
      </x:c>
      <x:c r="N29" s="30" t="n">
        <x:v>65</x:v>
      </x:c>
      <x:c r="O29" s="30" t="n">
        <x:v>5</x:v>
      </x:c>
      <x:c r="P29" s="30" t="n">
        <x:v>24</x:v>
      </x:c>
      <x:c r="Q29" s="30" t="n">
        <x:v>1</x:v>
      </x:c>
      <x:c r="R29" s="30" t="n">
        <x:v>1</x:v>
      </x:c>
      <x:c r="S29" s="30" t="n">
        <x:v>0</x:v>
      </x:c>
      <x:c r="T29" s="30" t="n">
        <x:v>2</x:v>
      </x:c>
      <x:c r="U29" s="54" t="n">
        <x:v>0.35</x:v>
      </x:c>
      <x:c r="V29" s="15" t="str">
        <x:v>晚帆</x:v>
      </x:c>
      <x:c r="W29" s="44" t="n">
        <x:v>0</x:v>
      </x:c>
      <x:c r="X29" s="15" t="str">
        <x:v>结构：1；帆装：1；货舱：1；甲板：1；船艏：1；船艉：1；通用：1</x:v>
      </x:c>
      <x:c r="Y29" s="15" t="str">
        <x:v>维持基本航行与船务的普通水手编制；炮班与突击队需从 crew_max 以内另行分配，独特海员另计薪资并计入补给人数。</x:v>
      </x:c>
      <x:c r="Z29" s="15" t="str">
        <x:v>完整船体、空载、适宜 16 节风与理想帆位；货载与风况按总经济表再乘系数。</x:v>
      </x:c>
      <x:c r="AA29" s="15" t="str">
        <x:v>P048；P047</x:v>
      </x:c>
    </x:row>
    <x:row r="30" ht="42" customHeight="1">
      <x:c r="A30" s="13" t="str">
        <x:v>S025</x:v>
      </x:c>
      <x:c r="B30" s="13" t="str">
        <x:v>丁香帆·曼布里运输船</x:v>
      </x:c>
      <x:c r="C30" s="13" t="str">
        <x:v>Mtepe 灵感缝板商船</x:v>
      </x:c>
      <x:c r="D30" s="13" t="str">
        <x:v>斯瓦希里工匠</x:v>
      </x:c>
      <x:c r="E30" s="13" t="str">
        <x:v>蒙巴萨；桑给巴尔</x:v>
      </x:c>
      <x:c r="F30" s="27" t="n">
        <x:v>1</x:v>
      </x:c>
      <x:c r="G30" s="27" t="n">
        <x:v>22500</x:v>
      </x:c>
      <x:c r="H30" s="27" t="n">
        <x:v>11</x:v>
      </x:c>
      <x:c r="I30" s="27" t="n">
        <x:v>355</x:v>
      </x:c>
      <x:c r="J30" s="27" t="n">
        <x:v>14</x:v>
      </x:c>
      <x:c r="K30" s="42" t="n">
        <x:v>8.6</x:v>
      </x:c>
      <x:c r="L30" s="27" t="n">
        <x:v>75</x:v>
      </x:c>
      <x:c r="M30" s="42" t="n">
        <x:v>1.3</x:v>
      </x:c>
      <x:c r="N30" s="27" t="n">
        <x:v>170</x:v>
      </x:c>
      <x:c r="O30" s="27" t="n">
        <x:v>9</x:v>
      </x:c>
      <x:c r="P30" s="27" t="n">
        <x:v>42</x:v>
      </x:c>
      <x:c r="Q30" s="27" t="n">
        <x:v>2</x:v>
      </x:c>
      <x:c r="R30" s="27" t="n">
        <x:v>0</x:v>
      </x:c>
      <x:c r="S30" s="27" t="n">
        <x:v>1</x:v>
      </x:c>
      <x:c r="T30" s="27" t="n">
        <x:v>2</x:v>
      </x:c>
      <x:c r="U30" s="52" t="n">
        <x:v>1.2</x:v>
      </x:c>
      <x:c r="V30" s="13" t="str">
        <x:v>晚帆</x:v>
      </x:c>
      <x:c r="W30" s="42" t="n">
        <x:v>0</x:v>
      </x:c>
      <x:c r="X30" s="13" t="str">
        <x:v>结构：1；帆装：1；货舱：1；甲板：1；船艏：1；船艉：1；通用：1</x:v>
      </x:c>
      <x:c r="Y30" s="13" t="str">
        <x:v>维持基本航行与船务的普通水手编制；炮班与突击队需从 crew_max 以内另行分配，独特海员另计薪资并计入补给人数。</x:v>
      </x:c>
      <x:c r="Z30" s="13" t="str">
        <x:v>完整船体、空载、适宜 16 节风与理想帆位；货载与风况按总经济表再乘系数。</x:v>
      </x:c>
      <x:c r="AA30" s="13" t="str">
        <x:v>P048；P047</x:v>
      </x:c>
    </x:row>
    <x:row r="31" ht="42" customHeight="1">
      <x:c r="A31" s="15" t="str">
        <x:v>S026</x:v>
      </x:c>
      <x:c r="B31" s="15" t="str">
        <x:v>南十字·印度洋驳帆商船</x:v>
      </x:c>
      <x:c r="C31" s="15" t="str">
        <x:v>Dhow 远航商船</x:v>
      </x:c>
      <x:c r="D31" s="15" t="str">
        <x:v>斯瓦希里—阿拉伯</x:v>
      </x:c>
      <x:c r="E31" s="15" t="str">
        <x:v>蒙巴萨；基尔瓦</x:v>
      </x:c>
      <x:c r="F31" s="30" t="n">
        <x:v>2</x:v>
      </x:c>
      <x:c r="G31" s="30" t="n">
        <x:v>63500</x:v>
      </x:c>
      <x:c r="H31" s="30" t="n">
        <x:v>18</x:v>
      </x:c>
      <x:c r="I31" s="30" t="n">
        <x:v>605</x:v>
      </x:c>
      <x:c r="J31" s="30" t="n">
        <x:v>20</x:v>
      </x:c>
      <x:c r="K31" s="44" t="n">
        <x:v>10.4</x:v>
      </x:c>
      <x:c r="L31" s="30" t="n">
        <x:v>65</x:v>
      </x:c>
      <x:c r="M31" s="44" t="n">
        <x:v>2.4</x:v>
      </x:c>
      <x:c r="N31" s="30" t="n">
        <x:v>290</x:v>
      </x:c>
      <x:c r="O31" s="30" t="n">
        <x:v>18</x:v>
      </x:c>
      <x:c r="P31" s="30" t="n">
        <x:v>78</x:v>
      </x:c>
      <x:c r="Q31" s="30" t="n">
        <x:v>5</x:v>
      </x:c>
      <x:c r="R31" s="30" t="n">
        <x:v>1</x:v>
      </x:c>
      <x:c r="S31" s="30" t="n">
        <x:v>1</x:v>
      </x:c>
      <x:c r="T31" s="30" t="n">
        <x:v>3</x:v>
      </x:c>
      <x:c r="U31" s="54" t="n">
        <x:v>1.2</x:v>
      </x:c>
      <x:c r="V31" s="15" t="str">
        <x:v>晚帆</x:v>
      </x:c>
      <x:c r="W31" s="44" t="n">
        <x:v>0</x:v>
      </x:c>
      <x:c r="X31" s="15" t="str">
        <x:v>结构：1；帆装：1；货舱：1；甲板：1；船艏：1；船艉：1；通用：2</x:v>
      </x:c>
      <x:c r="Y31" s="15" t="str">
        <x:v>维持基本航行与船务的普通水手编制；炮班与突击队需从 crew_max 以内另行分配，独特海员另计薪资并计入补给人数。</x:v>
      </x:c>
      <x:c r="Z31" s="15" t="str">
        <x:v>完整船体、空载、适宜 16 节风与理想帆位；货载与风况按总经济表再乘系数。</x:v>
      </x:c>
      <x:c r="AA31" s="15" t="str">
        <x:v>P048；P046</x:v>
      </x:c>
    </x:row>
    <x:row r="32" ht="42" customHeight="1">
      <x:c r="A32" s="13" t="str">
        <x:v>S027</x:v>
      </x:c>
      <x:c r="B32" s="13" t="str">
        <x:v>礁隼·群礁巡防舟</x:v>
      </x:c>
      <x:c r="C32" s="13" t="str">
        <x:v>浅海双桨帆武装船</x:v>
      </x:c>
      <x:c r="D32" s="13" t="str">
        <x:v>基尔瓦—科摩罗</x:v>
      </x:c>
      <x:c r="E32" s="13" t="str">
        <x:v>基尔瓦；莫桑比克岛</x:v>
      </x:c>
      <x:c r="F32" s="27" t="n">
        <x:v>3</x:v>
      </x:c>
      <x:c r="G32" s="27" t="n">
        <x:v>98000</x:v>
      </x:c>
      <x:c r="H32" s="27" t="n">
        <x:v>22</x:v>
      </x:c>
      <x:c r="I32" s="27" t="n">
        <x:v>680</x:v>
      </x:c>
      <x:c r="J32" s="27" t="n">
        <x:v>26</x:v>
      </x:c>
      <x:c r="K32" s="42" t="n">
        <x:v>11.2</x:v>
      </x:c>
      <x:c r="L32" s="27" t="n">
        <x:v>88</x:v>
      </x:c>
      <x:c r="M32" s="42" t="n">
        <x:v>1.3</x:v>
      </x:c>
      <x:c r="N32" s="27" t="n">
        <x:v>130</x:v>
      </x:c>
      <x:c r="O32" s="27" t="n">
        <x:v>24</x:v>
      </x:c>
      <x:c r="P32" s="27" t="n">
        <x:v>100</x:v>
      </x:c>
      <x:c r="Q32" s="27" t="n">
        <x:v>6</x:v>
      </x:c>
      <x:c r="R32" s="27" t="n">
        <x:v>2</x:v>
      </x:c>
      <x:c r="S32" s="27" t="n">
        <x:v>1</x:v>
      </x:c>
      <x:c r="T32" s="27" t="n">
        <x:v>3</x:v>
      </x:c>
      <x:c r="U32" s="52" t="n">
        <x:v>1.2</x:v>
      </x:c>
      <x:c r="V32" s="13" t="str">
        <x:v>晚帆</x:v>
      </x:c>
      <x:c r="W32" s="42" t="n">
        <x:v>4</x:v>
      </x:c>
      <x:c r="X32" s="13" t="str">
        <x:v>结构：1；帆装：1；货舱：1；甲板：1；船艏：1；船艉：1；通用：2</x:v>
      </x:c>
      <x:c r="Y32" s="13" t="str">
        <x:v>维持基本航行与船务的普通水手编制；炮班与突击队需从 crew_max 以内另行分配，独特海员另计薪资并计入补给人数。</x:v>
      </x:c>
      <x:c r="Z32" s="13" t="str">
        <x:v>完整船体、空载、适宜 16 节风与理想帆位；货载与风况按总经济表再乘系数。</x:v>
      </x:c>
      <x:c r="AA32" s="13" t="str">
        <x:v>P046；P044</x:v>
      </x:c>
    </x:row>
    <x:row r="33" ht="42" customHeight="1">
      <x:c r="A33" s="15" t="str">
        <x:v>S028</x:v>
      </x:c>
      <x:c r="B33" s="15" t="str">
        <x:v>月桂港·远洋工匠船</x:v>
      </x:c>
      <x:c r="C33" s="15" t="str">
        <x:v>武装远贸 Dhow 变体</x:v>
      </x:c>
      <x:c r="D33" s="15" t="str">
        <x:v>桑给巴尔—阿曼</x:v>
      </x:c>
      <x:c r="E33" s="15" t="str">
        <x:v>桑给巴尔；蒙巴萨</x:v>
      </x:c>
      <x:c r="F33" s="30" t="n">
        <x:v>5</x:v>
      </x:c>
      <x:c r="G33" s="30" t="n">
        <x:v>440000</x:v>
      </x:c>
      <x:c r="H33" s="30" t="n">
        <x:v>43</x:v>
      </x:c>
      <x:c r="I33" s="30" t="n">
        <x:v>1490</x:v>
      </x:c>
      <x:c r="J33" s="30" t="n">
        <x:v>42</x:v>
      </x:c>
      <x:c r="K33" s="44" t="n">
        <x:v>10</x:v>
      </x:c>
      <x:c r="L33" s="30" t="n">
        <x:v>51</x:v>
      </x:c>
      <x:c r="M33" s="44" t="n">
        <x:v>3.6</x:v>
      </x:c>
      <x:c r="N33" s="30" t="n">
        <x:v>540</x:v>
      </x:c>
      <x:c r="O33" s="30" t="n">
        <x:v>50</x:v>
      </x:c>
      <x:c r="P33" s="30" t="n">
        <x:v>215</x:v>
      </x:c>
      <x:c r="Q33" s="30" t="n">
        <x:v>12</x:v>
      </x:c>
      <x:c r="R33" s="30" t="n">
        <x:v>2</x:v>
      </x:c>
      <x:c r="S33" s="30" t="n">
        <x:v>2</x:v>
      </x:c>
      <x:c r="T33" s="30" t="n">
        <x:v>4</x:v>
      </x:c>
      <x:c r="U33" s="54" t="n">
        <x:v>2.8</x:v>
      </x:c>
      <x:c r="V33" s="15" t="str">
        <x:v>晚帆</x:v>
      </x:c>
      <x:c r="W33" s="44" t="n">
        <x:v>0</x:v>
      </x:c>
      <x:c r="X33" s="15" t="str">
        <x:v>结构：1；帆装：1；货舱：1；甲板：1；船艏：1；船艉：1；通用：3</x:v>
      </x:c>
      <x:c r="Y33" s="15" t="str">
        <x:v>维持基本航行与船务的普通水手编制；炮班与突击队需从 crew_max 以内另行分配，独特海员另计薪资并计入补给人数。</x:v>
      </x:c>
      <x:c r="Z33" s="15" t="str">
        <x:v>完整船体、空载、适宜 16 节风与理想帆位；货载与风况按总经济表再乘系数。</x:v>
      </x:c>
      <x:c r="AA33" s="15" t="str">
        <x:v>P047；P048</x:v>
      </x:c>
    </x:row>
    <x:row r="34" ht="42" customHeight="1">
      <x:c r="A34" s="13" t="str">
        <x:v>S029</x:v>
      </x:c>
      <x:c r="B34" s="13" t="str">
        <x:v>珍珠眼·桑布克采珠船</x:v>
      </x:c>
      <x:c r="C34" s="13" t="str">
        <x:v>Sambuk 桑布克</x:v>
      </x:c>
      <x:c r="D34" s="13" t="str">
        <x:v>阿拉伯湾</x:v>
      </x:c>
      <x:c r="E34" s="13" t="str">
        <x:v>马斯喀特；巴士拉</x:v>
      </x:c>
      <x:c r="F34" s="27" t="n">
        <x:v>0</x:v>
      </x:c>
      <x:c r="G34" s="27" t="n">
        <x:v>8900</x:v>
      </x:c>
      <x:c r="H34" s="27" t="n">
        <x:v>6</x:v>
      </x:c>
      <x:c r="I34" s="27" t="n">
        <x:v>200</x:v>
      </x:c>
      <x:c r="J34" s="27" t="n">
        <x:v>8</x:v>
      </x:c>
      <x:c r="K34" s="42" t="n">
        <x:v>9.1</x:v>
      </x:c>
      <x:c r="L34" s="27" t="n">
        <x:v>88</x:v>
      </x:c>
      <x:c r="M34" s="42" t="n">
        <x:v>1</x:v>
      </x:c>
      <x:c r="N34" s="27" t="n">
        <x:v>70</x:v>
      </x:c>
      <x:c r="O34" s="27" t="n">
        <x:v>6</x:v>
      </x:c>
      <x:c r="P34" s="27" t="n">
        <x:v>28</x:v>
      </x:c>
      <x:c r="Q34" s="27" t="n">
        <x:v>1</x:v>
      </x:c>
      <x:c r="R34" s="27" t="n">
        <x:v>1</x:v>
      </x:c>
      <x:c r="S34" s="27" t="n">
        <x:v>1</x:v>
      </x:c>
      <x:c r="T34" s="27" t="n">
        <x:v>2</x:v>
      </x:c>
      <x:c r="U34" s="52" t="n">
        <x:v>0.35</x:v>
      </x:c>
      <x:c r="V34" s="13" t="str">
        <x:v>晚帆</x:v>
      </x:c>
      <x:c r="W34" s="42" t="n">
        <x:v>0</x:v>
      </x:c>
      <x:c r="X34" s="13" t="str">
        <x:v>结构：1；帆装：1；货舱：1；甲板：1；船艏：1；船艉：1；通用：1</x:v>
      </x:c>
      <x:c r="Y34" s="13" t="str">
        <x:v>维持基本航行与船务的普通水手编制；炮班与突击队需从 crew_max 以内另行分配，独特海员另计薪资并计入补给人数。</x:v>
      </x:c>
      <x:c r="Z34" s="13" t="str">
        <x:v>完整船体、空载、适宜 16 节风与理想帆位；货载与风况按总经济表再乘系数。</x:v>
      </x:c>
      <x:c r="AA34" s="13" t="str">
        <x:v>P055；P058</x:v>
      </x:c>
    </x:row>
    <x:row r="35" ht="42" customHeight="1">
      <x:c r="A35" s="15" t="str">
        <x:v>S030</x:v>
      </x:c>
      <x:c r="B35" s="15" t="str">
        <x:v>乳香弦·红海巴达恩</x:v>
      </x:c>
      <x:c r="C35" s="15" t="str">
        <x:v>Badān 灵感近岸帆船</x:v>
      </x:c>
      <x:c r="D35" s="15" t="str">
        <x:v>也门—阿曼</x:v>
      </x:c>
      <x:c r="E35" s="15" t="str">
        <x:v>亚丁；吉达</x:v>
      </x:c>
      <x:c r="F35" s="30" t="n">
        <x:v>1</x:v>
      </x:c>
      <x:c r="G35" s="30" t="n">
        <x:v>25500</x:v>
      </x:c>
      <x:c r="H35" s="30" t="n">
        <x:v>11</x:v>
      </x:c>
      <x:c r="I35" s="30" t="n">
        <x:v>370</x:v>
      </x:c>
      <x:c r="J35" s="30" t="n">
        <x:v>13</x:v>
      </x:c>
      <x:c r="K35" s="44" t="n">
        <x:v>10</x:v>
      </x:c>
      <x:c r="L35" s="30" t="n">
        <x:v>80</x:v>
      </x:c>
      <x:c r="M35" s="44" t="n">
        <x:v>1.4</x:v>
      </x:c>
      <x:c r="N35" s="30" t="n">
        <x:v>160</x:v>
      </x:c>
      <x:c r="O35" s="30" t="n">
        <x:v>10</x:v>
      </x:c>
      <x:c r="P35" s="30" t="n">
        <x:v>42</x:v>
      </x:c>
      <x:c r="Q35" s="30" t="n">
        <x:v>3</x:v>
      </x:c>
      <x:c r="R35" s="30" t="n">
        <x:v>1</x:v>
      </x:c>
      <x:c r="S35" s="30" t="n">
        <x:v>1</x:v>
      </x:c>
      <x:c r="T35" s="30" t="n">
        <x:v>2</x:v>
      </x:c>
      <x:c r="U35" s="54" t="n">
        <x:v>1.2</x:v>
      </x:c>
      <x:c r="V35" s="15" t="str">
        <x:v>晚帆</x:v>
      </x:c>
      <x:c r="W35" s="44" t="n">
        <x:v>0</x:v>
      </x:c>
      <x:c r="X35" s="15" t="str">
        <x:v>结构：1；帆装：1；货舱：1；甲板：1；船艏：1；船艉：1；通用：1</x:v>
      </x:c>
      <x:c r="Y35" s="15" t="str">
        <x:v>维持基本航行与船务的普通水手编制；炮班与突击队需从 crew_max 以内另行分配，独特海员另计薪资并计入补给人数。</x:v>
      </x:c>
      <x:c r="Z35" s="15" t="str">
        <x:v>完整船体、空载、适宜 16 节风与理想帆位；货载与风况按总经济表再乘系数。</x:v>
      </x:c>
      <x:c r="AA35" s="15" t="str">
        <x:v>P051；P053</x:v>
      </x:c>
    </x:row>
    <x:row r="36" ht="42" customHeight="1">
      <x:c r="A36" s="13" t="str">
        <x:v>S031</x:v>
      </x:c>
      <x:c r="B36" s="13" t="str">
        <x:v>绿月·阿曼巴格拉</x:v>
      </x:c>
      <x:c r="C36" s="13" t="str">
        <x:v>Baghlah 灵感大商船</x:v>
      </x:c>
      <x:c r="D36" s="13" t="str">
        <x:v>阿曼—波斯湾</x:v>
      </x:c>
      <x:c r="E36" s="13" t="str">
        <x:v>马斯喀特；巴士拉</x:v>
      </x:c>
      <x:c r="F36" s="27" t="n">
        <x:v>2</x:v>
      </x:c>
      <x:c r="G36" s="27" t="n">
        <x:v>75000</x:v>
      </x:c>
      <x:c r="H36" s="27" t="n">
        <x:v>22</x:v>
      </x:c>
      <x:c r="I36" s="27" t="n">
        <x:v>700</x:v>
      </x:c>
      <x:c r="J36" s="27" t="n">
        <x:v>23</x:v>
      </x:c>
      <x:c r="K36" s="42" t="n">
        <x:v>9.4</x:v>
      </x:c>
      <x:c r="L36" s="27" t="n">
        <x:v>53</x:v>
      </x:c>
      <x:c r="M36" s="42" t="n">
        <x:v>2.7</x:v>
      </x:c>
      <x:c r="N36" s="27" t="n">
        <x:v>355</x:v>
      </x:c>
      <x:c r="O36" s="27" t="n">
        <x:v>21</x:v>
      </x:c>
      <x:c r="P36" s="27" t="n">
        <x:v>88</x:v>
      </x:c>
      <x:c r="Q36" s="27" t="n">
        <x:v>6</x:v>
      </x:c>
      <x:c r="R36" s="27" t="n">
        <x:v>1</x:v>
      </x:c>
      <x:c r="S36" s="27" t="n">
        <x:v>2</x:v>
      </x:c>
      <x:c r="T36" s="27" t="n">
        <x:v>3</x:v>
      </x:c>
      <x:c r="U36" s="52" t="n">
        <x:v>2</x:v>
      </x:c>
      <x:c r="V36" s="13" t="str">
        <x:v>晚帆</x:v>
      </x:c>
      <x:c r="W36" s="42" t="n">
        <x:v>0</x:v>
      </x:c>
      <x:c r="X36" s="13" t="str">
        <x:v>结构：1；帆装：1；货舱：1；甲板：1；船艏：1；船艉：1；通用：2</x:v>
      </x:c>
      <x:c r="Y36" s="13" t="str">
        <x:v>维持基本航行与船务的普通水手编制；炮班与突击队需从 crew_max 以内另行分配，独特海员另计薪资并计入补给人数。</x:v>
      </x:c>
      <x:c r="Z36" s="13" t="str">
        <x:v>完整船体、空载、适宜 16 节风与理想帆位；货载与风况按总经济表再乘系数。</x:v>
      </x:c>
      <x:c r="AA36" s="13" t="str">
        <x:v>P055；P058</x:v>
      </x:c>
    </x:row>
    <x:row r="37" ht="42" customHeight="1">
      <x:c r="A37" s="15" t="str">
        <x:v>S032</x:v>
      </x:c>
      <x:c r="B37" s="15" t="str">
        <x:v>弯刀·巴格拉护卫舰</x:v>
      </x:c>
      <x:c r="C37" s="15" t="str">
        <x:v>武装 Dhow 变体</x:v>
      </x:c>
      <x:c r="D37" s="15" t="str">
        <x:v>阿曼船匠联盟</x:v>
      </x:c>
      <x:c r="E37" s="15" t="str">
        <x:v>马斯喀特；霍尔木兹</x:v>
      </x:c>
      <x:c r="F37" s="30" t="n">
        <x:v>3</x:v>
      </x:c>
      <x:c r="G37" s="30" t="n">
        <x:v>145000</x:v>
      </x:c>
      <x:c r="H37" s="30" t="n">
        <x:v>27</x:v>
      </x:c>
      <x:c r="I37" s="30" t="n">
        <x:v>935</x:v>
      </x:c>
      <x:c r="J37" s="30" t="n">
        <x:v>30</x:v>
      </x:c>
      <x:c r="K37" s="44" t="n">
        <x:v>11.3</x:v>
      </x:c>
      <x:c r="L37" s="30" t="n">
        <x:v>72</x:v>
      </x:c>
      <x:c r="M37" s="44" t="n">
        <x:v>2.5</x:v>
      </x:c>
      <x:c r="N37" s="30" t="n">
        <x:v>230</x:v>
      </x:c>
      <x:c r="O37" s="30" t="n">
        <x:v>30</x:v>
      </x:c>
      <x:c r="P37" s="30" t="n">
        <x:v>135</x:v>
      </x:c>
      <x:c r="Q37" s="30" t="n">
        <x:v>8</x:v>
      </x:c>
      <x:c r="R37" s="30" t="n">
        <x:v>3</x:v>
      </x:c>
      <x:c r="S37" s="30" t="n">
        <x:v>1</x:v>
      </x:c>
      <x:c r="T37" s="30" t="n">
        <x:v>3</x:v>
      </x:c>
      <x:c r="U37" s="54" t="n">
        <x:v>2</x:v>
      </x:c>
      <x:c r="V37" s="15" t="str">
        <x:v>晚帆</x:v>
      </x:c>
      <x:c r="W37" s="44" t="n">
        <x:v>0</x:v>
      </x:c>
      <x:c r="X37" s="15" t="str">
        <x:v>结构：1；帆装：1；货舱：1；甲板：1；船艏：1；船艉：1；通用：2</x:v>
      </x:c>
      <x:c r="Y37" s="15" t="str">
        <x:v>维持基本航行与船务的普通水手编制；炮班与突击队需从 crew_max 以内另行分配，独特海员另计薪资并计入补给人数。</x:v>
      </x:c>
      <x:c r="Z37" s="15" t="str">
        <x:v>完整船体、空载、适宜 16 节风与理想帆位；货载与风况按总经济表再乘系数。</x:v>
      </x:c>
      <x:c r="AA37" s="15" t="str">
        <x:v>P055；P056</x:v>
      </x:c>
    </x:row>
    <x:row r="38" ht="42" customHeight="1">
      <x:c r="A38" s="13" t="str">
        <x:v>S033</x:v>
      </x:c>
      <x:c r="B38" s="13" t="str">
        <x:v>铜湾·霍尔木兹火门舰</x:v>
      </x:c>
      <x:c r="C38" s="13" t="str">
        <x:v>重艏炮 Dhow 变体</x:v>
      </x:c>
      <x:c r="D38" s="13" t="str">
        <x:v>波斯湾海峡工坊</x:v>
      </x:c>
      <x:c r="E38" s="13" t="str">
        <x:v>霍尔木兹；马斯喀特</x:v>
      </x:c>
      <x:c r="F38" s="27" t="n">
        <x:v>4</x:v>
      </x:c>
      <x:c r="G38" s="27" t="n">
        <x:v>290000</x:v>
      </x:c>
      <x:c r="H38" s="27" t="n">
        <x:v>36</x:v>
      </x:c>
      <x:c r="I38" s="27" t="n">
        <x:v>1280</x:v>
      </x:c>
      <x:c r="J38" s="27" t="n">
        <x:v>43</x:v>
      </x:c>
      <x:c r="K38" s="42" t="n">
        <x:v>9.7</x:v>
      </x:c>
      <x:c r="L38" s="27" t="n">
        <x:v>57</x:v>
      </x:c>
      <x:c r="M38" s="42" t="n">
        <x:v>2.9</x:v>
      </x:c>
      <x:c r="N38" s="27" t="n">
        <x:v>275</x:v>
      </x:c>
      <x:c r="O38" s="27" t="n">
        <x:v>42</x:v>
      </x:c>
      <x:c r="P38" s="27" t="n">
        <x:v>165</x:v>
      </x:c>
      <x:c r="Q38" s="27" t="n">
        <x:v>9</x:v>
      </x:c>
      <x:c r="R38" s="27" t="n">
        <x:v>4</x:v>
      </x:c>
      <x:c r="S38" s="27" t="n">
        <x:v>2</x:v>
      </x:c>
      <x:c r="T38" s="27" t="n">
        <x:v>4</x:v>
      </x:c>
      <x:c r="U38" s="52" t="n">
        <x:v>2.8</x:v>
      </x:c>
      <x:c r="V38" s="13" t="str">
        <x:v>晚帆</x:v>
      </x:c>
      <x:c r="W38" s="42" t="n">
        <x:v>0</x:v>
      </x:c>
      <x:c r="X38" s="13" t="str">
        <x:v>结构：1；帆装：1；货舱：1；甲板：1；船艏：1；船艉：1；通用：3</x:v>
      </x:c>
      <x:c r="Y38" s="13" t="str">
        <x:v>维持基本航行与船务的普通水手编制；炮班与突击队需从 crew_max 以内另行分配，独特海员另计薪资并计入补给人数。</x:v>
      </x:c>
      <x:c r="Z38" s="13" t="str">
        <x:v>完整船体、空载、适宜 16 节风与理想帆位；货载与风况按总经济表再乘系数。</x:v>
      </x:c>
      <x:c r="AA38" s="13" t="str">
        <x:v>P056；P055</x:v>
      </x:c>
    </x:row>
    <x:row r="39" ht="42" customHeight="1">
      <x:c r="A39" s="15" t="str">
        <x:v>S034</x:v>
      </x:c>
      <x:c r="B39" s="15" t="str">
        <x:v>天穹宫·阿拉伯远航旗舰</x:v>
      </x:c>
      <x:c r="C39" s="15" t="str">
        <x:v>远洋混帆商战旗舰</x:v>
      </x:c>
      <x:c r="D39" s="15" t="str">
        <x:v>阿曼—印度洋工匠交流</x:v>
      </x:c>
      <x:c r="E39" s="15" t="str">
        <x:v>马斯喀特；亚丁</x:v>
      </x:c>
      <x:c r="F39" s="30" t="n">
        <x:v>5</x:v>
      </x:c>
      <x:c r="G39" s="30" t="n">
        <x:v>520000</x:v>
      </x:c>
      <x:c r="H39" s="30" t="n">
        <x:v>48</x:v>
      </x:c>
      <x:c r="I39" s="30" t="n">
        <x:v>1760</x:v>
      </x:c>
      <x:c r="J39" s="30" t="n">
        <x:v>43</x:v>
      </x:c>
      <x:c r="K39" s="44" t="n">
        <x:v>10.3</x:v>
      </x:c>
      <x:c r="L39" s="30" t="n">
        <x:v>49</x:v>
      </x:c>
      <x:c r="M39" s="44" t="n">
        <x:v>4</x:v>
      </x:c>
      <x:c r="N39" s="30" t="n">
        <x:v>545</x:v>
      </x:c>
      <x:c r="O39" s="30" t="n">
        <x:v>62</x:v>
      </x:c>
      <x:c r="P39" s="30" t="n">
        <x:v>250</x:v>
      </x:c>
      <x:c r="Q39" s="30" t="n">
        <x:v>14</x:v>
      </x:c>
      <x:c r="R39" s="30" t="n">
        <x:v>2</x:v>
      </x:c>
      <x:c r="S39" s="30" t="n">
        <x:v>2</x:v>
      </x:c>
      <x:c r="T39" s="30" t="n">
        <x:v>4</x:v>
      </x:c>
      <x:c r="U39" s="54" t="n">
        <x:v>3.5</x:v>
      </x:c>
      <x:c r="V39" s="15" t="str">
        <x:v>混帆</x:v>
      </x:c>
      <x:c r="W39" s="44" t="n">
        <x:v>0</x:v>
      </x:c>
      <x:c r="X39" s="15" t="str">
        <x:v>结构：1；帆装：1；货舱：1；甲板：1；船艏：1；船艉：1；通用：3</x:v>
      </x:c>
      <x:c r="Y39" s="15" t="str">
        <x:v>维持基本航行与船务的普通水手编制；炮班与突击队需从 crew_max 以内另行分配，独特海员另计薪资并计入补给人数。</x:v>
      </x:c>
      <x:c r="Z39" s="15" t="str">
        <x:v>完整船体、空载、适宜 16 节风与理想帆位；货载与风况按总经济表再乘系数。</x:v>
      </x:c>
      <x:c r="AA39" s="15" t="str">
        <x:v>P055；P051</x:v>
      </x:c>
    </x:row>
    <x:row r="40" ht="42" customHeight="1">
      <x:c r="A40" s="13" t="str">
        <x:v>S035</x:v>
      </x:c>
      <x:c r="B40" s="13" t="str">
        <x:v>莲舟·孟加拉河口船</x:v>
      </x:c>
      <x:c r="C40" s="13" t="str">
        <x:v>孟加拉浅底货帆船</x:v>
      </x:c>
      <x:c r="D40" s="13" t="str">
        <x:v>孟加拉</x:v>
      </x:c>
      <x:c r="E40" s="13" t="str">
        <x:v>吉大港</x:v>
      </x:c>
      <x:c r="F40" s="27" t="n">
        <x:v>0</x:v>
      </x:c>
      <x:c r="G40" s="27" t="n">
        <x:v>7500</x:v>
      </x:c>
      <x:c r="H40" s="27" t="n">
        <x:v>6</x:v>
      </x:c>
      <x:c r="I40" s="27" t="n">
        <x:v>210</x:v>
      </x:c>
      <x:c r="J40" s="27" t="n">
        <x:v>8</x:v>
      </x:c>
      <x:c r="K40" s="42" t="n">
        <x:v>8</x:v>
      </x:c>
      <x:c r="L40" s="27" t="n">
        <x:v>90</x:v>
      </x:c>
      <x:c r="M40" s="42" t="n">
        <x:v>0.8</x:v>
      </x:c>
      <x:c r="N40" s="27" t="n">
        <x:v>95</x:v>
      </x:c>
      <x:c r="O40" s="27" t="n">
        <x:v>6</x:v>
      </x:c>
      <x:c r="P40" s="27" t="n">
        <x:v>27</x:v>
      </x:c>
      <x:c r="Q40" s="27" t="n">
        <x:v>1</x:v>
      </x:c>
      <x:c r="R40" s="27" t="n">
        <x:v>1</x:v>
      </x:c>
      <x:c r="S40" s="27" t="n">
        <x:v>0</x:v>
      </x:c>
      <x:c r="T40" s="27" t="n">
        <x:v>2</x:v>
      </x:c>
      <x:c r="U40" s="52" t="n">
        <x:v>0.35</x:v>
      </x:c>
      <x:c r="V40" s="13" t="str">
        <x:v>横帆</x:v>
      </x:c>
      <x:c r="W40" s="42" t="n">
        <x:v>3</x:v>
      </x:c>
      <x:c r="X40" s="13" t="str">
        <x:v>结构：1；帆装：1；货舱：1；甲板：1；船艏：1；船艉：1；通用：1</x:v>
      </x:c>
      <x:c r="Y40" s="13" t="str">
        <x:v>维持基本航行与船务的普通水手编制；炮班与突击队需从 crew_max 以内另行分配，独特海员另计薪资并计入补给人数。</x:v>
      </x:c>
      <x:c r="Z40" s="13" t="str">
        <x:v>完整船体、空载、适宜 16 节风与理想帆位；货载与风况按总经济表再乘系数。</x:v>
      </x:c>
      <x:c r="AA40" s="13" t="str">
        <x:v>P068</x:v>
      </x:c>
    </x:row>
    <x:row r="41" ht="42" customHeight="1">
      <x:c r="A41" s="15" t="str">
        <x:v>S036</x:v>
      </x:c>
      <x:c r="B41" s="15" t="str">
        <x:v>孔雀尾·马拉巴尔帕塔玛尔</x:v>
      </x:c>
      <x:c r="C41" s="15" t="str">
        <x:v>Pattamar 灵感商船</x:v>
      </x:c>
      <x:c r="D41" s="15" t="str">
        <x:v>马拉巴尔—科罗曼德尔</x:v>
      </x:c>
      <x:c r="E41" s="15" t="str">
        <x:v>柯钦；马德拉斯</x:v>
      </x:c>
      <x:c r="F41" s="30" t="n">
        <x:v>1</x:v>
      </x:c>
      <x:c r="G41" s="30" t="n">
        <x:v>28000</x:v>
      </x:c>
      <x:c r="H41" s="30" t="n">
        <x:v>12</x:v>
      </x:c>
      <x:c r="I41" s="30" t="n">
        <x:v>400</x:v>
      </x:c>
      <x:c r="J41" s="30" t="n">
        <x:v>15</x:v>
      </x:c>
      <x:c r="K41" s="44" t="n">
        <x:v>10.7</x:v>
      </x:c>
      <x:c r="L41" s="30" t="n">
        <x:v>73</x:v>
      </x:c>
      <x:c r="M41" s="44" t="n">
        <x:v>1.8</x:v>
      </x:c>
      <x:c r="N41" s="30" t="n">
        <x:v>205</x:v>
      </x:c>
      <x:c r="O41" s="30" t="n">
        <x:v>12</x:v>
      </x:c>
      <x:c r="P41" s="30" t="n">
        <x:v>50</x:v>
      </x:c>
      <x:c r="Q41" s="30" t="n">
        <x:v>3</x:v>
      </x:c>
      <x:c r="R41" s="30" t="n">
        <x:v>1</x:v>
      </x:c>
      <x:c r="S41" s="30" t="n">
        <x:v>1</x:v>
      </x:c>
      <x:c r="T41" s="30" t="n">
        <x:v>2</x:v>
      </x:c>
      <x:c r="U41" s="54" t="n">
        <x:v>1.2</x:v>
      </x:c>
      <x:c r="V41" s="15" t="str">
        <x:v>晚帆</x:v>
      </x:c>
      <x:c r="W41" s="44" t="n">
        <x:v>0</x:v>
      </x:c>
      <x:c r="X41" s="15" t="str">
        <x:v>结构：1；帆装：1；货舱：1；甲板：1；船艏：1；船艉：1；通用：1</x:v>
      </x:c>
      <x:c r="Y41" s="15" t="str">
        <x:v>维持基本航行与船务的普通水手编制；炮班与突击队需从 crew_max 以内另行分配，独特海员另计薪资并计入补给人数。</x:v>
      </x:c>
      <x:c r="Z41" s="15" t="str">
        <x:v>完整船体、空载、适宜 16 节风与理想帆位；货载与风况按总经济表再乘系数。</x:v>
      </x:c>
      <x:c r="AA41" s="15" t="str">
        <x:v>P063；P065</x:v>
      </x:c>
    </x:row>
    <x:row r="42" ht="42" customHeight="1">
      <x:c r="A42" s="13" t="str">
        <x:v>S037</x:v>
      </x:c>
      <x:c r="B42" s="13" t="str">
        <x:v>雷鼓·加里瓦特桨帆艇</x:v>
      </x:c>
      <x:c r="C42" s="13" t="str">
        <x:v>Gallivat 加里瓦特</x:v>
      </x:c>
      <x:c r="D42" s="13" t="str">
        <x:v>马拉塔沿岸</x:v>
      </x:c>
      <x:c r="E42" s="13" t="str">
        <x:v>果阿；苏拉特</x:v>
      </x:c>
      <x:c r="F42" s="27" t="n">
        <x:v>2</x:v>
      </x:c>
      <x:c r="G42" s="27" t="n">
        <x:v>57000</x:v>
      </x:c>
      <x:c r="H42" s="27" t="n">
        <x:v>16</x:v>
      </x:c>
      <x:c r="I42" s="27" t="n">
        <x:v>525</x:v>
      </x:c>
      <x:c r="J42" s="27" t="n">
        <x:v>20</x:v>
      </x:c>
      <x:c r="K42" s="42" t="n">
        <x:v>9</x:v>
      </x:c>
      <x:c r="L42" s="27" t="n">
        <x:v>93</x:v>
      </x:c>
      <x:c r="M42" s="42" t="n">
        <x:v>1.2</x:v>
      </x:c>
      <x:c r="N42" s="27" t="n">
        <x:v>105</x:v>
      </x:c>
      <x:c r="O42" s="27" t="n">
        <x:v>30</x:v>
      </x:c>
      <x:c r="P42" s="27" t="n">
        <x:v>98</x:v>
      </x:c>
      <x:c r="Q42" s="27" t="n">
        <x:v>3</x:v>
      </x:c>
      <x:c r="R42" s="27" t="n">
        <x:v>3</x:v>
      </x:c>
      <x:c r="S42" s="27" t="n">
        <x:v>1</x:v>
      </x:c>
      <x:c r="T42" s="27" t="n">
        <x:v>3</x:v>
      </x:c>
      <x:c r="U42" s="52" t="n">
        <x:v>1.2</x:v>
      </x:c>
      <x:c r="V42" s="13" t="str">
        <x:v>拉丁帆</x:v>
      </x:c>
      <x:c r="W42" s="42" t="n">
        <x:v>5</x:v>
      </x:c>
      <x:c r="X42" s="13" t="str">
        <x:v>结构：1；帆装：1；货舱：1；甲板：1；船艏：1；船艉：1；通用：2</x:v>
      </x:c>
      <x:c r="Y42" s="13" t="str">
        <x:v>维持基本航行与船务的普通水手编制；炮班与突击队需从 crew_max 以内另行分配，独特海员另计薪资并计入补给人数。</x:v>
      </x:c>
      <x:c r="Z42" s="13" t="str">
        <x:v>完整船体、空载、适宜 16 节风与理想帆位；货载与风况按总经济表再乘系数。</x:v>
      </x:c>
      <x:c r="AA42" s="13" t="str">
        <x:v>P061；P060</x:v>
      </x:c>
    </x:row>
    <x:row r="43" ht="42" customHeight="1">
      <x:c r="A43" s="15" t="str">
        <x:v>S038</x:v>
      </x:c>
      <x:c r="B43" s="15" t="str">
        <x:v>虎牙·马拉塔格拉布</x:v>
      </x:c>
      <x:c r="C43" s="15" t="str">
        <x:v>Grab 格拉布</x:v>
      </x:c>
      <x:c r="D43" s="15" t="str">
        <x:v>马拉塔—康坎</x:v>
      </x:c>
      <x:c r="E43" s="15" t="str">
        <x:v>果阿；苏拉特</x:v>
      </x:c>
      <x:c r="F43" s="30" t="n">
        <x:v>3</x:v>
      </x:c>
      <x:c r="G43" s="30" t="n">
        <x:v>143000</x:v>
      </x:c>
      <x:c r="H43" s="30" t="n">
        <x:v>26</x:v>
      </x:c>
      <x:c r="I43" s="30" t="n">
        <x:v>980</x:v>
      </x:c>
      <x:c r="J43" s="30" t="n">
        <x:v>31</x:v>
      </x:c>
      <x:c r="K43" s="44" t="n">
        <x:v>10</x:v>
      </x:c>
      <x:c r="L43" s="30" t="n">
        <x:v>68</x:v>
      </x:c>
      <x:c r="M43" s="44" t="n">
        <x:v>2.1</x:v>
      </x:c>
      <x:c r="N43" s="30" t="n">
        <x:v>230</x:v>
      </x:c>
      <x:c r="O43" s="30" t="n">
        <x:v>35</x:v>
      </x:c>
      <x:c r="P43" s="30" t="n">
        <x:v>150</x:v>
      </x:c>
      <x:c r="Q43" s="30" t="n">
        <x:v>8</x:v>
      </x:c>
      <x:c r="R43" s="30" t="n">
        <x:v>4</x:v>
      </x:c>
      <x:c r="S43" s="30" t="n">
        <x:v>1</x:v>
      </x:c>
      <x:c r="T43" s="30" t="n">
        <x:v>3</x:v>
      </x:c>
      <x:c r="U43" s="54" t="n">
        <x:v>2</x:v>
      </x:c>
      <x:c r="V43" s="15" t="str">
        <x:v>混帆</x:v>
      </x:c>
      <x:c r="W43" s="44" t="n">
        <x:v>3.4</x:v>
      </x:c>
      <x:c r="X43" s="15" t="str">
        <x:v>结构：1；帆装：1；货舱：1；甲板：1；船艏：1；船艉：1；通用：2</x:v>
      </x:c>
      <x:c r="Y43" s="15" t="str">
        <x:v>维持基本航行与船务的普通水手编制；炮班与突击队需从 crew_max 以内另行分配，独特海员另计薪资并计入补给人数。</x:v>
      </x:c>
      <x:c r="Z43" s="15" t="str">
        <x:v>完整船体、空载、适宜 16 节风与理想帆位；货载与风况按总经济表再乘系数。</x:v>
      </x:c>
      <x:c r="AA43" s="15" t="str">
        <x:v>P061；P060</x:v>
      </x:c>
    </x:row>
    <x:row r="44" ht="42" customHeight="1">
      <x:c r="A44" s="13" t="str">
        <x:v>S039</x:v>
      </x:c>
      <x:c r="B44" s="13" t="str">
        <x:v>雨宫·孟加拉重载商船</x:v>
      </x:c>
      <x:c r="C44" s="13" t="str">
        <x:v>大型印度洋商船变体</x:v>
      </x:c>
      <x:c r="D44" s="13" t="str">
        <x:v>孟加拉—古吉拉特</x:v>
      </x:c>
      <x:c r="E44" s="13" t="str">
        <x:v>吉大港；苏拉特</x:v>
      </x:c>
      <x:c r="F44" s="27" t="n">
        <x:v>4</x:v>
      </x:c>
      <x:c r="G44" s="27" t="n">
        <x:v>280000</x:v>
      </x:c>
      <x:c r="H44" s="27" t="n">
        <x:v>36</x:v>
      </x:c>
      <x:c r="I44" s="27" t="n">
        <x:v>1210</x:v>
      </x:c>
      <x:c r="J44" s="27" t="n">
        <x:v>31</x:v>
      </x:c>
      <x:c r="K44" s="42" t="n">
        <x:v>9</x:v>
      </x:c>
      <x:c r="L44" s="27" t="n">
        <x:v>49</x:v>
      </x:c>
      <x:c r="M44" s="42" t="n">
        <x:v>3.4</x:v>
      </x:c>
      <x:c r="N44" s="27" t="n">
        <x:v>575</x:v>
      </x:c>
      <x:c r="O44" s="27" t="n">
        <x:v>40</x:v>
      </x:c>
      <x:c r="P44" s="27" t="n">
        <x:v>165</x:v>
      </x:c>
      <x:c r="Q44" s="27" t="n">
        <x:v>8</x:v>
      </x:c>
      <x:c r="R44" s="27" t="n">
        <x:v>1</x:v>
      </x:c>
      <x:c r="S44" s="27" t="n">
        <x:v>2</x:v>
      </x:c>
      <x:c r="T44" s="27" t="n">
        <x:v>4</x:v>
      </x:c>
      <x:c r="U44" s="52" t="n">
        <x:v>2.8</x:v>
      </x:c>
      <x:c r="V44" s="13" t="str">
        <x:v>混帆</x:v>
      </x:c>
      <x:c r="W44" s="42" t="n">
        <x:v>0</x:v>
      </x:c>
      <x:c r="X44" s="13" t="str">
        <x:v>结构：1；帆装：1；货舱：1；甲板：1；船艏：1；船艉：1；通用：3</x:v>
      </x:c>
      <x:c r="Y44" s="13" t="str">
        <x:v>维持基本航行与船务的普通水手编制；炮班与突击队需从 crew_max 以内另行分配，独特海员另计薪资并计入补给人数。</x:v>
      </x:c>
      <x:c r="Z44" s="13" t="str">
        <x:v>完整船体、空载、适宜 16 节风与理想帆位；货载与风况按总经济表再乘系数。</x:v>
      </x:c>
      <x:c r="AA44" s="13" t="str">
        <x:v>P068；P060</x:v>
      </x:c>
    </x:row>
    <x:row r="45" ht="42" customHeight="1">
      <x:c r="A45" s="15" t="str">
        <x:v>S040</x:v>
      </x:c>
      <x:c r="B45" s="15" t="str">
        <x:v>靛海王·柚木重护卫舰</x:v>
      </x:c>
      <x:c r="C45" s="15" t="str">
        <x:v>柚木护卫舰</x:v>
      </x:c>
      <x:c r="D45" s="15" t="str">
        <x:v>印度船厂技术交流</x:v>
      </x:c>
      <x:c r="E45" s="15" t="str">
        <x:v>苏拉特；柯钦</x:v>
      </x:c>
      <x:c r="F45" s="30" t="n">
        <x:v>5</x:v>
      </x:c>
      <x:c r="G45" s="30" t="n">
        <x:v>545000</x:v>
      </x:c>
      <x:c r="H45" s="30" t="n">
        <x:v>49</x:v>
      </x:c>
      <x:c r="I45" s="30" t="n">
        <x:v>1740</x:v>
      </x:c>
      <x:c r="J45" s="30" t="n">
        <x:v>49</x:v>
      </x:c>
      <x:c r="K45" s="44" t="n">
        <x:v>11.6</x:v>
      </x:c>
      <x:c r="L45" s="30" t="n">
        <x:v>60</x:v>
      </x:c>
      <x:c r="M45" s="44" t="n">
        <x:v>4.4</x:v>
      </x:c>
      <x:c r="N45" s="30" t="n">
        <x:v>335</x:v>
      </x:c>
      <x:c r="O45" s="30" t="n">
        <x:v>70</x:v>
      </x:c>
      <x:c r="P45" s="30" t="n">
        <x:v>260</x:v>
      </x:c>
      <x:c r="Q45" s="30" t="n">
        <x:v>20</x:v>
      </x:c>
      <x:c r="R45" s="30" t="n">
        <x:v>2</x:v>
      </x:c>
      <x:c r="S45" s="30" t="n">
        <x:v>2</x:v>
      </x:c>
      <x:c r="T45" s="30" t="n">
        <x:v>4</x:v>
      </x:c>
      <x:c r="U45" s="54" t="n">
        <x:v>3.5</x:v>
      </x:c>
      <x:c r="V45" s="15" t="str">
        <x:v>横帆</x:v>
      </x:c>
      <x:c r="W45" s="44" t="n">
        <x:v>0</x:v>
      </x:c>
      <x:c r="X45" s="15" t="str">
        <x:v>结构：1；帆装：1；货舱：1；甲板：1；船艏：1；船艉：1；通用：3</x:v>
      </x:c>
      <x:c r="Y45" s="15" t="str">
        <x:v>维持基本航行与船务的普通水手编制；炮班与突击队需从 crew_max 以内另行分配，独特海员另计薪资并计入补给人数。</x:v>
      </x:c>
      <x:c r="Z45" s="15" t="str">
        <x:v>完整船体、空载、适宜 16 节风与理想帆位；货载与风况按总经济表再乘系数。</x:v>
      </x:c>
      <x:c r="AA45" s="15" t="str">
        <x:v>P060；P063</x:v>
      </x:c>
    </x:row>
    <x:row r="46" ht="42" customHeight="1">
      <x:c r="A46" s="13" t="str">
        <x:v>S041</x:v>
      </x:c>
      <x:c r="B46" s="13" t="str">
        <x:v>燕尾·海峡兰查兰</x:v>
      </x:c>
      <x:c r="C46" s="13" t="str">
        <x:v>Lancaran 灵感桨帆船</x:v>
      </x:c>
      <x:c r="D46" s="13" t="str">
        <x:v>马来海峡</x:v>
      </x:c>
      <x:c r="E46" s="13" t="str">
        <x:v>马六甲；亚齐</x:v>
      </x:c>
      <x:c r="F46" s="27" t="n">
        <x:v>0</x:v>
      </x:c>
      <x:c r="G46" s="27" t="n">
        <x:v>8600</x:v>
      </x:c>
      <x:c r="H46" s="27" t="n">
        <x:v>6</x:v>
      </x:c>
      <x:c r="I46" s="27" t="n">
        <x:v>215</x:v>
      </x:c>
      <x:c r="J46" s="27" t="n">
        <x:v>9</x:v>
      </x:c>
      <x:c r="K46" s="42" t="n">
        <x:v>9.5</x:v>
      </x:c>
      <x:c r="L46" s="27" t="n">
        <x:v>94</x:v>
      </x:c>
      <x:c r="M46" s="42" t="n">
        <x:v>0.9</x:v>
      </x:c>
      <x:c r="N46" s="27" t="n">
        <x:v>78</x:v>
      </x:c>
      <x:c r="O46" s="27" t="n">
        <x:v>10</x:v>
      </x:c>
      <x:c r="P46" s="27" t="n">
        <x:v>40</x:v>
      </x:c>
      <x:c r="Q46" s="27" t="n">
        <x:v>2</x:v>
      </x:c>
      <x:c r="R46" s="27" t="n">
        <x:v>1</x:v>
      </x:c>
      <x:c r="S46" s="27" t="n">
        <x:v>0</x:v>
      </x:c>
      <x:c r="T46" s="27" t="n">
        <x:v>2</x:v>
      </x:c>
      <x:c r="U46" s="52" t="n">
        <x:v>0.35</x:v>
      </x:c>
      <x:c r="V46" s="13" t="str">
        <x:v>丹惹帆</x:v>
      </x:c>
      <x:c r="W46" s="42" t="n">
        <x:v>4.6</x:v>
      </x:c>
      <x:c r="X46" s="13" t="str">
        <x:v>结构：1；帆装：1；货舱：1；甲板：1；船艏：1；船艉：1；通用：1</x:v>
      </x:c>
      <x:c r="Y46" s="13" t="str">
        <x:v>维持基本航行与船务的普通水手编制；炮班与突击队需从 crew_max 以内另行分配，独特海员另计薪资并计入补给人数。</x:v>
      </x:c>
      <x:c r="Z46" s="13" t="str">
        <x:v>完整船体、空载、适宜 16 节风与理想帆位；货载与风况按总经济表再乘系数。</x:v>
      </x:c>
      <x:c r="AA46" s="13" t="str">
        <x:v>P069；P070</x:v>
      </x:c>
    </x:row>
    <x:row r="47" ht="42" customHeight="1">
      <x:c r="A47" s="15" t="str">
        <x:v>S042</x:v>
      </x:c>
      <x:c r="B47" s="15" t="str">
        <x:v>雨林叶·双支架帆舟</x:v>
      </x:c>
      <x:c r="C47" s="15" t="str">
        <x:v>双支架帆舟</x:v>
      </x:c>
      <x:c r="D47" s="15" t="str">
        <x:v>菲律宾—苏禄</x:v>
      </x:c>
      <x:c r="E47" s="15" t="str">
        <x:v>马尼拉；望加锡</x:v>
      </x:c>
      <x:c r="F47" s="30" t="n">
        <x:v>1</x:v>
      </x:c>
      <x:c r="G47" s="30" t="n">
        <x:v>24000</x:v>
      </x:c>
      <x:c r="H47" s="30" t="n">
        <x:v>10</x:v>
      </x:c>
      <x:c r="I47" s="30" t="n">
        <x:v>320</x:v>
      </x:c>
      <x:c r="J47" s="30" t="n">
        <x:v>10</x:v>
      </x:c>
      <x:c r="K47" s="44" t="n">
        <x:v>12.1</x:v>
      </x:c>
      <x:c r="L47" s="30" t="n">
        <x:v>98</x:v>
      </x:c>
      <x:c r="M47" s="44" t="n">
        <x:v>0.8</x:v>
      </x:c>
      <x:c r="N47" s="30" t="n">
        <x:v>115</x:v>
      </x:c>
      <x:c r="O47" s="30" t="n">
        <x:v>9</x:v>
      </x:c>
      <x:c r="P47" s="30" t="n">
        <x:v>37</x:v>
      </x:c>
      <x:c r="Q47" s="30" t="n">
        <x:v>2</x:v>
      </x:c>
      <x:c r="R47" s="30" t="n">
        <x:v>1</x:v>
      </x:c>
      <x:c r="S47" s="30" t="n">
        <x:v>0</x:v>
      </x:c>
      <x:c r="T47" s="30" t="n">
        <x:v>2</x:v>
      </x:c>
      <x:c r="U47" s="54" t="n">
        <x:v>0.35</x:v>
      </x:c>
      <x:c r="V47" s="15" t="str">
        <x:v>蟹爪帆</x:v>
      </x:c>
      <x:c r="W47" s="44" t="n">
        <x:v>4</x:v>
      </x:c>
      <x:c r="X47" s="15" t="str">
        <x:v>结构：1；帆装：1；货舱：1；甲板：1；船艏：1；船艉：1；通用：1</x:v>
      </x:c>
      <x:c r="Y47" s="15" t="str">
        <x:v>维持基本航行与船务的普通水手编制；炮班与突击队需从 crew_max 以内另行分配，独特海员另计薪资并计入补给人数。</x:v>
      </x:c>
      <x:c r="Z47" s="15" t="str">
        <x:v>完整船体、空载、适宜 16 节风与理想帆位；货载与风况按总经济表再乘系数。</x:v>
      </x:c>
      <x:c r="AA47" s="15" t="str">
        <x:v>P078；P075</x:v>
      </x:c>
    </x:row>
    <x:row r="48" ht="42" customHeight="1">
      <x:c r="A48" s="13" t="str">
        <x:v>S043</x:v>
      </x:c>
      <x:c r="B48" s="13" t="str">
        <x:v>山海屏·爪哇荣克</x:v>
      </x:c>
      <x:c r="C48" s="13" t="str">
        <x:v>Jong 爪哇大海船</x:v>
      </x:c>
      <x:c r="D48" s="13" t="str">
        <x:v>爪哇</x:v>
      </x:c>
      <x:c r="E48" s="13" t="str">
        <x:v>万丹；望加锡</x:v>
      </x:c>
      <x:c r="F48" s="27" t="n">
        <x:v>2</x:v>
      </x:c>
      <x:c r="G48" s="27" t="n">
        <x:v>88000</x:v>
      </x:c>
      <x:c r="H48" s="27" t="n">
        <x:v>24</x:v>
      </x:c>
      <x:c r="I48" s="27" t="n">
        <x:v>860</x:v>
      </x:c>
      <x:c r="J48" s="27" t="n">
        <x:v>27</x:v>
      </x:c>
      <x:c r="K48" s="42" t="n">
        <x:v>8.2</x:v>
      </x:c>
      <x:c r="L48" s="27" t="n">
        <x:v>45</x:v>
      </x:c>
      <x:c r="M48" s="42" t="n">
        <x:v>3.1</x:v>
      </x:c>
      <x:c r="N48" s="27" t="n">
        <x:v>425</x:v>
      </x:c>
      <x:c r="O48" s="27" t="n">
        <x:v>27</x:v>
      </x:c>
      <x:c r="P48" s="27" t="n">
        <x:v>115</x:v>
      </x:c>
      <x:c r="Q48" s="27" t="n">
        <x:v>7</x:v>
      </x:c>
      <x:c r="R48" s="27" t="n">
        <x:v>1</x:v>
      </x:c>
      <x:c r="S48" s="27" t="n">
        <x:v>2</x:v>
      </x:c>
      <x:c r="T48" s="27" t="n">
        <x:v>3</x:v>
      </x:c>
      <x:c r="U48" s="52" t="n">
        <x:v>2</x:v>
      </x:c>
      <x:c r="V48" s="13" t="str">
        <x:v>丹惹帆</x:v>
      </x:c>
      <x:c r="W48" s="42" t="n">
        <x:v>0</x:v>
      </x:c>
      <x:c r="X48" s="13" t="str">
        <x:v>结构：1；帆装：1；货舱：1；甲板：1；船艏：1；船艉：1；通用：2</x:v>
      </x:c>
      <x:c r="Y48" s="13" t="str">
        <x:v>维持基本航行与船务的普通水手编制；炮班与突击队需从 crew_max 以内另行分配，独特海员另计薪资并计入补给人数。</x:v>
      </x:c>
      <x:c r="Z48" s="13" t="str">
        <x:v>完整船体、空载、适宜 16 节风与理想帆位；货载与风况按总经济表再乘系数。</x:v>
      </x:c>
      <x:c r="AA48" s="13" t="str">
        <x:v>P071；P075</x:v>
      </x:c>
    </x:row>
    <x:row r="49" ht="42" customHeight="1">
      <x:c r="A49" s="15" t="str">
        <x:v>S044</x:v>
      </x:c>
      <x:c r="B49" s="15" t="str">
        <x:v>千岛针·望加锡帕德瓦康</x:v>
      </x:c>
      <x:c r="C49" s="15" t="str">
        <x:v>Padewakang 灵感远贸船</x:v>
      </x:c>
      <x:c r="D49" s="15" t="str">
        <x:v>布吉—望加锡</x:v>
      </x:c>
      <x:c r="E49" s="15" t="str">
        <x:v>望加锡；马六甲</x:v>
      </x:c>
      <x:c r="F49" s="30" t="n">
        <x:v>3</x:v>
      </x:c>
      <x:c r="G49" s="30" t="n">
        <x:v>113000</x:v>
      </x:c>
      <x:c r="H49" s="30" t="n">
        <x:v>24</x:v>
      </x:c>
      <x:c r="I49" s="30" t="n">
        <x:v>790</x:v>
      </x:c>
      <x:c r="J49" s="30" t="n">
        <x:v>24</x:v>
      </x:c>
      <x:c r="K49" s="44" t="n">
        <x:v>11.4</x:v>
      </x:c>
      <x:c r="L49" s="30" t="n">
        <x:v>70</x:v>
      </x:c>
      <x:c r="M49" s="44" t="n">
        <x:v>2.2</x:v>
      </x:c>
      <x:c r="N49" s="30" t="n">
        <x:v>305</x:v>
      </x:c>
      <x:c r="O49" s="30" t="n">
        <x:v>24</x:v>
      </x:c>
      <x:c r="P49" s="30" t="n">
        <x:v>108</x:v>
      </x:c>
      <x:c r="Q49" s="30" t="n">
        <x:v>7</x:v>
      </x:c>
      <x:c r="R49" s="30" t="n">
        <x:v>2</x:v>
      </x:c>
      <x:c r="S49" s="30" t="n">
        <x:v>1</x:v>
      </x:c>
      <x:c r="T49" s="30" t="n">
        <x:v>3</x:v>
      </x:c>
      <x:c r="U49" s="54" t="n">
        <x:v>2</x:v>
      </x:c>
      <x:c r="V49" s="15" t="str">
        <x:v>丹惹帆</x:v>
      </x:c>
      <x:c r="W49" s="44" t="n">
        <x:v>0</x:v>
      </x:c>
      <x:c r="X49" s="15" t="str">
        <x:v>结构：1；帆装：1；货舱：1；甲板：1；船艏：1；船艉：1；通用：2</x:v>
      </x:c>
      <x:c r="Y49" s="15" t="str">
        <x:v>维持基本航行与船务的普通水手编制；炮班与突击队需从 crew_max 以内另行分配，独特海员另计薪资并计入补给人数。</x:v>
      </x:c>
      <x:c r="Z49" s="15" t="str">
        <x:v>完整船体、空载、适宜 16 节风与理想帆位；货载与风况按总经济表再乘系数。</x:v>
      </x:c>
      <x:c r="AA49" s="15" t="str">
        <x:v>P075；P069</x:v>
      </x:c>
    </x:row>
    <x:row r="50" ht="42" customHeight="1">
      <x:c r="A50" s="13" t="str">
        <x:v>S045</x:v>
      </x:c>
      <x:c r="B50" s="13" t="str">
        <x:v>七折风·群岛皮尼西</x:v>
      </x:c>
      <x:c r="C50" s="13" t="str">
        <x:v>Pinisi 帆装融合船</x:v>
      </x:c>
      <x:c r="D50" s="13" t="str">
        <x:v>南苏拉威西</x:v>
      </x:c>
      <x:c r="E50" s="13" t="str">
        <x:v>望加锡</x:v>
      </x:c>
      <x:c r="F50" s="27" t="n">
        <x:v>4</x:v>
      </x:c>
      <x:c r="G50" s="27" t="n">
        <x:v>255000</x:v>
      </x:c>
      <x:c r="H50" s="27" t="n">
        <x:v>34</x:v>
      </x:c>
      <x:c r="I50" s="27" t="n">
        <x:v>1130</x:v>
      </x:c>
      <x:c r="J50" s="27" t="n">
        <x:v>30</x:v>
      </x:c>
      <x:c r="K50" s="42" t="n">
        <x:v>12.4</x:v>
      </x:c>
      <x:c r="L50" s="27" t="n">
        <x:v>72</x:v>
      </x:c>
      <x:c r="M50" s="42" t="n">
        <x:v>2.9</x:v>
      </x:c>
      <x:c r="N50" s="27" t="n">
        <x:v>365</x:v>
      </x:c>
      <x:c r="O50" s="27" t="n">
        <x:v>32</x:v>
      </x:c>
      <x:c r="P50" s="27" t="n">
        <x:v>150</x:v>
      </x:c>
      <x:c r="Q50" s="27" t="n">
        <x:v>10</x:v>
      </x:c>
      <x:c r="R50" s="27" t="n">
        <x:v>2</x:v>
      </x:c>
      <x:c r="S50" s="27" t="n">
        <x:v>2</x:v>
      </x:c>
      <x:c r="T50" s="27" t="n">
        <x:v>4</x:v>
      </x:c>
      <x:c r="U50" s="52" t="n">
        <x:v>2.8</x:v>
      </x:c>
      <x:c r="V50" s="13" t="str">
        <x:v>纵帆</x:v>
      </x:c>
      <x:c r="W50" s="42" t="n">
        <x:v>0</x:v>
      </x:c>
      <x:c r="X50" s="13" t="str">
        <x:v>结构：1；帆装：1；货舱：1；甲板：1；船艏：1；船艉：1；通用：3</x:v>
      </x:c>
      <x:c r="Y50" s="13" t="str">
        <x:v>维持基本航行与船务的普通水手编制；炮班与突击队需从 crew_max 以内另行分配，独特海员另计薪资并计入补给人数。</x:v>
      </x:c>
      <x:c r="Z50" s="13" t="str">
        <x:v>完整船体、空载、适宜 16 节风与理想帆位；货载与风况按总经济表再乘系数。</x:v>
      </x:c>
      <x:c r="AA50" s="13" t="str">
        <x:v>P075</x:v>
      </x:c>
    </x:row>
    <x:row r="51" ht="42" customHeight="1">
      <x:c r="A51" s="15" t="str">
        <x:v>S046</x:v>
      </x:c>
      <x:c r="B51" s="15" t="str">
        <x:v>火山牙·群岛炮战荣克</x:v>
      </x:c>
      <x:c r="C51" s="15" t="str">
        <x:v>武装 Jong 原创变体</x:v>
      </x:c>
      <x:c r="D51" s="15" t="str">
        <x:v>爪哇—亚齐</x:v>
      </x:c>
      <x:c r="E51" s="15" t="str">
        <x:v>万丹；亚齐</x:v>
      </x:c>
      <x:c r="F51" s="30" t="n">
        <x:v>4</x:v>
      </x:c>
      <x:c r="G51" s="30" t="n">
        <x:v>310000</x:v>
      </x:c>
      <x:c r="H51" s="30" t="n">
        <x:v>38</x:v>
      </x:c>
      <x:c r="I51" s="30" t="n">
        <x:v>1500</x:v>
      </x:c>
      <x:c r="J51" s="30" t="n">
        <x:v>40</x:v>
      </x:c>
      <x:c r="K51" s="44" t="n">
        <x:v>8.6</x:v>
      </x:c>
      <x:c r="L51" s="30" t="n">
        <x:v>49</x:v>
      </x:c>
      <x:c r="M51" s="44" t="n">
        <x:v>3.2</x:v>
      </x:c>
      <x:c r="N51" s="30" t="n">
        <x:v>350</x:v>
      </x:c>
      <x:c r="O51" s="30" t="n">
        <x:v>58</x:v>
      </x:c>
      <x:c r="P51" s="30" t="n">
        <x:v>240</x:v>
      </x:c>
      <x:c r="Q51" s="30" t="n">
        <x:v>14</x:v>
      </x:c>
      <x:c r="R51" s="30" t="n">
        <x:v>3</x:v>
      </x:c>
      <x:c r="S51" s="30" t="n">
        <x:v>2</x:v>
      </x:c>
      <x:c r="T51" s="30" t="n">
        <x:v>4</x:v>
      </x:c>
      <x:c r="U51" s="54" t="n">
        <x:v>2.8</x:v>
      </x:c>
      <x:c r="V51" s="15" t="str">
        <x:v>丹惹帆</x:v>
      </x:c>
      <x:c r="W51" s="44" t="n">
        <x:v>0</x:v>
      </x:c>
      <x:c r="X51" s="15" t="str">
        <x:v>结构：1；帆装：1；货舱：1；甲板：1；船艏：1；船艉：1；通用：3</x:v>
      </x:c>
      <x:c r="Y51" s="15" t="str">
        <x:v>维持基本航行与船务的普通水手编制；炮班与突击队需从 crew_max 以内另行分配，独特海员另计薪资并计入补给人数。</x:v>
      </x:c>
      <x:c r="Z51" s="15" t="str">
        <x:v>完整船体、空载、适宜 16 节风与理想帆位；货载与风况按总经济表再乘系数。</x:v>
      </x:c>
      <x:c r="AA51" s="15" t="str">
        <x:v>P071；P070</x:v>
      </x:c>
    </x:row>
    <x:row r="52" ht="42" customHeight="1">
      <x:c r="A52" s="13" t="str">
        <x:v>S047</x:v>
      </x:c>
      <x:c r="B52" s="13" t="str">
        <x:v>群星桥·远海群岛旗舰</x:v>
      </x:c>
      <x:c r="C52" s="13" t="str">
        <x:v>Jong—Pinisi 融合旗舰</x:v>
      </x:c>
      <x:c r="D52" s="13" t="str">
        <x:v>南岛跨港工匠联盟</x:v>
      </x:c>
      <x:c r="E52" s="13" t="str">
        <x:v>望加锡；马六甲</x:v>
      </x:c>
      <x:c r="F52" s="27" t="n">
        <x:v>5</x:v>
      </x:c>
      <x:c r="G52" s="27" t="n">
        <x:v>570000</x:v>
      </x:c>
      <x:c r="H52" s="27" t="n">
        <x:v>51</x:v>
      </x:c>
      <x:c r="I52" s="27" t="n">
        <x:v>1710</x:v>
      </x:c>
      <x:c r="J52" s="27" t="n">
        <x:v>40</x:v>
      </x:c>
      <x:c r="K52" s="42" t="n">
        <x:v>11.3</x:v>
      </x:c>
      <x:c r="L52" s="27" t="n">
        <x:v>54</x:v>
      </x:c>
      <x:c r="M52" s="42" t="n">
        <x:v>3.8</x:v>
      </x:c>
      <x:c r="N52" s="27" t="n">
        <x:v>600</x:v>
      </x:c>
      <x:c r="O52" s="27" t="n">
        <x:v>59</x:v>
      </x:c>
      <x:c r="P52" s="27" t="n">
        <x:v>225</x:v>
      </x:c>
      <x:c r="Q52" s="27" t="n">
        <x:v>15</x:v>
      </x:c>
      <x:c r="R52" s="27" t="n">
        <x:v>2</x:v>
      </x:c>
      <x:c r="S52" s="27" t="n">
        <x:v>2</x:v>
      </x:c>
      <x:c r="T52" s="27" t="n">
        <x:v>4</x:v>
      </x:c>
      <x:c r="U52" s="52" t="n">
        <x:v>3.5</x:v>
      </x:c>
      <x:c r="V52" s="13" t="str">
        <x:v>混帆</x:v>
      </x:c>
      <x:c r="W52" s="42" t="n">
        <x:v>0</x:v>
      </x:c>
      <x:c r="X52" s="13" t="str">
        <x:v>结构：1；帆装：1；货舱：1；甲板：1；船艏：1；船艉：1；通用：3</x:v>
      </x:c>
      <x:c r="Y52" s="13" t="str">
        <x:v>维持基本航行与船务的普通水手编制；炮班与突击队需从 crew_max 以内另行分配，独特海员另计薪资并计入补给人数。</x:v>
      </x:c>
      <x:c r="Z52" s="13" t="str">
        <x:v>完整船体、空载、适宜 16 节风与理想帆位；货载与风况按总经济表再乘系数。</x:v>
      </x:c>
      <x:c r="AA52" s="13" t="str">
        <x:v>P075；P069</x:v>
      </x:c>
    </x:row>
    <x:row r="53" ht="42" customHeight="1">
      <x:c r="A53" s="15" t="str">
        <x:v>S048</x:v>
      </x:c>
      <x:c r="B53" s="15" t="str">
        <x:v>芦雪·江口沙船</x:v>
      </x:c>
      <x:c r="C53" s="15" t="str">
        <x:v>沙船</x:v>
      </x:c>
      <x:c r="D53" s="15" t="str">
        <x:v>江南</x:v>
      </x:c>
      <x:c r="E53" s="15" t="str">
        <x:v>宁波；南京</x:v>
      </x:c>
      <x:c r="F53" s="30" t="n">
        <x:v>0</x:v>
      </x:c>
      <x:c r="G53" s="30" t="n">
        <x:v>11000</x:v>
      </x:c>
      <x:c r="H53" s="30" t="n">
        <x:v>7</x:v>
      </x:c>
      <x:c r="I53" s="30" t="n">
        <x:v>260</x:v>
      </x:c>
      <x:c r="J53" s="30" t="n">
        <x:v>11</x:v>
      </x:c>
      <x:c r="K53" s="44" t="n">
        <x:v>8.1</x:v>
      </x:c>
      <x:c r="L53" s="30" t="n">
        <x:v>88</x:v>
      </x:c>
      <x:c r="M53" s="44" t="n">
        <x:v>0.9</x:v>
      </x:c>
      <x:c r="N53" s="30" t="n">
        <x:v>140</x:v>
      </x:c>
      <x:c r="O53" s="30" t="n">
        <x:v>7</x:v>
      </x:c>
      <x:c r="P53" s="30" t="n">
        <x:v>34</x:v>
      </x:c>
      <x:c r="Q53" s="30" t="n">
        <x:v>2</x:v>
      </x:c>
      <x:c r="R53" s="30" t="n">
        <x:v>1</x:v>
      </x:c>
      <x:c r="S53" s="30" t="n">
        <x:v>0</x:v>
      </x:c>
      <x:c r="T53" s="30" t="n">
        <x:v>2</x:v>
      </x:c>
      <x:c r="U53" s="54" t="n">
        <x:v>0.35</x:v>
      </x:c>
      <x:c r="V53" s="15" t="str">
        <x:v>硬帆</x:v>
      </x:c>
      <x:c r="W53" s="44" t="n">
        <x:v>0</x:v>
      </x:c>
      <x:c r="X53" s="15" t="str">
        <x:v>结构：1；帆装：1；货舱：1；甲板：1；船艏：1；船艉：1；通用：1</x:v>
      </x:c>
      <x:c r="Y53" s="15" t="str">
        <x:v>维持基本航行与船务的普通水手编制；炮班与突击队需从 crew_max 以内另行分配，独特海员另计薪资并计入补给人数。</x:v>
      </x:c>
      <x:c r="Z53" s="15" t="str">
        <x:v>完整船体、空载、适宜 16 节风与理想帆位；货载与风况按总经济表再乘系数。</x:v>
      </x:c>
      <x:c r="AA53" s="15" t="str">
        <x:v>P084；P085</x:v>
      </x:c>
    </x:row>
    <x:row r="54" ht="42" customHeight="1">
      <x:c r="A54" s="13" t="str">
        <x:v>S049</x:v>
      </x:c>
      <x:c r="B54" s="13" t="str">
        <x:v>青鸾·福建福船</x:v>
      </x:c>
      <x:c r="C54" s="13" t="str">
        <x:v>福船</x:v>
      </x:c>
      <x:c r="D54" s="13" t="str">
        <x:v>福建</x:v>
      </x:c>
      <x:c r="E54" s="13" t="str">
        <x:v>泉州；福州</x:v>
      </x:c>
      <x:c r="F54" s="27" t="n">
        <x:v>1</x:v>
      </x:c>
      <x:c r="G54" s="27" t="n">
        <x:v>31500</x:v>
      </x:c>
      <x:c r="H54" s="27" t="n">
        <x:v>13</x:v>
      </x:c>
      <x:c r="I54" s="27" t="n">
        <x:v>455</x:v>
      </x:c>
      <x:c r="J54" s="27" t="n">
        <x:v>18</x:v>
      </x:c>
      <x:c r="K54" s="42" t="n">
        <x:v>9</x:v>
      </x:c>
      <x:c r="L54" s="27" t="n">
        <x:v>66</x:v>
      </x:c>
      <x:c r="M54" s="42" t="n">
        <x:v>2</x:v>
      </x:c>
      <x:c r="N54" s="27" t="n">
        <x:v>230</x:v>
      </x:c>
      <x:c r="O54" s="27" t="n">
        <x:v>13</x:v>
      </x:c>
      <x:c r="P54" s="27" t="n">
        <x:v>59</x:v>
      </x:c>
      <x:c r="Q54" s="27" t="n">
        <x:v>4</x:v>
      </x:c>
      <x:c r="R54" s="27" t="n">
        <x:v>1</x:v>
      </x:c>
      <x:c r="S54" s="27" t="n">
        <x:v>1</x:v>
      </x:c>
      <x:c r="T54" s="27" t="n">
        <x:v>2</x:v>
      </x:c>
      <x:c r="U54" s="52" t="n">
        <x:v>1.2</x:v>
      </x:c>
      <x:c r="V54" s="13" t="str">
        <x:v>硬帆</x:v>
      </x:c>
      <x:c r="W54" s="42" t="n">
        <x:v>0</x:v>
      </x:c>
      <x:c r="X54" s="13" t="str">
        <x:v>结构：1；帆装：1；货舱：1；甲板：1；船艏：1；船艉：1；通用：1</x:v>
      </x:c>
      <x:c r="Y54" s="13" t="str">
        <x:v>维持基本航行与船务的普通水手编制；炮班与突击队需从 crew_max 以内另行分配，独特海员另计薪资并计入补给人数。</x:v>
      </x:c>
      <x:c r="Z54" s="13" t="str">
        <x:v>完整船体、空载、适宜 16 节风与理想帆位；货载与风况按总经济表再乘系数。</x:v>
      </x:c>
      <x:c r="AA54" s="13" t="str">
        <x:v>P082；P083</x:v>
      </x:c>
    </x:row>
    <x:row r="55" ht="42" customHeight="1">
      <x:c r="A55" s="15" t="str">
        <x:v>S050</x:v>
      </x:c>
      <x:c r="B55" s="15" t="str">
        <x:v>朱砂·广东广船</x:v>
      </x:c>
      <x:c r="C55" s="15" t="str">
        <x:v>广船</x:v>
      </x:c>
      <x:c r="D55" s="15" t="str">
        <x:v>广东</x:v>
      </x:c>
      <x:c r="E55" s="15" t="str">
        <x:v>广州</x:v>
      </x:c>
      <x:c r="F55" s="30" t="n">
        <x:v>2</x:v>
      </x:c>
      <x:c r="G55" s="30" t="n">
        <x:v>83000</x:v>
      </x:c>
      <x:c r="H55" s="30" t="n">
        <x:v>23</x:v>
      </x:c>
      <x:c r="I55" s="30" t="n">
        <x:v>795</x:v>
      </x:c>
      <x:c r="J55" s="30" t="n">
        <x:v>29</x:v>
      </x:c>
      <x:c r="K55" s="44" t="n">
        <x:v>9.8</x:v>
      </x:c>
      <x:c r="L55" s="30" t="n">
        <x:v>61</x:v>
      </x:c>
      <x:c r="M55" s="44" t="n">
        <x:v>2.9</x:v>
      </x:c>
      <x:c r="N55" s="30" t="n">
        <x:v>345</x:v>
      </x:c>
      <x:c r="O55" s="30" t="n">
        <x:v>24</x:v>
      </x:c>
      <x:c r="P55" s="30" t="n">
        <x:v>100</x:v>
      </x:c>
      <x:c r="Q55" s="30" t="n">
        <x:v>7</x:v>
      </x:c>
      <x:c r="R55" s="30" t="n">
        <x:v>2</x:v>
      </x:c>
      <x:c r="S55" s="30" t="n">
        <x:v>1</x:v>
      </x:c>
      <x:c r="T55" s="30" t="n">
        <x:v>3</x:v>
      </x:c>
      <x:c r="U55" s="54" t="n">
        <x:v>2</x:v>
      </x:c>
      <x:c r="V55" s="15" t="str">
        <x:v>硬帆</x:v>
      </x:c>
      <x:c r="W55" s="44" t="n">
        <x:v>0</x:v>
      </x:c>
      <x:c r="X55" s="15" t="str">
        <x:v>结构：1；帆装：1；货舱：1；甲板：1；船艏：1；船艉：1；通用：2</x:v>
      </x:c>
      <x:c r="Y55" s="15" t="str">
        <x:v>维持基本航行与船务的普通水手编制；炮班与突击队需从 crew_max 以内另行分配，独特海员另计薪资并计入补给人数。</x:v>
      </x:c>
      <x:c r="Z55" s="15" t="str">
        <x:v>完整船体、空载、适宜 16 节风与理想帆位；货载与风况按总经济表再乘系数。</x:v>
      </x:c>
      <x:c r="AA55" s="15" t="str">
        <x:v>P081</x:v>
      </x:c>
    </x:row>
    <x:row r="56" ht="42" customHeight="1">
      <x:c r="A56" s="13" t="str">
        <x:v>S051</x:v>
      </x:c>
      <x:c r="B56" s="13" t="str">
        <x:v>白燕·琉球进贡船</x:v>
      </x:c>
      <x:c r="C56" s="13" t="str">
        <x:v>琉球远航船</x:v>
      </x:c>
      <x:c r="D56" s="13" t="str">
        <x:v>琉球</x:v>
      </x:c>
      <x:c r="E56" s="13" t="str">
        <x:v>那霸；泉州</x:v>
      </x:c>
      <x:c r="F56" s="27" t="n">
        <x:v>2</x:v>
      </x:c>
      <x:c r="G56" s="27" t="n">
        <x:v>79000</x:v>
      </x:c>
      <x:c r="H56" s="27" t="n">
        <x:v>21</x:v>
      </x:c>
      <x:c r="I56" s="27" t="n">
        <x:v>665</x:v>
      </x:c>
      <x:c r="J56" s="27" t="n">
        <x:v>20</x:v>
      </x:c>
      <x:c r="K56" s="42" t="n">
        <x:v>10.5</x:v>
      </x:c>
      <x:c r="L56" s="27" t="n">
        <x:v>73</x:v>
      </x:c>
      <x:c r="M56" s="42" t="n">
        <x:v>2.2</x:v>
      </x:c>
      <x:c r="N56" s="27" t="n">
        <x:v>260</x:v>
      </x:c>
      <x:c r="O56" s="27" t="n">
        <x:v>20</x:v>
      </x:c>
      <x:c r="P56" s="27" t="n">
        <x:v>86</x:v>
      </x:c>
      <x:c r="Q56" s="27" t="n">
        <x:v>5</x:v>
      </x:c>
      <x:c r="R56" s="27" t="n">
        <x:v>1</x:v>
      </x:c>
      <x:c r="S56" s="27" t="n">
        <x:v>2</x:v>
      </x:c>
      <x:c r="T56" s="27" t="n">
        <x:v>3</x:v>
      </x:c>
      <x:c r="U56" s="52" t="n">
        <x:v>1.2</x:v>
      </x:c>
      <x:c r="V56" s="13" t="str">
        <x:v>硬帆</x:v>
      </x:c>
      <x:c r="W56" s="42" t="n">
        <x:v>0</x:v>
      </x:c>
      <x:c r="X56" s="13" t="str">
        <x:v>结构：1；帆装：1；货舱：1；甲板：1；船艏：1；船艉：1；通用：2</x:v>
      </x:c>
      <x:c r="Y56" s="13" t="str">
        <x:v>维持基本航行与船务的普通水手编制；炮班与突击队需从 crew_max 以内另行分配，独特海员另计薪资并计入补给人数。</x:v>
      </x:c>
      <x:c r="Z56" s="13" t="str">
        <x:v>完整船体、空载、适宜 16 节风与理想帆位；货载与风况按总经济表再乘系数。</x:v>
      </x:c>
      <x:c r="AA56" s="13" t="str">
        <x:v>P088；P082</x:v>
      </x:c>
    </x:row>
    <x:row r="57" ht="42" customHeight="1">
      <x:c r="A57" s="15" t="str">
        <x:v>S052</x:v>
      </x:c>
      <x:c r="B57" s="15" t="str">
        <x:v>银签·朱印远贸船</x:v>
      </x:c>
      <x:c r="C57" s="15" t="str">
        <x:v>朱印许可武装商船</x:v>
      </x:c>
      <x:c r="D57" s="15" t="str">
        <x:v>日本—东南亚交流</x:v>
      </x:c>
      <x:c r="E57" s="15" t="str">
        <x:v>长崎；堺</x:v>
      </x:c>
      <x:c r="F57" s="30" t="n">
        <x:v>3</x:v>
      </x:c>
      <x:c r="G57" s="30" t="n">
        <x:v>158000</x:v>
      </x:c>
      <x:c r="H57" s="30" t="n">
        <x:v>29</x:v>
      </x:c>
      <x:c r="I57" s="30" t="n">
        <x:v>990</x:v>
      </x:c>
      <x:c r="J57" s="30" t="n">
        <x:v>30</x:v>
      </x:c>
      <x:c r="K57" s="44" t="n">
        <x:v>10.8</x:v>
      </x:c>
      <x:c r="L57" s="30" t="n">
        <x:v>63</x:v>
      </x:c>
      <x:c r="M57" s="44" t="n">
        <x:v>2.8</x:v>
      </x:c>
      <x:c r="N57" s="30" t="n">
        <x:v>360</x:v>
      </x:c>
      <x:c r="O57" s="30" t="n">
        <x:v>30</x:v>
      </x:c>
      <x:c r="P57" s="30" t="n">
        <x:v>135</x:v>
      </x:c>
      <x:c r="Q57" s="30" t="n">
        <x:v>9</x:v>
      </x:c>
      <x:c r="R57" s="30" t="n">
        <x:v>2</x:v>
      </x:c>
      <x:c r="S57" s="30" t="n">
        <x:v>2</x:v>
      </x:c>
      <x:c r="T57" s="30" t="n">
        <x:v>3</x:v>
      </x:c>
      <x:c r="U57" s="54" t="n">
        <x:v>2</x:v>
      </x:c>
      <x:c r="V57" s="15" t="str">
        <x:v>混帆</x:v>
      </x:c>
      <x:c r="W57" s="44" t="n">
        <x:v>0</x:v>
      </x:c>
      <x:c r="X57" s="15" t="str">
        <x:v>结构：1；帆装：1；货舱：1；甲板：1；船艏：1；船艉：1；通用：2</x:v>
      </x:c>
      <x:c r="Y57" s="15" t="str">
        <x:v>维持基本航行与船务的普通水手编制；炮班与突击队需从 crew_max 以内另行分配，独特海员另计薪资并计入补给人数。</x:v>
      </x:c>
      <x:c r="Z57" s="15" t="str">
        <x:v>完整船体、空载、适宜 16 节风与理想帆位；货载与风况按总经济表再乘系数。</x:v>
      </x:c>
      <x:c r="AA57" s="15" t="str">
        <x:v>P089；P090</x:v>
      </x:c>
    </x:row>
    <x:row r="58" ht="42" customHeight="1">
      <x:c r="A58" s="13" t="str">
        <x:v>S053</x:v>
      </x:c>
      <x:c r="B58" s="13" t="str">
        <x:v>黑漆燕·关船追击艇</x:v>
      </x:c>
      <x:c r="C58" s="13" t="str">
        <x:v>关船灵感轻战船</x:v>
      </x:c>
      <x:c r="D58" s="13" t="str">
        <x:v>日本濑户内海</x:v>
      </x:c>
      <x:c r="E58" s="13" t="str">
        <x:v>堺；长崎</x:v>
      </x:c>
      <x:c r="F58" s="27" t="n">
        <x:v>2</x:v>
      </x:c>
      <x:c r="G58" s="27" t="n">
        <x:v>63000</x:v>
      </x:c>
      <x:c r="H58" s="27" t="n">
        <x:v>18</x:v>
      </x:c>
      <x:c r="I58" s="27" t="n">
        <x:v>565</x:v>
      </x:c>
      <x:c r="J58" s="27" t="n">
        <x:v>20</x:v>
      </x:c>
      <x:c r="K58" s="42" t="n">
        <x:v>9.6</x:v>
      </x:c>
      <x:c r="L58" s="27" t="n">
        <x:v>92</x:v>
      </x:c>
      <x:c r="M58" s="42" t="n">
        <x:v>1.2</x:v>
      </x:c>
      <x:c r="N58" s="27" t="n">
        <x:v>90</x:v>
      </x:c>
      <x:c r="O58" s="27" t="n">
        <x:v>28</x:v>
      </x:c>
      <x:c r="P58" s="27" t="n">
        <x:v>105</x:v>
      </x:c>
      <x:c r="Q58" s="27" t="n">
        <x:v>3</x:v>
      </x:c>
      <x:c r="R58" s="27" t="n">
        <x:v>2</x:v>
      </x:c>
      <x:c r="S58" s="27" t="n">
        <x:v>1</x:v>
      </x:c>
      <x:c r="T58" s="27" t="n">
        <x:v>3</x:v>
      </x:c>
      <x:c r="U58" s="52" t="n">
        <x:v>1.2</x:v>
      </x:c>
      <x:c r="V58" s="13" t="str">
        <x:v>横帆</x:v>
      </x:c>
      <x:c r="W58" s="42" t="n">
        <x:v>4.8</x:v>
      </x:c>
      <x:c r="X58" s="13" t="str">
        <x:v>结构：1；帆装：1；货舱：1；甲板：1；船艏：1；船艉：1；通用：2</x:v>
      </x:c>
      <x:c r="Y58" s="13" t="str">
        <x:v>维持基本航行与船务的普通水手编制；炮班与突击队需从 crew_max 以内另行分配，独特海员另计薪资并计入补给人数。</x:v>
      </x:c>
      <x:c r="Z58" s="13" t="str">
        <x:v>完整船体、空载、适宜 16 节风与理想帆位；货载与风况按总经济表再乘系数。</x:v>
      </x:c>
      <x:c r="AA58" s="13" t="str">
        <x:v>P090；P089</x:v>
      </x:c>
    </x:row>
    <x:row r="59" ht="42" customHeight="1">
      <x:c r="A59" s="15" t="str">
        <x:v>S054</x:v>
      </x:c>
      <x:c r="B59" s="15" t="str">
        <x:v>金屏城·安宅重战船</x:v>
      </x:c>
      <x:c r="C59" s="15" t="str">
        <x:v>安宅船</x:v>
      </x:c>
      <x:c r="D59" s="15" t="str">
        <x:v>日本战国水军</x:v>
      </x:c>
      <x:c r="E59" s="15" t="str">
        <x:v>堺</x:v>
      </x:c>
      <x:c r="F59" s="30" t="n">
        <x:v>4</x:v>
      </x:c>
      <x:c r="G59" s="30" t="n">
        <x:v>325000</x:v>
      </x:c>
      <x:c r="H59" s="30" t="n">
        <x:v>39</x:v>
      </x:c>
      <x:c r="I59" s="30" t="n">
        <x:v>1660</x:v>
      </x:c>
      <x:c r="J59" s="30" t="n">
        <x:v>49</x:v>
      </x:c>
      <x:c r="K59" s="44" t="n">
        <x:v>6.5</x:v>
      </x:c>
      <x:c r="L59" s="30" t="n">
        <x:v>50</x:v>
      </x:c>
      <x:c r="M59" s="44" t="n">
        <x:v>2</x:v>
      </x:c>
      <x:c r="N59" s="30" t="n">
        <x:v>165</x:v>
      </x:c>
      <x:c r="O59" s="30" t="n">
        <x:v>100</x:v>
      </x:c>
      <x:c r="P59" s="30" t="n">
        <x:v>330</x:v>
      </x:c>
      <x:c r="Q59" s="30" t="n">
        <x:v>8</x:v>
      </x:c>
      <x:c r="R59" s="30" t="n">
        <x:v>3</x:v>
      </x:c>
      <x:c r="S59" s="30" t="n">
        <x:v>3</x:v>
      </x:c>
      <x:c r="T59" s="30" t="n">
        <x:v>4</x:v>
      </x:c>
      <x:c r="U59" s="54" t="n">
        <x:v>2.8</x:v>
      </x:c>
      <x:c r="V59" s="15" t="str">
        <x:v>横帆</x:v>
      </x:c>
      <x:c r="W59" s="44" t="n">
        <x:v>3.8</x:v>
      </x:c>
      <x:c r="X59" s="15" t="str">
        <x:v>结构：1；帆装：1；货舱：1；甲板：1；船艏：1；船艉：1；通用：3</x:v>
      </x:c>
      <x:c r="Y59" s="15" t="str">
        <x:v>维持基本航行与船务的普通水手编制；炮班与突击队需从 crew_max 以内另行分配，独特海员另计薪资并计入补给人数。</x:v>
      </x:c>
      <x:c r="Z59" s="15" t="str">
        <x:v>完整船体、空载、适宜 16 节风与理想帆位；货载与风况按总经济表再乘系数。</x:v>
      </x:c>
      <x:c r="AA59" s="15" t="str">
        <x:v>P090</x:v>
      </x:c>
    </x:row>
    <x:row r="60" ht="42" customHeight="1">
      <x:c r="A60" s="13" t="str">
        <x:v>S055</x:v>
      </x:c>
      <x:c r="B60" s="13" t="str">
        <x:v>云阵·朝鲜板屋船</x:v>
      </x:c>
      <x:c r="C60" s="13" t="str">
        <x:v>Panokseon 板屋船</x:v>
      </x:c>
      <x:c r="D60" s="13" t="str">
        <x:v>朝鲜</x:v>
      </x:c>
      <x:c r="E60" s="13" t="str">
        <x:v>釜山</x:v>
      </x:c>
      <x:c r="F60" s="27" t="n">
        <x:v>3</x:v>
      </x:c>
      <x:c r="G60" s="27" t="n">
        <x:v>149000</x:v>
      </x:c>
      <x:c r="H60" s="27" t="n">
        <x:v>28</x:v>
      </x:c>
      <x:c r="I60" s="27" t="n">
        <x:v>1050</x:v>
      </x:c>
      <x:c r="J60" s="27" t="n">
        <x:v>37</x:v>
      </x:c>
      <x:c r="K60" s="42" t="n">
        <x:v>7.8</x:v>
      </x:c>
      <x:c r="L60" s="27" t="n">
        <x:v>84</x:v>
      </x:c>
      <x:c r="M60" s="42" t="n">
        <x:v>1.7</x:v>
      </x:c>
      <x:c r="N60" s="27" t="n">
        <x:v>155</x:v>
      </x:c>
      <x:c r="O60" s="27" t="n">
        <x:v>65</x:v>
      </x:c>
      <x:c r="P60" s="27" t="n">
        <x:v>215</x:v>
      </x:c>
      <x:c r="Q60" s="27" t="n">
        <x:v>8</x:v>
      </x:c>
      <x:c r="R60" s="27" t="n">
        <x:v>3</x:v>
      </x:c>
      <x:c r="S60" s="27" t="n">
        <x:v>2</x:v>
      </x:c>
      <x:c r="T60" s="27" t="n">
        <x:v>3</x:v>
      </x:c>
      <x:c r="U60" s="52" t="n">
        <x:v>2</x:v>
      </x:c>
      <x:c r="V60" s="13" t="str">
        <x:v>横帆</x:v>
      </x:c>
      <x:c r="W60" s="42" t="n">
        <x:v>4.2</x:v>
      </x:c>
      <x:c r="X60" s="13" t="str">
        <x:v>结构：1；帆装：1；货舱：1；甲板：1；船艏：1；船艉：1；通用：2</x:v>
      </x:c>
      <x:c r="Y60" s="13" t="str">
        <x:v>维持基本航行与船务的普通水手编制；炮班与突击队需从 crew_max 以内另行分配，独特海员另计薪资并计入补给人数。</x:v>
      </x:c>
      <x:c r="Z60" s="13" t="str">
        <x:v>完整船体、空载、适宜 16 节风与理想帆位；货载与风况按总经济表再乘系数。</x:v>
      </x:c>
      <x:c r="AA60" s="13" t="str">
        <x:v>P092</x:v>
      </x:c>
    </x:row>
    <x:row r="61" ht="42" customHeight="1">
      <x:c r="A61" s="15" t="str">
        <x:v>S056</x:v>
      </x:c>
      <x:c r="B61" s="15" t="str">
        <x:v>玄武灯·龟船</x:v>
      </x:c>
      <x:c r="C61" s="15" t="str">
        <x:v>Geobukseon 龟船</x:v>
      </x:c>
      <x:c r="D61" s="15" t="str">
        <x:v>朝鲜</x:v>
      </x:c>
      <x:c r="E61" s="15" t="str">
        <x:v>釜山</x:v>
      </x:c>
      <x:c r="F61" s="30" t="n">
        <x:v>4</x:v>
      </x:c>
      <x:c r="G61" s="30" t="n">
        <x:v>365000</x:v>
      </x:c>
      <x:c r="H61" s="30" t="n">
        <x:v>41</x:v>
      </x:c>
      <x:c r="I61" s="30" t="n">
        <x:v>1510</x:v>
      </x:c>
      <x:c r="J61" s="30" t="n">
        <x:v>51</x:v>
      </x:c>
      <x:c r="K61" s="44" t="n">
        <x:v>7.5</x:v>
      </x:c>
      <x:c r="L61" s="30" t="n">
        <x:v>79</x:v>
      </x:c>
      <x:c r="M61" s="44" t="n">
        <x:v>1.8</x:v>
      </x:c>
      <x:c r="N61" s="30" t="n">
        <x:v>120</x:v>
      </x:c>
      <x:c r="O61" s="30" t="n">
        <x:v>80</x:v>
      </x:c>
      <x:c r="P61" s="30" t="n">
        <x:v>255</x:v>
      </x:c>
      <x:c r="Q61" s="30" t="n">
        <x:v>10</x:v>
      </x:c>
      <x:c r="R61" s="30" t="n">
        <x:v>2</x:v>
      </x:c>
      <x:c r="S61" s="30" t="n">
        <x:v>2</x:v>
      </x:c>
      <x:c r="T61" s="30" t="n">
        <x:v>4</x:v>
      </x:c>
      <x:c r="U61" s="54" t="n">
        <x:v>2.8</x:v>
      </x:c>
      <x:c r="V61" s="15" t="str">
        <x:v>横帆</x:v>
      </x:c>
      <x:c r="W61" s="44" t="n">
        <x:v>4.5</x:v>
      </x:c>
      <x:c r="X61" s="15" t="str">
        <x:v>结构：1；帆装：1；货舱：1；甲板：1；船艏：1；船艉：1；通用：3</x:v>
      </x:c>
      <x:c r="Y61" s="15" t="str">
        <x:v>维持基本航行与船务的普通水手编制；炮班与突击队需从 crew_max 以内另行分配，独特海员另计薪资并计入补给人数。</x:v>
      </x:c>
      <x:c r="Z61" s="15" t="str">
        <x:v>完整船体、空载、适宜 16 节风与理想帆位；货载与风况按总经济表再乘系数。</x:v>
      </x:c>
      <x:c r="AA61" s="15" t="str">
        <x:v>P092</x:v>
      </x:c>
    </x:row>
    <x:row r="62" ht="42" customHeight="1">
      <x:c r="A62" s="13" t="str">
        <x:v>S057</x:v>
      </x:c>
      <x:c r="B62" s="13" t="str">
        <x:v>赤帆门·武装大福船</x:v>
      </x:c>
      <x:c r="C62" s="13" t="str">
        <x:v>大型武装福船</x:v>
      </x:c>
      <x:c r="D62" s="13" t="str">
        <x:v>福建海商工匠</x:v>
      </x:c>
      <x:c r="E62" s="13" t="str">
        <x:v>福州；泉州</x:v>
      </x:c>
      <x:c r="F62" s="27" t="n">
        <x:v>4</x:v>
      </x:c>
      <x:c r="G62" s="27" t="n">
        <x:v>350000</x:v>
      </x:c>
      <x:c r="H62" s="27" t="n">
        <x:v>40</x:v>
      </x:c>
      <x:c r="I62" s="27" t="n">
        <x:v>1690</x:v>
      </x:c>
      <x:c r="J62" s="27" t="n">
        <x:v>45</x:v>
      </x:c>
      <x:c r="K62" s="42" t="n">
        <x:v>8.7</x:v>
      </x:c>
      <x:c r="L62" s="27" t="n">
        <x:v>47</x:v>
      </x:c>
      <x:c r="M62" s="42" t="n">
        <x:v>3.4</x:v>
      </x:c>
      <x:c r="N62" s="27" t="n">
        <x:v>450</x:v>
      </x:c>
      <x:c r="O62" s="27" t="n">
        <x:v>60</x:v>
      </x:c>
      <x:c r="P62" s="27" t="n">
        <x:v>245</x:v>
      </x:c>
      <x:c r="Q62" s="27" t="n">
        <x:v>15</x:v>
      </x:c>
      <x:c r="R62" s="27" t="n">
        <x:v>3</x:v>
      </x:c>
      <x:c r="S62" s="27" t="n">
        <x:v>2</x:v>
      </x:c>
      <x:c r="T62" s="27" t="n">
        <x:v>4</x:v>
      </x:c>
      <x:c r="U62" s="52" t="n">
        <x:v>2.8</x:v>
      </x:c>
      <x:c r="V62" s="13" t="str">
        <x:v>硬帆</x:v>
      </x:c>
      <x:c r="W62" s="42" t="n">
        <x:v>0</x:v>
      </x:c>
      <x:c r="X62" s="13" t="str">
        <x:v>结构：1；帆装：1；货舱：1；甲板：1；船艏：1；船艉：1；通用：3</x:v>
      </x:c>
      <x:c r="Y62" s="13" t="str">
        <x:v>维持基本航行与船务的普通水手编制；炮班与突击队需从 crew_max 以内另行分配，独特海员另计薪资并计入补给人数。</x:v>
      </x:c>
      <x:c r="Z62" s="13" t="str">
        <x:v>完整船体、空载、适宜 16 节风与理想帆位；货载与风况按总经济表再乘系数。</x:v>
      </x:c>
      <x:c r="AA62" s="13" t="str">
        <x:v>P083；P082</x:v>
      </x:c>
    </x:row>
    <x:row r="63" ht="42" customHeight="1">
      <x:c r="A63" s="15" t="str">
        <x:v>S058</x:v>
      </x:c>
      <x:c r="B63" s="15" t="str">
        <x:v>海上蓬莱·宝船工艺旗舰</x:v>
      </x:c>
      <x:c r="C63" s="15" t="str">
        <x:v>大型福船工艺幻想变体</x:v>
      </x:c>
      <x:c r="D63" s="15" t="str">
        <x:v>东亚联合船匠</x:v>
      </x:c>
      <x:c r="E63" s="15" t="str">
        <x:v>泉州；广州</x:v>
      </x:c>
      <x:c r="F63" s="30" t="n">
        <x:v>5</x:v>
      </x:c>
      <x:c r="G63" s="30" t="n">
        <x:v>680000</x:v>
      </x:c>
      <x:c r="H63" s="30" t="n">
        <x:v>55</x:v>
      </x:c>
      <x:c r="I63" s="30" t="n">
        <x:v>2130</x:v>
      </x:c>
      <x:c r="J63" s="30" t="n">
        <x:v>46</x:v>
      </x:c>
      <x:c r="K63" s="44" t="n">
        <x:v>9.6</x:v>
      </x:c>
      <x:c r="L63" s="30" t="n">
        <x:v>42</x:v>
      </x:c>
      <x:c r="M63" s="44" t="n">
        <x:v>4.6</x:v>
      </x:c>
      <x:c r="N63" s="30" t="n">
        <x:v>680</x:v>
      </x:c>
      <x:c r="O63" s="30" t="n">
        <x:v>85</x:v>
      </x:c>
      <x:c r="P63" s="30" t="n">
        <x:v>310</x:v>
      </x:c>
      <x:c r="Q63" s="30" t="n">
        <x:v>18</x:v>
      </x:c>
      <x:c r="R63" s="30" t="n">
        <x:v>3</x:v>
      </x:c>
      <x:c r="S63" s="30" t="n">
        <x:v>3</x:v>
      </x:c>
      <x:c r="T63" s="30" t="n">
        <x:v>4</x:v>
      </x:c>
      <x:c r="U63" s="54" t="n">
        <x:v>3.5</x:v>
      </x:c>
      <x:c r="V63" s="15" t="str">
        <x:v>硬帆</x:v>
      </x:c>
      <x:c r="W63" s="44" t="n">
        <x:v>0</x:v>
      </x:c>
      <x:c r="X63" s="15" t="str">
        <x:v>结构：1；帆装：1；货舱：1；甲板：1；船艏：1；船艉：1；通用：3</x:v>
      </x:c>
      <x:c r="Y63" s="15" t="str">
        <x:v>维持基本航行与船务的普通水手编制；炮班与突击队需从 crew_max 以内另行分配，独特海员另计薪资并计入补给人数。</x:v>
      </x:c>
      <x:c r="Z63" s="15" t="str">
        <x:v>完整船体、空载、适宜 16 节风与理想帆位；货载与风况按总经济表再乘系数。</x:v>
      </x:c>
      <x:c r="AA63" s="15" t="str">
        <x:v>P082；P081</x:v>
      </x:c>
    </x:row>
    <x:row r="64" ht="42" customHeight="1">
      <x:c r="A64" s="13" t="str">
        <x:v>S059</x:v>
      </x:c>
      <x:c r="B64" s="13" t="str">
        <x:v>糖雾·加勒比单桅船</x:v>
      </x:c>
      <x:c r="C64" s="13" t="str">
        <x:v>Sloop 单桅纵帆船</x:v>
      </x:c>
      <x:c r="D64" s="13" t="str">
        <x:v>加勒比自由港</x:v>
      </x:c>
      <x:c r="E64" s="13" t="str">
        <x:v>哈瓦那；罗亚尔港</x:v>
      </x:c>
      <x:c r="F64" s="27" t="n">
        <x:v>0</x:v>
      </x:c>
      <x:c r="G64" s="27" t="n">
        <x:v>9800</x:v>
      </x:c>
      <x:c r="H64" s="27" t="n">
        <x:v>7</x:v>
      </x:c>
      <x:c r="I64" s="27" t="n">
        <x:v>230</x:v>
      </x:c>
      <x:c r="J64" s="27" t="n">
        <x:v>9</x:v>
      </x:c>
      <x:c r="K64" s="42" t="n">
        <x:v>10.8</x:v>
      </x:c>
      <x:c r="L64" s="27" t="n">
        <x:v>94</x:v>
      </x:c>
      <x:c r="M64" s="42" t="n">
        <x:v>1</x:v>
      </x:c>
      <x:c r="N64" s="27" t="n">
        <x:v>85</x:v>
      </x:c>
      <x:c r="O64" s="27" t="n">
        <x:v>7</x:v>
      </x:c>
      <x:c r="P64" s="27" t="n">
        <x:v>30</x:v>
      </x:c>
      <x:c r="Q64" s="27" t="n">
        <x:v>3</x:v>
      </x:c>
      <x:c r="R64" s="27" t="n">
        <x:v>1</x:v>
      </x:c>
      <x:c r="S64" s="27" t="n">
        <x:v>1</x:v>
      </x:c>
      <x:c r="T64" s="27" t="n">
        <x:v>2</x:v>
      </x:c>
      <x:c r="U64" s="52" t="n">
        <x:v>0.35</x:v>
      </x:c>
      <x:c r="V64" s="13" t="str">
        <x:v>纵帆</x:v>
      </x:c>
      <x:c r="W64" s="42" t="n">
        <x:v>0</x:v>
      </x:c>
      <x:c r="X64" s="13" t="str">
        <x:v>结构：1；帆装：1；货舱：1；甲板：1；船艏：1；船艉：1；通用：1</x:v>
      </x:c>
      <x:c r="Y64" s="13" t="str">
        <x:v>维持基本航行与船务的普通水手编制；炮班与突击队需从 crew_max 以内另行分配，独特海员另计薪资并计入补给人数。</x:v>
      </x:c>
      <x:c r="Z64" s="13" t="str">
        <x:v>完整船体、空载、适宜 16 节风与理想帆位；货载与风况按总经济表再乘系数。</x:v>
      </x:c>
      <x:c r="AA64" s="13" t="str">
        <x:v>P095；P099</x:v>
      </x:c>
    </x:row>
    <x:row r="65" ht="42" customHeight="1">
      <x:c r="A65" s="15" t="str">
        <x:v>S060</x:v>
      </x:c>
      <x:c r="B65" s="15" t="str">
        <x:v>夜鸢·百慕大快速纵帆船</x:v>
      </x:c>
      <x:c r="C65" s="15" t="str">
        <x:v>双桅纵帆快船</x:v>
      </x:c>
      <x:c r="D65" s="15" t="str">
        <x:v>百慕大—北美沿岸</x:v>
      </x:c>
      <x:c r="E65" s="15" t="str">
        <x:v>罗亚尔港；波士顿</x:v>
      </x:c>
      <x:c r="F65" s="30" t="n">
        <x:v>2</x:v>
      </x:c>
      <x:c r="G65" s="30" t="n">
        <x:v>74000</x:v>
      </x:c>
      <x:c r="H65" s="30" t="n">
        <x:v>20</x:v>
      </x:c>
      <x:c r="I65" s="30" t="n">
        <x:v>620</x:v>
      </x:c>
      <x:c r="J65" s="30" t="n">
        <x:v>18</x:v>
      </x:c>
      <x:c r="K65" s="44" t="n">
        <x:v>13</x:v>
      </x:c>
      <x:c r="L65" s="30" t="n">
        <x:v>85</x:v>
      </x:c>
      <x:c r="M65" s="44" t="n">
        <x:v>1.8</x:v>
      </x:c>
      <x:c r="N65" s="30" t="n">
        <x:v>195</x:v>
      </x:c>
      <x:c r="O65" s="30" t="n">
        <x:v>16</x:v>
      </x:c>
      <x:c r="P65" s="30" t="n">
        <x:v>80</x:v>
      </x:c>
      <x:c r="Q65" s="30" t="n">
        <x:v>6</x:v>
      </x:c>
      <x:c r="R65" s="30" t="n">
        <x:v>2</x:v>
      </x:c>
      <x:c r="S65" s="30" t="n">
        <x:v>2</x:v>
      </x:c>
      <x:c r="T65" s="30" t="n">
        <x:v>3</x:v>
      </x:c>
      <x:c r="U65" s="54" t="n">
        <x:v>1.2</x:v>
      </x:c>
      <x:c r="V65" s="15" t="str">
        <x:v>纵帆</x:v>
      </x:c>
      <x:c r="W65" s="44" t="n">
        <x:v>0</x:v>
      </x:c>
      <x:c r="X65" s="15" t="str">
        <x:v>结构：1；帆装：1；货舱：1；甲板：1；船艏：1；船艉：1；通用：2</x:v>
      </x:c>
      <x:c r="Y65" s="15" t="str">
        <x:v>维持基本航行与船务的普通水手编制；炮班与突击队需从 crew_max 以内另行分配，独特海员另计薪资并计入补给人数。</x:v>
      </x:c>
      <x:c r="Z65" s="15" t="str">
        <x:v>完整船体、空载、适宜 16 节风与理想帆位；货载与风况按总经济表再乘系数。</x:v>
      </x:c>
      <x:c r="AA65" s="15" t="str">
        <x:v>P099；P104</x:v>
      </x:c>
    </x:row>
    <x:row r="66" ht="42" customHeight="1">
      <x:c r="A66" s="13" t="str">
        <x:v>S061</x:v>
      </x:c>
      <x:c r="B66" s="13" t="str">
        <x:v>海狮铃·北美武装双桅船</x:v>
      </x:c>
      <x:c r="C66" s="13" t="str">
        <x:v>Brig 双桅横帆船</x:v>
      </x:c>
      <x:c r="D66" s="13" t="str">
        <x:v>新英格兰船厂</x:v>
      </x:c>
      <x:c r="E66" s="13" t="str">
        <x:v>波士顿；查尔斯顿</x:v>
      </x:c>
      <x:c r="F66" s="27" t="n">
        <x:v>3</x:v>
      </x:c>
      <x:c r="G66" s="27" t="n">
        <x:v>130000</x:v>
      </x:c>
      <x:c r="H66" s="27" t="n">
        <x:v>26</x:v>
      </x:c>
      <x:c r="I66" s="27" t="n">
        <x:v>930</x:v>
      </x:c>
      <x:c r="J66" s="27" t="n">
        <x:v>30</x:v>
      </x:c>
      <x:c r="K66" s="42" t="n">
        <x:v>11.2</x:v>
      </x:c>
      <x:c r="L66" s="27" t="n">
        <x:v>68</x:v>
      </x:c>
      <x:c r="M66" s="42" t="n">
        <x:v>2.6</x:v>
      </x:c>
      <x:c r="N66" s="27" t="n">
        <x:v>275</x:v>
      </x:c>
      <x:c r="O66" s="27" t="n">
        <x:v>28</x:v>
      </x:c>
      <x:c r="P66" s="27" t="n">
        <x:v>125</x:v>
      </x:c>
      <x:c r="Q66" s="27" t="n">
        <x:v>9</x:v>
      </x:c>
      <x:c r="R66" s="27" t="n">
        <x:v>2</x:v>
      </x:c>
      <x:c r="S66" s="27" t="n">
        <x:v>2</x:v>
      </x:c>
      <x:c r="T66" s="27" t="n">
        <x:v>3</x:v>
      </x:c>
      <x:c r="U66" s="52" t="n">
        <x:v>2</x:v>
      </x:c>
      <x:c r="V66" s="13" t="str">
        <x:v>横帆</x:v>
      </x:c>
      <x:c r="W66" s="42" t="n">
        <x:v>0</x:v>
      </x:c>
      <x:c r="X66" s="13" t="str">
        <x:v>结构：1；帆装：1；货舱：1；甲板：1；船艏：1；船艉：1；通用：2</x:v>
      </x:c>
      <x:c r="Y66" s="13" t="str">
        <x:v>维持基本航行与船务的普通水手编制；炮班与突击队需从 crew_max 以内另行分配，独特海员另计薪资并计入补给人数。</x:v>
      </x:c>
      <x:c r="Z66" s="13" t="str">
        <x:v>完整船体、空载、适宜 16 节风与理想帆位；货载与风况按总经济表再乘系数。</x:v>
      </x:c>
      <x:c r="AA66" s="13" t="str">
        <x:v>P104；P103</x:v>
      </x:c>
    </x:row>
    <x:row r="67" ht="42" customHeight="1">
      <x:c r="A67" s="15" t="str">
        <x:v>S062</x:v>
      </x:c>
      <x:c r="B67" s="15" t="str">
        <x:v>珊瑚王后·加勒比重护卫舰</x:v>
      </x:c>
      <x:c r="C67" s="15" t="str">
        <x:v>单炮甲板重护卫舰</x:v>
      </x:c>
      <x:c r="D67" s="15" t="str">
        <x:v>加勒比船厂交流</x:v>
      </x:c>
      <x:c r="E67" s="15" t="str">
        <x:v>哈瓦那；罗亚尔港</x:v>
      </x:c>
      <x:c r="F67" s="30" t="n">
        <x:v>4</x:v>
      </x:c>
      <x:c r="G67" s="30" t="n">
        <x:v>370000</x:v>
      </x:c>
      <x:c r="H67" s="30" t="n">
        <x:v>39</x:v>
      </x:c>
      <x:c r="I67" s="30" t="n">
        <x:v>1390</x:v>
      </x:c>
      <x:c r="J67" s="30" t="n">
        <x:v>41</x:v>
      </x:c>
      <x:c r="K67" s="44" t="n">
        <x:v>12</x:v>
      </x:c>
      <x:c r="L67" s="30" t="n">
        <x:v>67</x:v>
      </x:c>
      <x:c r="M67" s="44" t="n">
        <x:v>3.8</x:v>
      </x:c>
      <x:c r="N67" s="30" t="n">
        <x:v>260</x:v>
      </x:c>
      <x:c r="O67" s="30" t="n">
        <x:v>50</x:v>
      </x:c>
      <x:c r="P67" s="30" t="n">
        <x:v>205</x:v>
      </x:c>
      <x:c r="Q67" s="30" t="n">
        <x:v>18</x:v>
      </x:c>
      <x:c r="R67" s="30" t="n">
        <x:v>2</x:v>
      </x:c>
      <x:c r="S67" s="30" t="n">
        <x:v>2</x:v>
      </x:c>
      <x:c r="T67" s="30" t="n">
        <x:v>4</x:v>
      </x:c>
      <x:c r="U67" s="54" t="n">
        <x:v>2.8</x:v>
      </x:c>
      <x:c r="V67" s="15" t="str">
        <x:v>横帆</x:v>
      </x:c>
      <x:c r="W67" s="44" t="n">
        <x:v>0</x:v>
      </x:c>
      <x:c r="X67" s="15" t="str">
        <x:v>结构：1；帆装：1；货舱：1；甲板：1；船艏：1；船艉：1；通用：3</x:v>
      </x:c>
      <x:c r="Y67" s="15" t="str">
        <x:v>维持基本航行与船务的普通水手编制；炮班与突击队需从 crew_max 以内另行分配，独特海员另计薪资并计入补给人数。</x:v>
      </x:c>
      <x:c r="Z67" s="15" t="str">
        <x:v>完整船体、空载、适宜 16 节风与理想帆位；货载与风况按总经济表再乘系数。</x:v>
      </x:c>
      <x:c r="AA67" s="15" t="str">
        <x:v>P095；P099</x:v>
      </x:c>
    </x:row>
    <x:row r="68" ht="42" customHeight="1">
      <x:c r="A68" s="13" t="str">
        <x:v>S063</x:v>
      </x:c>
      <x:c r="B68" s="13" t="str">
        <x:v>绿心木·哈瓦那护航战舰</x:v>
      </x:c>
      <x:c r="C68" s="13" t="str">
        <x:v>热带硬木双层护航舰</x:v>
      </x:c>
      <x:c r="D68" s="13" t="str">
        <x:v>加勒比硬木船厂</x:v>
      </x:c>
      <x:c r="E68" s="13" t="str">
        <x:v>哈瓦那</x:v>
      </x:c>
      <x:c r="F68" s="27" t="n">
        <x:v>5</x:v>
      </x:c>
      <x:c r="G68" s="27" t="n">
        <x:v>810000</x:v>
      </x:c>
      <x:c r="H68" s="27" t="n">
        <x:v>61</x:v>
      </x:c>
      <x:c r="I68" s="27" t="n">
        <x:v>2360</x:v>
      </x:c>
      <x:c r="J68" s="27" t="n">
        <x:v>58</x:v>
      </x:c>
      <x:c r="K68" s="42" t="n">
        <x:v>9.8</x:v>
      </x:c>
      <x:c r="L68" s="27" t="n">
        <x:v>39</x:v>
      </x:c>
      <x:c r="M68" s="42" t="n">
        <x:v>5.4</x:v>
      </x:c>
      <x:c r="N68" s="27" t="n">
        <x:v>345</x:v>
      </x:c>
      <x:c r="O68" s="27" t="n">
        <x:v>122</x:v>
      </x:c>
      <x:c r="P68" s="27" t="n">
        <x:v>405</x:v>
      </x:c>
      <x:c r="Q68" s="27" t="n">
        <x:v>30</x:v>
      </x:c>
      <x:c r="R68" s="27" t="n">
        <x:v>2</x:v>
      </x:c>
      <x:c r="S68" s="27" t="n">
        <x:v>2</x:v>
      </x:c>
      <x:c r="T68" s="27" t="n">
        <x:v>4</x:v>
      </x:c>
      <x:c r="U68" s="52" t="n">
        <x:v>3.5</x:v>
      </x:c>
      <x:c r="V68" s="13" t="str">
        <x:v>横帆</x:v>
      </x:c>
      <x:c r="W68" s="42" t="n">
        <x:v>0</x:v>
      </x:c>
      <x:c r="X68" s="13" t="str">
        <x:v>结构：1；帆装：1；货舱：1；甲板：1；船艏：1；船艉：1；通用：3</x:v>
      </x:c>
      <x:c r="Y68" s="13" t="str">
        <x:v>维持基本航行与船务的普通水手编制；炮班与突击队需从 crew_max 以内另行分配，独特海员另计薪资并计入补给人数。</x:v>
      </x:c>
      <x:c r="Z68" s="13" t="str">
        <x:v>完整船体、空载、适宜 16 节风与理想帆位；货载与风况按总经济表再乘系数。</x:v>
      </x:c>
      <x:c r="AA68" s="13" t="str">
        <x:v>P095</x:v>
      </x:c>
    </x:row>
    <x:row r="69" ht="42" customHeight="1">
      <x:c r="A69" s="15" t="str">
        <x:v>S064</x:v>
      </x:c>
      <x:c r="B69" s="15" t="str">
        <x:v>海草冠·安第斯木筏帆舟</x:v>
      </x:c>
      <x:c r="C69" s="15" t="str">
        <x:v>Balsa 灵感筏船</x:v>
      </x:c>
      <x:c r="D69" s="15" t="str">
        <x:v>安第斯太平洋海岸</x:v>
      </x:c>
      <x:c r="E69" s="15" t="str">
        <x:v>卡亚俄</x:v>
      </x:c>
      <x:c r="F69" s="30" t="n">
        <x:v>0</x:v>
      </x:c>
      <x:c r="G69" s="30" t="n">
        <x:v>6200</x:v>
      </x:c>
      <x:c r="H69" s="30" t="n">
        <x:v>5</x:v>
      </x:c>
      <x:c r="I69" s="30" t="n">
        <x:v>205</x:v>
      </x:c>
      <x:c r="J69" s="30" t="n">
        <x:v>6</x:v>
      </x:c>
      <x:c r="K69" s="44" t="n">
        <x:v>6.8</x:v>
      </x:c>
      <x:c r="L69" s="30" t="n">
        <x:v>65</x:v>
      </x:c>
      <x:c r="M69" s="44" t="n">
        <x:v>0.7</x:v>
      </x:c>
      <x:c r="N69" s="30" t="n">
        <x:v>115</x:v>
      </x:c>
      <x:c r="O69" s="30" t="n">
        <x:v>6</x:v>
      </x:c>
      <x:c r="P69" s="30" t="n">
        <x:v>30</x:v>
      </x:c>
      <x:c r="Q69" s="30" t="n">
        <x:v>0</x:v>
      </x:c>
      <x:c r="R69" s="30" t="n">
        <x:v>1</x:v>
      </x:c>
      <x:c r="S69" s="30" t="n">
        <x:v>0</x:v>
      </x:c>
      <x:c r="T69" s="30" t="n">
        <x:v>2</x:v>
      </x:c>
      <x:c r="U69" s="54" t="n">
        <x:v>0.35</x:v>
      </x:c>
      <x:c r="V69" s="15" t="str">
        <x:v>横帆</x:v>
      </x:c>
      <x:c r="W69" s="44" t="n">
        <x:v>0</x:v>
      </x:c>
      <x:c r="X69" s="15" t="str">
        <x:v>结构：1；帆装：1；货舱：1；甲板：1；船艏：1；船艉：1；通用：1</x:v>
      </x:c>
      <x:c r="Y69" s="15" t="str">
        <x:v>维持基本航行与船务的普通水手编制；炮班与突击队需从 crew_max 以内另行分配，独特海员另计薪资并计入补给人数。</x:v>
      </x:c>
      <x:c r="Z69" s="15" t="str">
        <x:v>完整船体、空载、适宜 16 节风与理想帆位；货载与风况按总经济表再乘系数。</x:v>
      </x:c>
      <x:c r="AA69" s="15" t="str">
        <x:v>P112</x:v>
      </x:c>
    </x:row>
    <x:row r="70" ht="42" customHeight="1">
      <x:c r="A70" s="13" t="str">
        <x:v>S065</x:v>
      </x:c>
      <x:c r="B70" s="13" t="str">
        <x:v>翠河·亚马孙接驳艇</x:v>
      </x:c>
      <x:c r="C70" s="13" t="str">
        <x:v>加帆大型河舟</x:v>
      </x:c>
      <x:c r="D70" s="13" t="str">
        <x:v>亚马孙—巴西海岸</x:v>
      </x:c>
      <x:c r="E70" s="13" t="str">
        <x:v>贝伦</x:v>
      </x:c>
      <x:c r="F70" s="27" t="n">
        <x:v>1</x:v>
      </x:c>
      <x:c r="G70" s="27" t="n">
        <x:v>23000</x:v>
      </x:c>
      <x:c r="H70" s="27" t="n">
        <x:v>11</x:v>
      </x:c>
      <x:c r="I70" s="27" t="n">
        <x:v>340</x:v>
      </x:c>
      <x:c r="J70" s="27" t="n">
        <x:v>12</x:v>
      </x:c>
      <x:c r="K70" s="42" t="n">
        <x:v>8.7</x:v>
      </x:c>
      <x:c r="L70" s="27" t="n">
        <x:v>91</x:v>
      </x:c>
      <x:c r="M70" s="42" t="n">
        <x:v>0.8</x:v>
      </x:c>
      <x:c r="N70" s="27" t="n">
        <x:v>180</x:v>
      </x:c>
      <x:c r="O70" s="27" t="n">
        <x:v>10</x:v>
      </x:c>
      <x:c r="P70" s="27" t="n">
        <x:v>47</x:v>
      </x:c>
      <x:c r="Q70" s="27" t="n">
        <x:v>2</x:v>
      </x:c>
      <x:c r="R70" s="27" t="n">
        <x:v>1</x:v>
      </x:c>
      <x:c r="S70" s="27" t="n">
        <x:v>0</x:v>
      </x:c>
      <x:c r="T70" s="27" t="n">
        <x:v>2</x:v>
      </x:c>
      <x:c r="U70" s="52" t="n">
        <x:v>0.35</x:v>
      </x:c>
      <x:c r="V70" s="13" t="str">
        <x:v>纵帆</x:v>
      </x:c>
      <x:c r="W70" s="42" t="n">
        <x:v>4.1</x:v>
      </x:c>
      <x:c r="X70" s="13" t="str">
        <x:v>结构：1；帆装：1；货舱：1；甲板：1；船艏：1；船艉：1；通用：1</x:v>
      </x:c>
      <x:c r="Y70" s="13" t="str">
        <x:v>维持基本航行与船务的普通水手编制；炮班与突击队需从 crew_max 以内另行分配，独特海员另计薪资并计入补给人数。</x:v>
      </x:c>
      <x:c r="Z70" s="13" t="str">
        <x:v>完整船体、空载、适宜 16 节风与理想帆位；货载与风况按总经济表再乘系数。</x:v>
      </x:c>
      <x:c r="AA70" s="13" t="str">
        <x:v>P106</x:v>
      </x:c>
    </x:row>
    <x:row r="71" ht="42" customHeight="1">
      <x:c r="A71" s="15" t="str">
        <x:v>S066</x:v>
      </x:c>
      <x:c r="B71" s="15" t="str">
        <x:v>赤木星·南大西洋商舰</x:v>
      </x:c>
      <x:c r="C71" s="15" t="str">
        <x:v>热带硬木远贸船</x:v>
      </x:c>
      <x:c r="D71" s="15" t="str">
        <x:v>巴西—伊比利亚</x:v>
      </x:c>
      <x:c r="E71" s="15" t="str">
        <x:v>萨尔瓦多；里约热内卢</x:v>
      </x:c>
      <x:c r="F71" s="30" t="n">
        <x:v>3</x:v>
      </x:c>
      <x:c r="G71" s="30" t="n">
        <x:v>155000</x:v>
      </x:c>
      <x:c r="H71" s="30" t="n">
        <x:v>28</x:v>
      </x:c>
      <x:c r="I71" s="30" t="n">
        <x:v>1030</x:v>
      </x:c>
      <x:c r="J71" s="30" t="n">
        <x:v>32</x:v>
      </x:c>
      <x:c r="K71" s="44" t="n">
        <x:v>10.1</x:v>
      </x:c>
      <x:c r="L71" s="30" t="n">
        <x:v>57</x:v>
      </x:c>
      <x:c r="M71" s="44" t="n">
        <x:v>3</x:v>
      </x:c>
      <x:c r="N71" s="30" t="n">
        <x:v>420</x:v>
      </x:c>
      <x:c r="O71" s="30" t="n">
        <x:v>32</x:v>
      </x:c>
      <x:c r="P71" s="30" t="n">
        <x:v>140</x:v>
      </x:c>
      <x:c r="Q71" s="30" t="n">
        <x:v>8</x:v>
      </x:c>
      <x:c r="R71" s="30" t="n">
        <x:v>2</x:v>
      </x:c>
      <x:c r="S71" s="30" t="n">
        <x:v>2</x:v>
      </x:c>
      <x:c r="T71" s="30" t="n">
        <x:v>3</x:v>
      </x:c>
      <x:c r="U71" s="54" t="n">
        <x:v>2</x:v>
      </x:c>
      <x:c r="V71" s="15" t="str">
        <x:v>混帆</x:v>
      </x:c>
      <x:c r="W71" s="44" t="n">
        <x:v>0</x:v>
      </x:c>
      <x:c r="X71" s="15" t="str">
        <x:v>结构：1；帆装：1；货舱：1；甲板：1；船艏：1；船艉：1；通用：2</x:v>
      </x:c>
      <x:c r="Y71" s="15" t="str">
        <x:v>维持基本航行与船务的普通水手编制；炮班与突击队需从 crew_max 以内另行分配，独特海员另计薪资并计入补给人数。</x:v>
      </x:c>
      <x:c r="Z71" s="15" t="str">
        <x:v>完整船体、空载、适宜 16 节风与理想帆位；货载与风况按总经济表再乘系数。</x:v>
      </x:c>
      <x:c r="AA71" s="15" t="str">
        <x:v>P107；P108</x:v>
      </x:c>
    </x:row>
    <x:row r="72" ht="42" customHeight="1">
      <x:c r="A72" s="13" t="str">
        <x:v>S067</x:v>
      </x:c>
      <x:c r="B72" s="13" t="str">
        <x:v>合恩灰翼·南洋探险舰</x:v>
      </x:c>
      <x:c r="C72" s="13" t="str">
        <x:v>耐风浪探险运输舰</x:v>
      </x:c>
      <x:c r="D72" s="13" t="str">
        <x:v>南锥体跨国船匠</x:v>
      </x:c>
      <x:c r="E72" s="13" t="str">
        <x:v>瓦尔帕莱索；卡亚俄</x:v>
      </x:c>
      <x:c r="F72" s="27" t="n">
        <x:v>5</x:v>
      </x:c>
      <x:c r="G72" s="27" t="n">
        <x:v>490000</x:v>
      </x:c>
      <x:c r="H72" s="27" t="n">
        <x:v>47</x:v>
      </x:c>
      <x:c r="I72" s="27" t="n">
        <x:v>1660</x:v>
      </x:c>
      <x:c r="J72" s="27" t="n">
        <x:v>41</x:v>
      </x:c>
      <x:c r="K72" s="42" t="n">
        <x:v>10.5</x:v>
      </x:c>
      <x:c r="L72" s="27" t="n">
        <x:v>58</x:v>
      </x:c>
      <x:c r="M72" s="42" t="n">
        <x:v>3.9</x:v>
      </x:c>
      <x:c r="N72" s="27" t="n">
        <x:v>450</x:v>
      </x:c>
      <x:c r="O72" s="27" t="n">
        <x:v>51</x:v>
      </x:c>
      <x:c r="P72" s="27" t="n">
        <x:v>195</x:v>
      </x:c>
      <x:c r="Q72" s="27" t="n">
        <x:v>12</x:v>
      </x:c>
      <x:c r="R72" s="27" t="n">
        <x:v>2</x:v>
      </x:c>
      <x:c r="S72" s="27" t="n">
        <x:v>2</x:v>
      </x:c>
      <x:c r="T72" s="27" t="n">
        <x:v>4</x:v>
      </x:c>
      <x:c r="U72" s="52" t="n">
        <x:v>2.8</x:v>
      </x:c>
      <x:c r="V72" s="13" t="str">
        <x:v>混帆</x:v>
      </x:c>
      <x:c r="W72" s="42" t="n">
        <x:v>0</x:v>
      </x:c>
      <x:c r="X72" s="13" t="str">
        <x:v>结构：1；帆装：1；货舱：1；甲板：1；船艏：1；船艉：1；通用：3</x:v>
      </x:c>
      <x:c r="Y72" s="13" t="str">
        <x:v>维持基本航行与船务的普通水手编制；炮班与突击队需从 crew_max 以内另行分配，独特海员另计薪资并计入补给人数。</x:v>
      </x:c>
      <x:c r="Z72" s="13" t="str">
        <x:v>完整船体、空载、适宜 16 节风与理想帆位；货载与风况按总经济表再乘系数。</x:v>
      </x:c>
      <x:c r="AA72" s="13" t="str">
        <x:v>P111；P112</x:v>
      </x:c>
    </x:row>
    <x:row r="73" ht="42" customHeight="1">
      <x:c r="A73" s="15" t="str">
        <x:v>S068</x:v>
      </x:c>
      <x:c r="B73" s="15" t="str">
        <x:v>飞鱼弧·密克罗尼西亚支架帆舟</x:v>
      </x:c>
      <x:c r="C73" s="15" t="str">
        <x:v>Proa 单支架换端帆舟</x:v>
      </x:c>
      <x:c r="D73" s="15" t="str">
        <x:v>密克罗尼西亚</x:v>
      </x:c>
      <x:c r="E73" s="15" t="str">
        <x:v>哈加特纳</x:v>
      </x:c>
      <x:c r="F73" s="30" t="n">
        <x:v>0</x:v>
      </x:c>
      <x:c r="G73" s="30" t="n">
        <x:v>7400</x:v>
      </x:c>
      <x:c r="H73" s="30" t="n">
        <x:v>5</x:v>
      </x:c>
      <x:c r="I73" s="30" t="n">
        <x:v>175</x:v>
      </x:c>
      <x:c r="J73" s="30" t="n">
        <x:v>6</x:v>
      </x:c>
      <x:c r="K73" s="44" t="n">
        <x:v>13.2</x:v>
      </x:c>
      <x:c r="L73" s="30" t="n">
        <x:v>96</x:v>
      </x:c>
      <x:c r="M73" s="44" t="n">
        <x:v>0.6</x:v>
      </x:c>
      <x:c r="N73" s="30" t="n">
        <x:v>58</x:v>
      </x:c>
      <x:c r="O73" s="30" t="n">
        <x:v>5</x:v>
      </x:c>
      <x:c r="P73" s="30" t="n">
        <x:v>23</x:v>
      </x:c>
      <x:c r="Q73" s="30" t="n">
        <x:v>0</x:v>
      </x:c>
      <x:c r="R73" s="30" t="n">
        <x:v>1</x:v>
      </x:c>
      <x:c r="S73" s="30" t="n">
        <x:v>0</x:v>
      </x:c>
      <x:c r="T73" s="30" t="n">
        <x:v>2</x:v>
      </x:c>
      <x:c r="U73" s="54" t="n">
        <x:v>0.35</x:v>
      </x:c>
      <x:c r="V73" s="15" t="str">
        <x:v>蟹爪帆</x:v>
      </x:c>
      <x:c r="W73" s="44" t="n">
        <x:v>3.8</x:v>
      </x:c>
      <x:c r="X73" s="15" t="str">
        <x:v>结构：1；帆装：1；货舱：1；甲板：1；船艏：1；船艉：1；通用：1</x:v>
      </x:c>
      <x:c r="Y73" s="15" t="str">
        <x:v>维持基本航行与船务的普通水手编制；炮班与突击队需从 crew_max 以内另行分配，独特海员另计薪资并计入补给人数。</x:v>
      </x:c>
      <x:c r="Z73" s="15" t="str">
        <x:v>完整船体、空载、适宜 16 节风与理想帆位；货载与风况按总经济表再乘系数。</x:v>
      </x:c>
      <x:c r="AA73" s="15" t="str">
        <x:v>P119</x:v>
      </x:c>
    </x:row>
    <x:row r="74" ht="42" customHeight="1">
      <x:c r="A74" s="13" t="str">
        <x:v>S069</x:v>
      </x:c>
      <x:c r="B74" s="13" t="str">
        <x:v>双月·波利尼西亚航海双体舟</x:v>
      </x:c>
      <x:c r="C74" s="13" t="str">
        <x:v>远航双体舟</x:v>
      </x:c>
      <x:c r="D74" s="13" t="str">
        <x:v>波利尼西亚</x:v>
      </x:c>
      <x:c r="E74" s="13" t="str">
        <x:v>马塔瓦伊湾；科乌港</x:v>
      </x:c>
      <x:c r="F74" s="27" t="n">
        <x:v>1</x:v>
      </x:c>
      <x:c r="G74" s="27" t="n">
        <x:v>28500</x:v>
      </x:c>
      <x:c r="H74" s="27" t="n">
        <x:v>12</x:v>
      </x:c>
      <x:c r="I74" s="27" t="n">
        <x:v>385</x:v>
      </x:c>
      <x:c r="J74" s="27" t="n">
        <x:v>12</x:v>
      </x:c>
      <x:c r="K74" s="42" t="n">
        <x:v>10.5</x:v>
      </x:c>
      <x:c r="L74" s="27" t="n">
        <x:v>81</x:v>
      </x:c>
      <x:c r="M74" s="42" t="n">
        <x:v>1</x:v>
      </x:c>
      <x:c r="N74" s="27" t="n">
        <x:v>180</x:v>
      </x:c>
      <x:c r="O74" s="27" t="n">
        <x:v>12</x:v>
      </x:c>
      <x:c r="P74" s="27" t="n">
        <x:v>54</x:v>
      </x:c>
      <x:c r="Q74" s="27" t="n">
        <x:v>1</x:v>
      </x:c>
      <x:c r="R74" s="27" t="n">
        <x:v>1</x:v>
      </x:c>
      <x:c r="S74" s="27" t="n">
        <x:v>1</x:v>
      </x:c>
      <x:c r="T74" s="27" t="n">
        <x:v>2</x:v>
      </x:c>
      <x:c r="U74" s="52" t="n">
        <x:v>1.2</x:v>
      </x:c>
      <x:c r="V74" s="13" t="str">
        <x:v>蟹爪帆</x:v>
      </x:c>
      <x:c r="W74" s="42" t="n">
        <x:v>0</x:v>
      </x:c>
      <x:c r="X74" s="13" t="str">
        <x:v>结构：1；帆装：1；货舱：1；甲板：1；船艏：1；船艉：1；通用：1</x:v>
      </x:c>
      <x:c r="Y74" s="13" t="str">
        <x:v>维持基本航行与船务的普通水手编制；炮班与突击队需从 crew_max 以内另行分配，独特海员另计薪资并计入补给人数。</x:v>
      </x:c>
      <x:c r="Z74" s="13" t="str">
        <x:v>完整船体、空载、适宜 16 节风与理想帆位；货载与风况按总经济表再乘系数。</x:v>
      </x:c>
      <x:c r="AA74" s="13" t="str">
        <x:v>P117；P118</x:v>
      </x:c>
    </x:row>
    <x:row r="75" ht="42" customHeight="1">
      <x:c r="A75" s="15" t="str">
        <x:v>S070</x:v>
      </x:c>
      <x:c r="B75" s="15" t="str">
        <x:v>海枝·斐济德鲁阿</x:v>
      </x:c>
      <x:c r="C75" s="15" t="str">
        <x:v>Drua 灵感不对称双体舟</x:v>
      </x:c>
      <x:c r="D75" s="15" t="str">
        <x:v>斐济—汤加</x:v>
      </x:c>
      <x:c r="E75" s="15" t="str">
        <x:v>马塔瓦伊湾；科乌港</x:v>
      </x:c>
      <x:c r="F75" s="30" t="n">
        <x:v>2</x:v>
      </x:c>
      <x:c r="G75" s="30" t="n">
        <x:v>66000</x:v>
      </x:c>
      <x:c r="H75" s="30" t="n">
        <x:v>18</x:v>
      </x:c>
      <x:c r="I75" s="30" t="n">
        <x:v>690</x:v>
      </x:c>
      <x:c r="J75" s="30" t="n">
        <x:v>19</x:v>
      </x:c>
      <x:c r="K75" s="44" t="n">
        <x:v>12</x:v>
      </x:c>
      <x:c r="L75" s="30" t="n">
        <x:v>79</x:v>
      </x:c>
      <x:c r="M75" s="44" t="n">
        <x:v>1.3</x:v>
      </x:c>
      <x:c r="N75" s="30" t="n">
        <x:v>260</x:v>
      </x:c>
      <x:c r="O75" s="30" t="n">
        <x:v>23</x:v>
      </x:c>
      <x:c r="P75" s="30" t="n">
        <x:v>100</x:v>
      </x:c>
      <x:c r="Q75" s="30" t="n">
        <x:v>3</x:v>
      </x:c>
      <x:c r="R75" s="30" t="n">
        <x:v>2</x:v>
      </x:c>
      <x:c r="S75" s="30" t="n">
        <x:v>1</x:v>
      </x:c>
      <x:c r="T75" s="30" t="n">
        <x:v>3</x:v>
      </x:c>
      <x:c r="U75" s="54" t="n">
        <x:v>1.2</x:v>
      </x:c>
      <x:c r="V75" s="15" t="str">
        <x:v>蟹爪帆</x:v>
      </x:c>
      <x:c r="W75" s="44" t="n">
        <x:v>4.2</x:v>
      </x:c>
      <x:c r="X75" s="15" t="str">
        <x:v>结构：1；帆装：1；货舱：1；甲板：1；船艏：1；船艉：1；通用：2</x:v>
      </x:c>
      <x:c r="Y75" s="15" t="str">
        <x:v>维持基本航行与船务的普通水手编制；炮班与突击队需从 crew_max 以内另行分配，独特海员另计薪资并计入补给人数。</x:v>
      </x:c>
      <x:c r="Z75" s="15" t="str">
        <x:v>完整船体、空载、适宜 16 节风与理想帆位；货载与风况按总经济表再乘系数。</x:v>
      </x:c>
      <x:c r="AA75" s="15" t="str">
        <x:v>P117；P118</x:v>
      </x:c>
    </x:row>
    <x:row r="76" ht="42" customHeight="1">
      <x:c r="A76" s="13" t="str">
        <x:v>S071</x:v>
      </x:c>
      <x:c r="B76" s="13" t="str">
        <x:v>赤纹·长白云航海舟</x:v>
      </x:c>
      <x:c r="C76" s="13" t="str">
        <x:v>Waka Hourua 灵感远航双体舟</x:v>
      </x:c>
      <x:c r="D76" s="13" t="str">
        <x:v>毛利—长白云</x:v>
      </x:c>
      <x:c r="E76" s="13" t="str">
        <x:v>怀特马塔湾</x:v>
      </x:c>
      <x:c r="F76" s="27" t="n">
        <x:v>3</x:v>
      </x:c>
      <x:c r="G76" s="27" t="n">
        <x:v>118000</x:v>
      </x:c>
      <x:c r="H76" s="27" t="n">
        <x:v>24</x:v>
      </x:c>
      <x:c r="I76" s="27" t="n">
        <x:v>840</x:v>
      </x:c>
      <x:c r="J76" s="27" t="n">
        <x:v>24</x:v>
      </x:c>
      <x:c r="K76" s="42" t="n">
        <x:v>10.8</x:v>
      </x:c>
      <x:c r="L76" s="27" t="n">
        <x:v>74</x:v>
      </x:c>
      <x:c r="M76" s="42" t="n">
        <x:v>1.2</x:v>
      </x:c>
      <x:c r="N76" s="27" t="n">
        <x:v>315</x:v>
      </x:c>
      <x:c r="O76" s="27" t="n">
        <x:v>28</x:v>
      </x:c>
      <x:c r="P76" s="27" t="n">
        <x:v>120</x:v>
      </x:c>
      <x:c r="Q76" s="27" t="n">
        <x:v>4</x:v>
      </x:c>
      <x:c r="R76" s="27" t="n">
        <x:v>2</x:v>
      </x:c>
      <x:c r="S76" s="27" t="n">
        <x:v>1</x:v>
      </x:c>
      <x:c r="T76" s="27" t="n">
        <x:v>3</x:v>
      </x:c>
      <x:c r="U76" s="52" t="n">
        <x:v>2</x:v>
      </x:c>
      <x:c r="V76" s="13" t="str">
        <x:v>蟹爪帆</x:v>
      </x:c>
      <x:c r="W76" s="42" t="n">
        <x:v>4.5</x:v>
      </x:c>
      <x:c r="X76" s="13" t="str">
        <x:v>结构：1；帆装：1；货舱：1；甲板：1；船艏：1；船艉：1；通用：2</x:v>
      </x:c>
      <x:c r="Y76" s="13" t="str">
        <x:v>维持基本航行与船务的普通水手编制；炮班与突击队需从 crew_max 以内另行分配，独特海员另计薪资并计入补给人数。</x:v>
      </x:c>
      <x:c r="Z76" s="13" t="str">
        <x:v>完整船体、空载、适宜 16 节风与理想帆位；货载与风况按总经济表再乘系数。</x:v>
      </x:c>
      <x:c r="AA76" s="13" t="str">
        <x:v>P116</x:v>
      </x:c>
    </x:row>
    <x:row r="77" ht="42" customHeight="1">
      <x:c r="A77" s="16" t="str">
        <x:v>S072</x:v>
      </x:c>
      <x:c r="B77" s="16" t="str">
        <x:v>群星怀抱·太平洋联合航舟</x:v>
      </x:c>
      <x:c r="C77" s="16" t="str">
        <x:v>大型双体航海旗舰</x:v>
      </x:c>
      <x:c r="D77" s="16" t="str">
        <x:v>太平洋航海师联盟</x:v>
      </x:c>
      <x:c r="E77" s="16" t="str">
        <x:v>马塔瓦伊湾；科乌港</x:v>
      </x:c>
      <x:c r="F77" s="32" t="n">
        <x:v>5</x:v>
      </x:c>
      <x:c r="G77" s="32" t="n">
        <x:v>395000</x:v>
      </x:c>
      <x:c r="H77" s="32" t="n">
        <x:v>41</x:v>
      </x:c>
      <x:c r="I77" s="32" t="n">
        <x:v>1330</x:v>
      </x:c>
      <x:c r="J77" s="32" t="n">
        <x:v>31</x:v>
      </x:c>
      <x:c r="K77" s="46" t="n">
        <x:v>12.1</x:v>
      </x:c>
      <x:c r="L77" s="32" t="n">
        <x:v>67</x:v>
      </x:c>
      <x:c r="M77" s="46" t="n">
        <x:v>1.6</x:v>
      </x:c>
      <x:c r="N77" s="32" t="n">
        <x:v>490</x:v>
      </x:c>
      <x:c r="O77" s="32" t="n">
        <x:v>42</x:v>
      </x:c>
      <x:c r="P77" s="32" t="n">
        <x:v>165</x:v>
      </x:c>
      <x:c r="Q77" s="32" t="n">
        <x:v>6</x:v>
      </x:c>
      <x:c r="R77" s="32" t="n">
        <x:v>2</x:v>
      </x:c>
      <x:c r="S77" s="32" t="n">
        <x:v>2</x:v>
      </x:c>
      <x:c r="T77" s="32" t="n">
        <x:v>4</x:v>
      </x:c>
      <x:c r="U77" s="55" t="n">
        <x:v>2.8</x:v>
      </x:c>
      <x:c r="V77" s="16" t="str">
        <x:v>蟹爪帆</x:v>
      </x:c>
      <x:c r="W77" s="46" t="n">
        <x:v>3.8</x:v>
      </x:c>
      <x:c r="X77" s="16" t="str">
        <x:v>结构：1；帆装：1；货舱：1；甲板：1；船艏：1；船艉：1；通用：3</x:v>
      </x:c>
      <x:c r="Y77" s="16" t="str">
        <x:v>维持基本航行与船务的普通水手编制；炮班与突击队需从 crew_max 以内另行分配，独特海员另计薪资并计入补给人数。</x:v>
      </x:c>
      <x:c r="Z77" s="16" t="str">
        <x:v>完整船体、空载、适宜 16 节风与理想帆位；货载与风况按总经济表再乘系数。</x:v>
      </x:c>
      <x:c r="AA77" s="16" t="str">
        <x:v>P117；P118</x:v>
      </x:c>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c r="AA78" s="2"/>
    </x:row>
  </x:sheetData>
  <x:pageMargins left="0.7" right="0.7" top="0.75" bottom="0.75" header="0.3" footer="0.3"/>
  <x:tableParts count="1">
    <x:tablePart xmlns:r="http://schemas.openxmlformats.org/officeDocument/2006/relationships" r:id="Ra46ccd6cd6e44295"/>
  </x:tableParts>
</x:worksheet>
</file>

<file path=xl/worksheets/sheet16.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3" hidden="0" customWidth="1"/>
    <x:col min="2" max="2" width="37" hidden="0" customWidth="1"/>
    <x:col min="3" max="3" width="35" hidden="0" customWidth="1"/>
    <x:col min="4" max="4" width="28" hidden="0" customWidth="1"/>
    <x:col min="5" max="5" width="82" hidden="0" customWidth="1"/>
    <x:col min="6" max="6" width="75" hidden="0" customWidth="1"/>
    <x:col min="7" max="7" width="64" hidden="0" customWidth="1"/>
    <x:col min="8" max="8" width="80" hidden="0" customWidth="1"/>
    <x:col min="9" max="9" width="74" hidden="0" customWidth="1"/>
    <x:col min="10" max="10" width="79" hidden="0" customWidth="1"/>
    <x:col min="11" max="11" width="24" hidden="0" customWidth="1"/>
  </x:cols>
  <x:sheetData>
    <x:row r="1">
      <x:c r="A1" s="2"/>
      <x:c r="B1" s="2"/>
      <x:c r="C1" s="2"/>
      <x:c r="D1" s="2"/>
      <x:c r="E1" s="2"/>
      <x:c r="F1" s="2"/>
      <x:c r="G1" s="2"/>
      <x:c r="H1" s="2"/>
      <x:c r="I1" s="2"/>
      <x:c r="J1" s="2"/>
      <x:c r="K1" s="2"/>
    </x:row>
    <x:row r="2" ht="28" customHeight="1">
      <x:c r="A2" s="3" t="str">
        <x:v>每条船独有的操作与艺术轮廓</x:v>
      </x:c>
      <x:c r="B2" s="2"/>
      <x:c r="C2" s="2"/>
      <x:c r="D2" s="2"/>
      <x:c r="E2" s="2"/>
      <x:c r="F2" s="2"/>
      <x:c r="G2" s="2"/>
      <x:c r="H2" s="2"/>
      <x:c r="I2" s="2"/>
      <x:c r="J2" s="2"/>
      <x:c r="K2" s="2"/>
    </x:row>
    <x:row r="3">
      <x:c r="A3" s="2"/>
      <x:c r="B3" s="2"/>
      <x:c r="C3" s="2"/>
      <x:c r="D3" s="2"/>
      <x:c r="E3" s="2"/>
      <x:c r="F3" s="2"/>
      <x:c r="G3" s="2"/>
      <x:c r="H3" s="2"/>
      <x:c r="I3" s="2"/>
      <x:c r="J3" s="2"/>
      <x:c r="K3" s="2"/>
    </x:row>
    <x:row r="4">
      <x:c r="A4" s="2"/>
      <x:c r="B4" s="2"/>
      <x:c r="C4" s="2"/>
      <x:c r="D4" s="2"/>
      <x:c r="E4" s="2"/>
      <x:c r="F4" s="2"/>
      <x:c r="G4" s="2"/>
      <x:c r="H4" s="2"/>
      <x:c r="I4" s="2"/>
      <x:c r="J4" s="2"/>
      <x:c r="K4" s="2"/>
    </x:row>
    <x:row r="5" ht="34" customHeight="1">
      <x:c r="A5" s="10" t="str">
        <x:v>船型ID</x:v>
      </x:c>
      <x:c r="B5" s="10" t="str">
        <x:v>船型</x:v>
      </x:c>
      <x:c r="C5" s="10" t="str">
        <x:v>定位</x:v>
      </x:c>
      <x:c r="D5" s="10" t="str">
        <x:v>专属能力</x:v>
      </x:c>
      <x:c r="E5" s="10" t="str">
        <x:v>玩家操作</x:v>
      </x:c>
      <x:c r="F5" s="10" t="str">
        <x:v>具体能力参数</x:v>
      </x:c>
      <x:c r="G5" s="10" t="str">
        <x:v>操作代价与弱项</x:v>
      </x:c>
      <x:c r="H5" s="10" t="str">
        <x:v>船体剪影</x:v>
      </x:c>
      <x:c r="I5" s="10" t="str">
        <x:v>建造条件</x:v>
      </x:c>
      <x:c r="J5" s="10" t="str">
        <x:v>历史形制与架空融合</x:v>
      </x:c>
      <x:c r="K5" s="10" t="str">
        <x:v>资料编号</x:v>
      </x:c>
    </x:row>
    <x:row r="6" ht="31" customHeight="1">
      <x:c r="A6" s="12" t="str">
        <x:v>S001</x:v>
      </x:c>
      <x:c r="B6" s="12" t="str">
        <x:v>银鲱·北海渔商艇</x:v>
      </x:c>
      <x:c r="C6" s="12" t="str">
        <x:v>补给／短程贸易</x:v>
      </x:c>
      <x:c r="D6" s="12" t="str">
        <x:v>鱼群作伴</x:v>
      </x:c>
      <x:c r="E6" s="12" t="str">
        <x:v>航行中指定一片鱼群，靠近后用网具补入食材；不必返回港口。</x:v>
      </x:c>
      <x:c r="F6" s="12" t="str">
        <x:v>鲜食保障天数增减（游戏日）：3；每捕鱼日获得鲜食（人·游戏日）：30</x:v>
      </x:c>
      <x:c r="G6" s="12" t="str">
        <x:v>浪高超过 3 m 时速度 -25%；货舱小。</x:v>
      </x:c>
      <x:c r="H6" s="12" t="str">
        <x:v>奶白单帆、圆鼓深蓝船腹、船尾晾网和一盏银鱼灯。</x:v>
      </x:c>
      <x:c r="I6" s="12" t="str">
        <x:v>所列任一船厂港口武装等级 A0；获得当地船厂图纸</x:v>
      </x:c>
      <x:c r="J6" s="12" t="str">
        <x:v>基于北海小型渔贸帆船的原创入门船；非单一历史标准型。</x:v>
      </x:c>
      <x:c r="K6" s="12" t="str">
        <x:v>FC01</x:v>
      </x:c>
    </x:row>
    <x:row r="7" ht="31" customHeight="1">
      <x:c r="A7" s="15" t="str">
        <x:v>S002</x:v>
      </x:c>
      <x:c r="B7" s="15" t="str">
        <x:v>琥珀·波罗的海货船</x:v>
      </x:c>
      <x:c r="C7" s="15" t="str">
        <x:v>寒海贸易</x:v>
      </x:c>
      <x:c r="D7" s="15" t="str">
        <x:v>压浪货腹</x:v>
      </x:c>
      <x:c r="E7" s="15" t="str">
        <x:v>穿越冬季航线时可把甲板腾作封存区，固定珍贵货箱。</x:v>
      </x:c>
      <x:c r="F7" s="15" t="str">
        <x:v>风暴货损倍率：0.55；冬季补给消耗倍率：0.85</x:v>
      </x:c>
      <x:c r="G7" s="15" t="str">
        <x:v>迎风航速低；装满货物时转向 -12。</x:v>
      </x:c>
      <x:c r="H7" s="15" t="str">
        <x:v>蜂蜜色宽船腹、深红方帆、两座低小艉楼和黑铁冰纹船艏。</x:v>
      </x:c>
      <x:c r="I7" s="15" t="str">
        <x:v>所列任一船厂港口武装等级 A1；获得当地船厂图纸</x:v>
      </x:c>
      <x:c r="J7" s="15" t="str">
        <x:v>北欧圆底商船的区域设计，造型参考欧洲早期商船传统。</x:v>
      </x:c>
      <x:c r="K7" s="15" t="str">
        <x:v>FC01</x:v>
      </x:c>
    </x:row>
    <x:row r="8" ht="31" customHeight="1">
      <x:c r="A8" s="13" t="str">
        <x:v>S003</x:v>
      </x:c>
      <x:c r="B8" s="13" t="str">
        <x:v>细颈·霍恩笛型商船</x:v>
      </x:c>
      <x:c r="C8" s="13" t="str">
        <x:v>低人力大宗贸易</x:v>
      </x:c>
      <x:c r="D8" s="13" t="str">
        <x:v>货舱腹地</x:v>
      </x:c>
      <x:c r="E8" s="13" t="str">
        <x:v>入港交易时显示三组独立货单，可一次分拣给不同商会。</x:v>
      </x:c>
      <x:c r="F8" s="13" t="str">
        <x:v>载货量倍率：1.0；船员口粮消耗倍率：0.78；货物分类额外槽（个）：3</x:v>
      </x:c>
      <x:c r="G8" s="13" t="str">
        <x:v>甲板狭窄，白刃集结速度 -25%；无法安装重型艏械。</x:v>
      </x:c>
      <x:c r="H8" s="13" t="str">
        <x:v>梨形圆腹与收窄的上甲板；高而细的三桅、低饱和黄蓝饰边。</x:v>
      </x:c>
      <x:c r="I8" s="13" t="str">
        <x:v>所列任一船厂港口武装等级 A2；获得当地船厂图纸</x:v>
      </x:c>
      <x:c r="J8" s="13" t="str">
        <x:v>笛型船以荷兰 16 世纪末出现的货船为基础；数值与外观变体原创。</x:v>
      </x:c>
      <x:c r="K8" s="13" t="str">
        <x:v>FC02</x:v>
      </x:c>
    </x:row>
    <x:row r="9" ht="31" customHeight="1">
      <x:c r="A9" s="15" t="str">
        <x:v>S004</x:v>
      </x:c>
      <x:c r="B9" s="15" t="str">
        <x:v>群岛蜂·双桨炮艇</x:v>
      </x:c>
      <x:c r="C9" s="15" t="str">
        <x:v>浅水控制／艏炮</x:v>
      </x:c>
      <x:c r="D9" s="15" t="str">
        <x:v>岛间回身</x:v>
      </x:c>
      <x:c r="E9" s="15" t="str">
        <x:v>在狭窄岛口下令左右桨反划，原地改变船艏炮朝向。</x:v>
      </x:c>
      <x:c r="F9" s="15" t="str">
        <x:v>倒桨航速（节）：3.0；锚泊回转时间（秒）：7</x:v>
      </x:c>
      <x:c r="G9" s="15" t="str">
        <x:v>远洋续航差；桨手占据大量船员编制。</x:v>
      </x:c>
      <x:c r="H9" s="15" t="str">
        <x:v>扁长白木船体、双列暗红桨、艏部三门铜炮和低矮分段拉丁帆。</x:v>
      </x:c>
      <x:c r="I9" s="15" t="str">
        <x:v>所列任一船厂港口武装等级 A3；获得当地船厂图纸</x:v>
      </x:c>
      <x:c r="J9" s="15" t="str">
        <x:v>融合波罗的海后期桨帆舰的原创炮艇；不声称为 16 世纪通用制式。</x:v>
      </x:c>
      <x:c r="K9" s="15" t="str">
        <x:v>FC12</x:v>
      </x:c>
    </x:row>
    <x:row r="10" ht="31" customHeight="1">
      <x:c r="A10" s="13" t="str">
        <x:v>S005</x:v>
      </x:c>
      <x:c r="B10" s="13" t="str">
        <x:v>白隼·北海巡航舰</x:v>
      </x:c>
      <x:c r="C10" s="13" t="str">
        <x:v>追击／截帆</x:v>
      </x:c>
      <x:c r="D10" s="13" t="str">
        <x:v>风线上猎手</x:v>
      </x:c>
      <x:c r="E10" s="13" t="str">
        <x:v>标记一条敌船的桅杆，完成转向后短暂锁定敌方索具而非整船。</x:v>
      </x:c>
      <x:c r="F10" s="13" t="str">
        <x:v>追击范围（米）：1400；转向后重新瞄准时间（秒）：3；瞄准帆具加成（比例值）：0.15</x:v>
      </x:c>
      <x:c r="G10" s="13" t="str">
        <x:v>持续重炮对射吃亏；浅滩路线受限。</x:v>
      </x:c>
      <x:c r="H10" s="13" t="str">
        <x:v>极长白舷条贯穿黑色低艉楼，三桅如隼翼，舰艏银隼不张牙舞爪。</x:v>
      </x:c>
      <x:c r="I10" s="13" t="str">
        <x:v>所列任一船厂港口武装等级 A4；完成当地船匠委托“风线上猎手”</x:v>
      </x:c>
      <x:c r="J10" s="13" t="str">
        <x:v>采用 17—18 世纪护卫舰轮廓；混合年代中作为高阶区域舰。</x:v>
      </x:c>
      <x:c r="K10" s="13" t="str">
        <x:v>FC03</x:v>
      </x:c>
    </x:row>
    <x:row r="11" ht="31" customHeight="1">
      <x:c r="A11" s="15" t="str">
        <x:v>S006</x:v>
      </x:c>
      <x:c r="B11" s="15" t="str">
        <x:v>冬冠·波罗的海战列舰</x:v>
      </x:c>
      <x:c r="C11" s="15" t="str">
        <x:v>舰列核心</x:v>
      </x:c>
      <x:c r="D11" s="15" t="str">
        <x:v>铁雪舰列</x:v>
      </x:c>
      <x:c r="E11" s="15" t="str">
        <x:v>保持战列航向并升起冬冠旗，邻舰的装填节奏在 UI 上同步为齐射脉冲。</x:v>
      </x:c>
      <x:c r="F11" s="15" t="str">
        <x:v>阵型内侧舷炮装填时间倍率：0.9；友军士气支援半径（米）：350；友军士气损失倍率：0.8</x:v>
      </x:c>
      <x:c r="G11" s="15" t="str">
        <x:v>浅水不可用；迎风掉头耗时；日常薪资高。</x:v>
      </x:c>
      <x:c r="H11" s="15" t="str">
        <x:v>奶白双炮列、靛蓝雕花艉楼、冷金王冠与细长黑桅，体量像移动冰堡。</x:v>
      </x:c>
      <x:c r="I11" s="15" t="str">
        <x:v>所列任一船厂港口武装等级 A5；完成当地船匠委托“铁雪舰列”</x:v>
      </x:c>
      <x:c r="J11" s="15" t="str">
        <x:v>双炮甲板重舰参考 18 世纪舰列时代，不映射为 16 世纪量产舰。</x:v>
      </x:c>
      <x:c r="K11" s="15" t="str">
        <x:v>FC01；FC04</x:v>
      </x:c>
    </x:row>
    <x:row r="12" ht="31" customHeight="1">
      <x:c r="A12" s="13" t="str">
        <x:v>S007</x:v>
      </x:c>
      <x:c r="B12" s="13" t="str">
        <x:v>海燕·拉丁帆卡拉维尔</x:v>
      </x:c>
      <x:c r="C12" s="13" t="str">
        <x:v>探索／逆风航行</x:v>
      </x:c>
      <x:c r="D12" s="13" t="str">
        <x:v>逆风寻岸</x:v>
      </x:c>
      <x:c r="E12" s="13" t="str">
        <x:v>沿未知海岸以“贴岸测深”航行，保持速度时自动记录一段连续岸线。</x:v>
      </x:c>
      <x:c r="F12" s="13" t="str">
        <x:v>逆风禁航半角（度）：42；海岸揭示距离（千米）：18</x:v>
      </x:c>
      <x:c r="G12" s="13" t="str">
        <x:v>单次载货不多；后方没有炮位。</x:v>
      </x:c>
      <x:c r="H12" s="13" t="str">
        <x:v>两张大奶油色拉丁帆、翘艏、低舷和点睛的朱红船艉。</x:v>
      </x:c>
      <x:c r="I12" s="13" t="str">
        <x:v>所列任一船厂港口武装等级 A0；获得当地船厂图纸</x:v>
      </x:c>
      <x:c r="J12" s="13" t="str">
        <x:v>取卡拉维尔形制为原型；数据为游戏原创。</x:v>
      </x:c>
      <x:c r="K12" s="13" t="str">
        <x:v>FC01</x:v>
      </x:c>
    </x:row>
    <x:row r="13" ht="42" customHeight="1">
      <x:c r="A13" s="15" t="str">
        <x:v>S008</x:v>
      </x:c>
      <x:c r="B13" s="15" t="str">
        <x:v>落日·混帆远航船</x:v>
      </x:c>
      <x:c r="C13" s="15" t="str">
        <x:v>全风向探索</x:v>
      </x:c>
      <x:c r="D13" s="15" t="str">
        <x:v>换帆跨洋</x:v>
      </x:c>
      <x:c r="E13" s="15" t="str">
        <x:v>远航和海战均可在横帆优先与拉丁帆优先间切换，风图马上刷新。</x:v>
      </x:c>
      <x:c r="F13" s="15" t="str">
        <x:v>帆装切换时间（秒）：12；顺风航速加成（比例值）：0.12；换帆后逆风航速加成（比例值）：0.1</x:v>
      </x:c>
      <x:c r="G13" s="15" t="str">
        <x:v>切换 12 s 内不能紧急转向；中等火力。</x:v>
      </x:c>
      <x:c r="H13" s="15" t="str">
        <x:v>一前横帆配两后拉丁帆，赭红船壳，艉灯像橘色落日。</x:v>
      </x:c>
      <x:c r="I13" s="15" t="str">
        <x:v>所列任一船厂港口武装等级 A1；获得当地船厂图纸</x:v>
      </x:c>
      <x:c r="J13" s="15" t="str">
        <x:v>混合帆装取材于伊比利亚航海传统；两种模式为游戏抽象。</x:v>
      </x:c>
      <x:c r="K13" s="15" t="str">
        <x:v>FC01</x:v>
      </x:c>
    </x:row>
    <x:row r="14" ht="31" customHeight="1">
      <x:c r="A14" s="13" t="str">
        <x:v>S009</x:v>
      </x:c>
      <x:c r="B14" s="13" t="str">
        <x:v>白鲸·深舱卡拉克</x:v>
      </x:c>
      <x:c r="C14" s="13" t="str">
        <x:v>跨洋补给／远途货运</x:v>
      </x:c>
      <x:c r="D14" s="13" t="str">
        <x:v>海上仓库</x:v>
      </x:c>
      <x:c r="E14" s="13" t="str">
        <x:v>将两组货舱设为远航储备，自动按航线天数分配粮水并显示可抵达海域。</x:v>
      </x:c>
      <x:c r="F14" s="13" t="str">
        <x:v>补给储存容量倍率：1.4；长航程货损倍率：0.8</x:v>
      </x:c>
      <x:c r="G14" s="13" t="str">
        <x:v>高艏楼受侧风影响大；转弯半径大。</x:v>
      </x:c>
      <x:c r="H14" s="13" t="str">
        <x:v>高耸前后楼如两端白色城镇，中段深凹甲板，深红十字纹改为原创罗盘纹。</x:v>
      </x:c>
      <x:c r="I14" s="13" t="str">
        <x:v>所列任一船厂港口武装等级 A2；获得当地船厂图纸</x:v>
      </x:c>
      <x:c r="J14" s="13" t="str">
        <x:v>卡拉克与后期盖伦分开，不把两者当作同一船型升级皮肤。</x:v>
      </x:c>
      <x:c r="K14" s="13" t="str">
        <x:v>FC01</x:v>
      </x:c>
    </x:row>
    <x:row r="15" ht="31" customHeight="1">
      <x:c r="A15" s="15" t="str">
        <x:v>S010</x:v>
      </x:c>
      <x:c r="B15" s="15" t="str">
        <x:v>星铸·远洋盖伦</x:v>
      </x:c>
      <x:c r="C15" s="15" t="str">
        <x:v>武装商队旗舰</x:v>
      </x:c>
      <x:c r="D15" s="15" t="str">
        <x:v>护货航墙</x:v>
      </x:c>
      <x:c r="E15" s="15" t="str">
        <x:v>让商船在本舰背风侧 120 m 内跟随，舰体遮挡与拦截射界会直接显示。</x:v>
      </x:c>
      <x:c r="F15" s="15" t="str">
        <x:v>护航掩护角度（度）：45；受保护友军承受炮击倍率：0.8</x:v>
      </x:c>
      <x:c r="G15" s="15" t="str">
        <x:v>急追轻快船困难；大型船帆修复耗材多。</x:v>
      </x:c>
      <x:c r="H15" s="15" t="str">
        <x:v>修长艏嘴、三层琥珀色艉楼，深蓝舷侧与金色星轨铭线。</x:v>
      </x:c>
      <x:c r="I15" s="15" t="str">
        <x:v>所列任一船厂港口武装等级 A3；获得当地船厂图纸</x:v>
      </x:c>
      <x:c r="J15" s="15" t="str">
        <x:v>盖伦形制参考 16 世纪发展传统；护货技能原创。</x:v>
      </x:c>
      <x:c r="K15" s="15" t="str">
        <x:v>FC05</x:v>
      </x:c>
    </x:row>
    <x:row r="16" ht="31" customHeight="1">
      <x:c r="A16" s="13" t="str">
        <x:v>S011</x:v>
      </x:c>
      <x:c r="B16" s="13" t="str">
        <x:v>赤鸢·低艉袭击舰</x:v>
      </x:c>
      <x:c r="C16" s="13" t="str">
        <x:v>机动炮战／纵射</x:v>
      </x:c>
      <x:c r="D16" s="13" t="str">
        <x:v>穿艉十字</x:v>
      </x:c>
      <x:c r="E16" s="13" t="str">
        <x:v>画出穿过敌舰艉后的弧线；抵达艉轴后给出 5 s 的贯穿齐射提示。</x:v>
      </x:c>
      <x:c r="F16" s="13" t="str">
        <x:v>船艉受到纵射伤害倍率：1.25；纵射机会窗口（秒）：5</x:v>
      </x:c>
      <x:c r="G16" s="13" t="str">
        <x:v>舷侧被重炮正中时损伤较大；不适合长期护住慢船。</x:v>
      </x:c>
      <x:c r="H16" s="13" t="str">
        <x:v>压低艉楼、后掠长艏和赤褐船壳，黑色主帆边缘细绣风筝鸟羽。</x:v>
      </x:c>
      <x:c r="I16" s="13" t="str">
        <x:v>所列任一船厂港口武装等级 A4；完成当地船匠委托“穿艉十字”</x:v>
      </x:c>
      <x:c r="J16" s="13" t="str">
        <x:v>以低艉盖伦的机动取向创作；技能不代表历史装备。</x:v>
      </x:c>
      <x:c r="K16" s="13" t="str">
        <x:v>FC01；FC05</x:v>
      </x:c>
    </x:row>
    <x:row r="17" ht="31" customHeight="1">
      <x:c r="A17" s="15" t="str">
        <x:v>S012</x:v>
      </x:c>
      <x:c r="B17" s="15" t="str">
        <x:v>圣潮·双层重炮舰</x:v>
      </x:c>
      <x:c r="C17" s="15" t="str">
        <x:v>突破舰列</x:v>
      </x:c>
      <x:c r="D17" s="15" t="str">
        <x:v>切开航线</x:v>
      </x:c>
      <x:c r="E17" s="15" t="str">
        <x:v>让舰艏进入两艘敌舰之间，再分别标记左右舷目标，完成一次穿阵双舷开火。</x:v>
      </x:c>
      <x:c r="F17" s="15" t="str">
        <x:v>船艏破口抗性倍率：1.35；穿越敌方战列士气伤害（点）：18</x:v>
      </x:c>
      <x:c r="G17" s="15" t="str">
        <x:v>被包围后掉头缓慢；需要完整炮手队才能连续双舷射击。</x:v>
      </x:c>
      <x:c r="H17" s="15" t="str">
        <x:v>两道珍珠白炮列横贯深蓝船腹，艏饰为举灯女神，艉部巨大潮汐玫瑰窗。</x:v>
      </x:c>
      <x:c r="I17" s="15" t="str">
        <x:v>所列任一船厂港口武装等级 A5；完成当地船匠委托“切开航线”</x:v>
      </x:c>
      <x:c r="J17" s="15" t="str">
        <x:v>参考 18 世纪双层战列舰；与 1500 年代题材共同出现是明确的浪漫架空。</x:v>
      </x:c>
      <x:c r="K17" s="15" t="str">
        <x:v>FC01；FC04</x:v>
      </x:c>
    </x:row>
    <x:row r="18" ht="31" customHeight="1">
      <x:c r="A18" s="13" t="str">
        <x:v>S013</x:v>
      </x:c>
      <x:c r="B18" s="13" t="str">
        <x:v>蓝陶·三角帆塔尔坦</x:v>
      </x:c>
      <x:c r="C18" s="13" t="str">
        <x:v>沿岸贸易／侦察</x:v>
      </x:c>
      <x:c r="D18" s="13" t="str">
        <x:v>岸影滑行</x:v>
      </x:c>
      <x:c r="E18" s="13" t="str">
        <x:v>沿岸线拖曳一条路线，在岸风带中可抄过大船绕行的近岸水道。</x:v>
      </x:c>
      <x:c r="F18" s="13" t="str">
        <x:v>沿岸航速加成（比例值）：0.12；进港时间倍率：0.75</x:v>
      </x:c>
      <x:c r="G18" s="13" t="str">
        <x:v>横浪中炮击散布 +20%；船员容量有限。</x:v>
      </x:c>
      <x:c r="H18" s="13" t="str">
        <x:v>一片蓝白陶片纹拉丁大帆，翘艏、平低甲板、船尾陶壶架。</x:v>
      </x:c>
      <x:c r="I18" s="13" t="str">
        <x:v>所列任一船厂港口武装等级 A0；获得当地船厂图纸</x:v>
      </x:c>
      <x:c r="J18" s="13" t="str">
        <x:v>原创沿岸商船，以地中海拉丁帆传统为造型依据。</x:v>
      </x:c>
      <x:c r="K18" s="13" t="str">
        <x:v>FC01</x:v>
      </x:c>
    </x:row>
    <x:row r="19" ht="31" customHeight="1">
      <x:c r="A19" s="15" t="str">
        <x:v>S014</x:v>
      </x:c>
      <x:c r="B19" s="15" t="str">
        <x:v>铜雀·轻桨帆战艇</x:v>
      </x:c>
      <x:c r="C19" s="15" t="str">
        <x:v>登舷／拦截</x:v>
      </x:c>
      <x:c r="D19" s="15" t="str">
        <x:v>贴舷急袭</x:v>
      </x:c>
      <x:c r="E19" s="15" t="str">
        <x:v>按住冲桨接近，松开后转为横靠并投出登舷钩。</x:v>
      </x:c>
      <x:c r="F19" s="15" t="str">
        <x:v>划桨冲刺航速（节）：7.0；划桨冲刺持续时间（秒）：12；抓钩作用距离（米）：35</x:v>
      </x:c>
      <x:c r="G19" s="15" t="str">
        <x:v>桨手疲劳恢复期间追击弱；远海储粮少。</x:v>
      </x:c>
      <x:c r="H19" s="15" t="str">
        <x:v>细长青铜色艏、双列琥珀桨，单拉丁帆像折起的鸟翼。</x:v>
      </x:c>
      <x:c r="I19" s="15" t="str">
        <x:v>所列任一船厂港口武装等级 A1；获得当地船厂图纸</x:v>
      </x:c>
      <x:c r="J19" s="15" t="str">
        <x:v>轻桨帆传统的游戏化区域变体。</x:v>
      </x:c>
      <x:c r="K19" s="15" t="str">
        <x:v>FC06</x:v>
      </x:c>
    </x:row>
    <x:row r="20" ht="31" customHeight="1">
      <x:c r="A20" s="13" t="str">
        <x:v>S015</x:v>
      </x:c>
      <x:c r="B20" s="13" t="str">
        <x:v>月弯·地中海舍贝克</x:v>
      </x:c>
      <x:c r="C20" s="13" t="str">
        <x:v>绕射／私掠</x:v>
      </x:c>
      <x:c r="D20" s="13" t="str">
        <x:v>月弯绕背</x:v>
      </x:c>
      <x:c r="E20" s="13" t="str">
        <x:v>连续画两个迎风折返点，把宽大的敌舰逼在同一舷而自身绕到其背风面。</x:v>
      </x:c>
      <x:c r="F20" s="13" t="str">
        <x:v>逆风禁航半角（度）：40；抢风换舷后航速保留比例：0.75</x:v>
      </x:c>
      <x:c r="G20" s="13" t="str">
        <x:v>船体较薄；重炮安装使帆缆长技能冷却增加。</x:v>
      </x:c>
      <x:c r="H20" s="13" t="str">
        <x:v>三根前倾细桅和层叠月牙拉丁帆，黑绿窄船腹，船艉拖出长银纹。</x:v>
      </x:c>
      <x:c r="I20" s="13" t="str">
        <x:v>所列任一船厂港口武装等级 A2；获得当地船厂图纸</x:v>
      </x:c>
      <x:c r="J20" s="13" t="str">
        <x:v>形制主要借鉴较晚的舍贝克传统；置入融合年代。</x:v>
      </x:c>
      <x:c r="K20" s="13" t="str">
        <x:v>FC01</x:v>
      </x:c>
    </x:row>
    <x:row r="21" ht="31" customHeight="1">
      <x:c r="A21" s="15" t="str">
        <x:v>S016</x:v>
      </x:c>
      <x:c r="B21" s="15" t="str">
        <x:v>绯狮·大桨帆战舰</x:v>
      </x:c>
      <x:c r="C21" s="15" t="str">
        <x:v>艏炮压制／登舷</x:v>
      </x:c>
      <x:c r="D21" s="15" t="str">
        <x:v>正面火门</x:v>
      </x:c>
      <x:c r="E21" s="15" t="str">
        <x:v>定住艏向，桨手自动校正漂移，船艏重炮连续覆盖一段港口入口。</x:v>
      </x:c>
      <x:c r="F21" s="15" t="str">
        <x:v>艏炮装填时间倍率：0.8；划桨保持航向时间（秒）：18</x:v>
      </x:c>
      <x:c r="G21" s="15" t="str">
        <x:v>侧舷炮少；桨区受击会使无风战斗明显恶化。</x:v>
      </x:c>
      <x:c r="H21" s="15" t="str">
        <x:v>极细长船腹、朱红高拱艉棚、两片巨大三角帆和密密金桨。</x:v>
      </x:c>
      <x:c r="I21" s="15" t="str">
        <x:v>所列任一船厂港口武装等级 A3；获得当地船厂图纸</x:v>
      </x:c>
      <x:c r="J21" s="15" t="str">
        <x:v>大桨帆船形态参考 16 世纪地中海，人数及尺寸为游戏缩放。</x:v>
      </x:c>
      <x:c r="K21" s="15" t="str">
        <x:v>FC06</x:v>
      </x:c>
    </x:row>
    <x:row r="22" ht="42" customHeight="1">
      <x:c r="A22" s="13" t="str">
        <x:v>S017</x:v>
      </x:c>
      <x:c r="B22" s="13" t="str">
        <x:v>琉璃堡·加莱赛重桨舰</x:v>
      </x:c>
      <x:c r="C22" s="13" t="str">
        <x:v>港口控制／多向火力</x:v>
      </x:c>
      <x:c r="D22" s="13" t="str">
        <x:v>六向拒止</x:v>
      </x:c>
      <x:c r="E22" s="13" t="str">
        <x:v>落锚形成港湾支点，同时给艏、左、右三组武器指定目标。</x:v>
      </x:c>
      <x:c r="F22" s="13" t="str">
        <x:v>侧舷射界扩展（度）：10；锚泊炮击命中率增减（比例值）：0.15；反登船士气伤害（点）：10</x:v>
      </x:c>
      <x:c r="G22" s="13" t="str">
        <x:v>航速慢；长距离调位需要提前规划。</x:v>
      </x:c>
      <x:c r="H22" s="13" t="str">
        <x:v>宽阔低重心船腹、四角小炮楼、宝石绿船帆与镀铜通道。</x:v>
      </x:c>
      <x:c r="I22" s="13" t="str">
        <x:v>所列任一船厂港口武装等级 A4；完成当地船匠委托“六向拒止”</x:v>
      </x:c>
      <x:c r="J22" s="13" t="str">
        <x:v>以重型桨帆炮战舰为灵感的原创船，不复刻具体历史战舰。</x:v>
      </x:c>
      <x:c r="K22" s="13" t="str">
        <x:v>FC06</x:v>
      </x:c>
    </x:row>
    <x:row r="23" ht="42" customHeight="1">
      <x:c r="A23" s="15" t="str">
        <x:v>S018</x:v>
      </x:c>
      <x:c r="B23" s="15" t="str">
        <x:v>黑海鸢尾·军需圆船</x:v>
      </x:c>
      <x:c r="C23" s="15" t="str">
        <x:v>舰队补给／战场维修</x:v>
      </x:c>
      <x:c r="D23" s="15" t="str">
        <x:v>浮动兵站</x:v>
      </x:c>
      <x:c r="E23" s="15" t="str">
        <x:v>选一艘友船并在 150 m 内平行航行，抛送弹药与修帆材料；不是远程治疗光线。</x:v>
      </x:c>
      <x:c r="F23" s="15" t="str">
        <x:v>友船弹药转运时间（秒）：12；友船补给转运量（舱容单位）：20；修理材料效率增减（比例值）：0.25</x:v>
      </x:c>
      <x:c r="G23" s="15" t="str">
        <x:v>护航火力占用了大部分甲板；转向动作长。</x:v>
      </x:c>
      <x:c r="H23" s="15" t="str">
        <x:v>墨蓝圆腹、三片乳白帆，甲板吊臂吊着铜箱，艉楼以鸢尾琉璃窗点亮。</x:v>
      </x:c>
      <x:c r="I23" s="15" t="str">
        <x:v>所列任一船厂港口武装等级 A5；完成当地船匠委托“浮动兵站”</x:v>
      </x:c>
      <x:c r="J23" s="15" t="str">
        <x:v>在地中海圆船和后期武装运输船基础上设计的原创军需舰。</x:v>
      </x:c>
      <x:c r="K23" s="15" t="str">
        <x:v>FC01</x:v>
      </x:c>
    </x:row>
    <x:row r="24" ht="31" customHeight="1">
      <x:c r="A24" s="13" t="str">
        <x:v>S019</x:v>
      </x:c>
      <x:c r="B24" s="13" t="str">
        <x:v>浪鼓·几内亚海岸舟</x:v>
      </x:c>
      <x:c r="C24" s="13" t="str">
        <x:v>登陆／近岸勘探</x:v>
      </x:c>
      <x:c r="D24" s="13" t="str">
        <x:v>穿过白浪</x:v>
      </x:c>
      <x:c r="E24" s="13" t="str">
        <x:v>标记岸边浪隙，以一段划桨冲刺直接登陆没有码头的沙滩。</x:v>
      </x:c>
      <x:c r="F24" s="13" t="str">
        <x:v>穿越碎浪区航速倍率：1.3；沙滩登陆时间（秒）：5</x:v>
      </x:c>
      <x:c r="G24" s="13" t="str">
        <x:v>装不了舷炮；远海横浪会强迫减帆。</x:v>
      </x:c>
      <x:c r="H24" s="13" t="str">
        <x:v>狭长彩绘木舟、白色小帆、船头鼓架和折线几何涂装。</x:v>
      </x:c>
      <x:c r="I24" s="13" t="str">
        <x:v>所列任一船厂港口武装等级 A0；获得当地船厂图纸</x:v>
      </x:c>
      <x:c r="J24" s="13" t="str">
        <x:v>沿岸独木舟航海传统的原创加帆版本；未当作标准 16 世纪军舰。</x:v>
      </x:c>
      <x:c r="K24" s="13" t="str">
        <x:v>FC00</x:v>
      </x:c>
    </x:row>
    <x:row r="25" ht="31" customHeight="1">
      <x:c r="A25" s="15" t="str">
        <x:v>S020</x:v>
      </x:c>
      <x:c r="B25" s="15" t="str">
        <x:v>河金·红树林接驳船</x:v>
      </x:c>
      <x:c r="C25" s="15" t="str">
        <x:v>内陆接驳贸易</x:v>
      </x:c>
      <x:c r="D25" s="15" t="str">
        <x:v>潮窗接驳</x:v>
      </x:c>
      <x:c r="E25" s="15" t="str">
        <x:v>在涨潮预览里选定支流锚点，与内陆市场一次交换两种货品。</x:v>
      </x:c>
      <x:c r="F25" s="15" t="str">
        <x:v>是否开放河道货物装卸：1；河道最低通航水深（米）：1.1；河流航行惩罚倍率：0.65</x:v>
      </x:c>
      <x:c r="G25" s="15" t="str">
        <x:v>近海炮战弱；风浪会影响甲板货物。</x:v>
      </x:c>
      <x:c r="H25" s="15" t="str">
        <x:v>低矮土金船舱、窄桨孔、芦绿色帆和可折叠遮阳棚。</x:v>
      </x:c>
      <x:c r="I25" s="15" t="str">
        <x:v>所列任一船厂港口武装等级 A1；获得当地船厂图纸</x:v>
      </x:c>
      <x:c r="J25" s="15" t="str">
        <x:v>真实河口地理上的原创船厂技术融合。</x:v>
      </x:c>
      <x:c r="K25" s="15" t="str">
        <x:v>FC00</x:v>
      </x:c>
    </x:row>
    <x:row r="26" ht="31" customHeight="1">
      <x:c r="A26" s="13" t="str">
        <x:v>S021</x:v>
      </x:c>
      <x:c r="B26" s="13" t="str">
        <x:v>火山铃·岛链轻快商船</x:v>
      </x:c>
      <x:c r="C26" s="13" t="str">
        <x:v>岛链贸易／快运</x:v>
      </x:c>
      <x:c r="D26" s="13" t="str">
        <x:v>岛链跳跃</x:v>
      </x:c>
      <x:c r="E26" s="13" t="str">
        <x:v>把三个岛港串成短补给链，船长页显示下一次补水点与可多装货物。</x:v>
      </x:c>
      <x:c r="F26" s="13" t="str">
        <x:v>淡水补给时间（秒）：4；岛间航线航速加成（比例值）：0.1</x:v>
      </x:c>
      <x:c r="G26" s="13" t="str">
        <x:v>长航补给仓有限；连续风暴削弱帆装。</x:v>
      </x:c>
      <x:c r="H26" s="13" t="str">
        <x:v>火山黑船壳、柠檬黄色舷线、两根不等高桅和铜铃艏饰。</x:v>
      </x:c>
      <x:c r="I26" s="13" t="str">
        <x:v>所列任一船厂港口武装等级 A2；获得当地船厂图纸</x:v>
      </x:c>
      <x:c r="J26" s="13" t="str">
        <x:v>融合 17—18 世纪双桅轻船的原创岛链商船。</x:v>
      </x:c>
      <x:c r="K26" s="13" t="str">
        <x:v>FC01</x:v>
      </x:c>
    </x:row>
    <x:row r="27" ht="31" customHeight="1">
      <x:c r="A27" s="15" t="str">
        <x:v>S022</x:v>
      </x:c>
      <x:c r="B27" s="15" t="str">
        <x:v>长昼·西非护航舰</x:v>
      </x:c>
      <x:c r="C27" s="15" t="str">
        <x:v>热带护航</x:v>
      </x:c>
      <x:c r="D27" s="15" t="str">
        <x:v>热雨甲板</x:v>
      </x:c>
      <x:c r="E27" s="15" t="str">
        <x:v>在季雨中关闭炮廊雨篷再开火，轮廓上的分段防雨板随命令折叠。</x:v>
      </x:c>
      <x:c r="F27" s="15" t="str">
        <x:v>热带降雨装填惩罚倍率：0.4；船员炎热疲劳倍率：0.6</x:v>
      </x:c>
      <x:c r="G27" s="15" t="str">
        <x:v>篷架提高远距可见度；转向受逆风影响。</x:v>
      </x:c>
      <x:c r="H27" s="15" t="str">
        <x:v>赤土色高船腹、象牙色通风百叶炮廊、巨大织物遮阳檐。</x:v>
      </x:c>
      <x:c r="I27" s="15" t="str">
        <x:v>所列任一船厂港口武装等级 A4；完成当地船匠委托“热雨甲板”</x:v>
      </x:c>
      <x:c r="J27" s="15" t="str">
        <x:v>原创跨文化护航舰；技术交流以任务解锁，不暗示现实通行制式。</x:v>
      </x:c>
      <x:c r="K27" s="15" t="str">
        <x:v>FC05</x:v>
      </x:c>
    </x:row>
    <x:row r="28" ht="31" customHeight="1">
      <x:c r="A28" s="13" t="str">
        <x:v>S023</x:v>
      </x:c>
      <x:c r="B28" s="13" t="str">
        <x:v>金岸群灯·浮动市集船</x:v>
      </x:c>
      <x:c r="C28" s="13" t="str">
        <x:v>区域商贸中心／流动仓储</x:v>
      </x:c>
      <x:c r="D28" s="13" t="str">
        <x:v>海上市集</x:v>
      </x:c>
      <x:c r="E28" s="13" t="str">
        <x:v>在已结盟小锚地展开舷边摊架，召来四艘本地接驳船并现场议价。</x:v>
      </x:c>
      <x:c r="F28" s="13" t="str">
        <x:v>海上交易槽（个）：4；本地联络点补货周期（游戏日）：5；货物转运时间（秒）：8</x:v>
      </x:c>
      <x:c r="G28" s="13" t="str">
        <x:v>无法边战斗边展开市集；需要护航对付重舰。</x:v>
      </x:c>
      <x:c r="H28" s="13" t="str">
        <x:v>宽腹木船像沿海集市，赭、蓝、白布篷分区排列，夜里一圈暖金灯。</x:v>
      </x:c>
      <x:c r="I28" s="13" t="str">
        <x:v>所列任一船厂港口武装等级 A5；完成当地船匠委托“海上市集”</x:v>
      </x:c>
      <x:c r="J28" s="13" t="str">
        <x:v>基于地区海贸与港口生活创作的架空母船，非历史实舰。</x:v>
      </x:c>
      <x:c r="K28" s="13" t="str">
        <x:v>FC00</x:v>
      </x:c>
    </x:row>
    <x:row r="29" ht="31" customHeight="1">
      <x:c r="A29" s="15" t="str">
        <x:v>S024</x:v>
      </x:c>
      <x:c r="B29" s="15" t="str">
        <x:v>珊瑚针·斯瓦希里缝板帆舟</x:v>
      </x:c>
      <x:c r="C29" s="15" t="str">
        <x:v>浅礁探索／沿岸贸易</x:v>
      </x:c>
      <x:c r="D29" s="15" t="str">
        <x:v>软缝越礁</x:v>
      </x:c>
      <x:c r="E29" s="15" t="str">
        <x:v>低速驶过已测浅礁时，缝合船板允许轻触后继续航行，损伤显示为可缝补接缝。</x:v>
      </x:c>
      <x:c r="F29" s="15" t="str">
        <x:v>礁石刮擦伤害倍率：0.45；海上补漏材料消耗倍率：0.65</x:v>
      </x:c>
      <x:c r="G29" s="15" t="str">
        <x:v>不适合重炮；大侧浪会压低速度。</x:v>
      </x:c>
      <x:c r="H29" s="15" t="str">
        <x:v>椰纤维缝线清晰的木板船腹，珊瑚红艏、巨大米色晚帆。</x:v>
      </x:c>
      <x:c r="I29" s="15" t="str">
        <x:v>所列任一船厂港口武装等级 A0；获得当地船厂图纸</x:v>
      </x:c>
      <x:c r="J29" s="15" t="str">
        <x:v>取材西印度洋缝板帆船传统；性能加成为原创。</x:v>
      </x:c>
      <x:c r="K29" s="15" t="str">
        <x:v>FC07；FC08</x:v>
      </x:c>
    </x:row>
    <x:row r="30" ht="31" customHeight="1">
      <x:c r="A30" s="13" t="str">
        <x:v>S025</x:v>
      </x:c>
      <x:c r="B30" s="13" t="str">
        <x:v>丁香帆·曼布里运输船</x:v>
      </x:c>
      <x:c r="C30" s="13" t="str">
        <x:v>香料／鲜货运输</x:v>
      </x:c>
      <x:c r="D30" s="13" t="str">
        <x:v>风帆呼吸</x:v>
      </x:c>
      <x:c r="E30" s="13" t="str">
        <x:v>把香料与果物调入通风舱，模型上的编织帘会随风鼓起。</x:v>
      </x:c>
      <x:c r="F30" s="13" t="str">
        <x:v>货舱通风效果倍率：1.45；香料损耗倍率：0.7</x:v>
      </x:c>
      <x:c r="G30" s="13" t="str">
        <x:v>装卸重金属货物速度慢；炮位少。</x:v>
      </x:c>
      <x:c r="H30" s="13" t="str">
        <x:v>弧形尖艏、编织椰叶帆、整条船用乳白缝线勾边，低矮褐金货棚。</x:v>
      </x:c>
      <x:c r="I30" s="13" t="str">
        <x:v>所列任一船厂港口武装等级 A1；获得当地船厂图纸</x:v>
      </x:c>
      <x:c r="J30" s="13" t="str">
        <x:v>以东非缝板商船为灵感的原创运输变体；名称不指称精确历史标准。</x:v>
      </x:c>
      <x:c r="K30" s="13" t="str">
        <x:v>FC07；FC08</x:v>
      </x:c>
    </x:row>
    <x:row r="31" ht="31" customHeight="1">
      <x:c r="A31" s="15" t="str">
        <x:v>S026</x:v>
      </x:c>
      <x:c r="B31" s="15" t="str">
        <x:v>南十字·印度洋驳帆商船</x:v>
      </x:c>
      <x:c r="C31" s="15" t="str">
        <x:v>季风远贸</x:v>
      </x:c>
      <x:c r="D31" s="15" t="str">
        <x:v>季风长弧</x:v>
      </x:c>
      <x:c r="E31" s="15" t="str">
        <x:v>航海图标出跨洋季风窗，选择“走长弧”后偏离直线但减少航期。</x:v>
      </x:c>
      <x:c r="F31" s="15" t="str">
        <x:v>季风航线补给消耗倍率：0.82；洋流航速增减（节）：0.8</x:v>
      </x:c>
      <x:c r="G31" s="15" t="str">
        <x:v>逆季风返航吃亏；侧风中艉炮可用时间短。</x:v>
      </x:c>
      <x:c r="H31" s="15" t="str">
        <x:v>尖艏木船、两根斜桅、深靛缀星帆，白色内舷像南十字的轨迹。</x:v>
      </x:c>
      <x:c r="I31" s="15" t="str">
        <x:v>所列任一船厂港口武装等级 A2；获得当地船厂图纸</x:v>
      </x:c>
      <x:c r="J31" s="15" t="str">
        <x:v>Dhow 作为印度洋多种帆船的统称使用，不视为一个统一船型。</x:v>
      </x:c>
      <x:c r="K31" s="15" t="str">
        <x:v>FC07</x:v>
      </x:c>
    </x:row>
    <x:row r="32" ht="31" customHeight="1">
      <x:c r="A32" s="13" t="str">
        <x:v>S027</x:v>
      </x:c>
      <x:c r="B32" s="13" t="str">
        <x:v>礁隼·群礁巡防舟</x:v>
      </x:c>
      <x:c r="C32" s="13" t="str">
        <x:v>礁区伏击／巡防</x:v>
      </x:c>
      <x:c r="D32" s="13" t="str">
        <x:v>珊瑚迷阵</x:v>
      </x:c>
      <x:c r="E32" s="13" t="str">
        <x:v>诱敌沿已测航道入礁，再借浅水急转向从侧面打索具。</x:v>
      </x:c>
      <x:c r="F32" s="13" t="str">
        <x:v>已测浅水转向评级加成（点）：18；浅水伏击首轮齐射倍率：1.2</x:v>
      </x:c>
      <x:c r="G32" s="13" t="str">
        <x:v>开阔海面对高舷船没有优势。</x:v>
      </x:c>
      <x:c r="H32" s="13" t="str">
        <x:v>青绿细长船体、双排短桨、白色横向织纹帆，船头雕着收翅海鹰。</x:v>
      </x:c>
      <x:c r="I32" s="13" t="str">
        <x:v>所列任一船厂港口武装等级 A3；获得当地船厂图纸</x:v>
      </x:c>
      <x:c r="J32" s="13" t="str">
        <x:v>原创地区巡防舰；由真实礁岸环境与晚帆传统推演。</x:v>
      </x:c>
      <x:c r="K32" s="13" t="str">
        <x:v>FC07</x:v>
      </x:c>
    </x:row>
    <x:row r="33" ht="42" customHeight="1">
      <x:c r="A33" s="15" t="str">
        <x:v>S028</x:v>
      </x:c>
      <x:c r="B33" s="15" t="str">
        <x:v>月桂港·远洋工匠船</x:v>
      </x:c>
      <x:c r="C33" s="15" t="str">
        <x:v>远航修造／重型商贸</x:v>
      </x:c>
      <x:c r="D33" s="15" t="str">
        <x:v>漂海船坞</x:v>
      </x:c>
      <x:c r="E33" s="15" t="str">
        <x:v>停泊避风湾后放下两侧作业栈桥，让受损僚舰靠近接受深度修缮。</x:v>
      </x:c>
      <x:c r="F33" s="15" t="str">
        <x:v>海上船体修理 HP 上限（最大 HP 比例）：0.75；拖带航速惩罚倍率：0.6；便携船坞每日修复量（HP/游戏日）：90</x:v>
      </x:c>
      <x:c r="G33" s="15" t="str">
        <x:v>在作业时不能操帆；设备占据一个不可拆的通用槽。</x:v>
      </x:c>
      <x:c r="H33" s="15" t="str">
        <x:v>高卷艉配铜绿木雕，舷侧折叠工匠栈桥，吊臂像伸开的树枝。</x:v>
      </x:c>
      <x:c r="I33" s="15" t="str">
        <x:v>所列任一船厂港口武装等级 A5；完成当地船匠委托“漂海船坞”</x:v>
      </x:c>
      <x:c r="J33" s="15" t="str">
        <x:v>以印度洋木船文化设计的架空船坞舰；机械功能为游戏设定。</x:v>
      </x:c>
      <x:c r="K33" s="15" t="str">
        <x:v>FC07</x:v>
      </x:c>
    </x:row>
    <x:row r="34" ht="31" customHeight="1">
      <x:c r="A34" s="13" t="str">
        <x:v>S029</x:v>
      </x:c>
      <x:c r="B34" s="13" t="str">
        <x:v>珍珠眼·桑布克采珠船</x:v>
      </x:c>
      <x:c r="C34" s="13" t="str">
        <x:v>采珠／浅海调查</x:v>
      </x:c>
      <x:c r="D34" s="13" t="str">
        <x:v>深蓝绳铃</x:v>
      </x:c>
      <x:c r="E34" s="13" t="str">
        <x:v>在采珠点放出两条潜水绳，凭绳铃节奏先回收状态变差的一组。</x:v>
      </x:c>
      <x:c r="F34" s="13" t="str">
        <x:v>潜水点作业槽（个）：2；潜水回收时间（秒）：6</x:v>
      </x:c>
      <x:c r="G34" s="13" t="str">
        <x:v>不宜持续炮战；尾部容易起火。</x:v>
      </x:c>
      <x:c r="H34" s="13" t="str">
        <x:v>尖翘艏、雕花后艉，帆角缀小铜铃，船腹绘一只蓝眼。</x:v>
      </x:c>
      <x:c r="I34" s="13" t="str">
        <x:v>所列任一船厂港口武装等级 A0；获得当地船厂图纸</x:v>
      </x:c>
      <x:c r="J34" s="13" t="str">
        <x:v>Sambuk 名称与形制参考馆藏，具体年份不强行落到 16 世纪。</x:v>
      </x:c>
      <x:c r="K34" s="13" t="str">
        <x:v>FC08</x:v>
      </x:c>
    </x:row>
    <x:row r="35" ht="31" customHeight="1">
      <x:c r="A35" s="15" t="str">
        <x:v>S030</x:v>
      </x:c>
      <x:c r="B35" s="15" t="str">
        <x:v>乳香弦·红海巴达恩</x:v>
      </x:c>
      <x:c r="C35" s="15" t="str">
        <x:v>红海快贸</x:v>
      </x:c>
      <x:c r="D35" s="15" t="str">
        <x:v>窄海斜切</x:v>
      </x:c>
      <x:c r="E35" s="15" t="str">
        <x:v>沿红海两岸选择连续斜切路线，航线预览会显示避开顶风的折线收益。</x:v>
      </x:c>
      <x:c r="F35" s="15" t="str">
        <x:v>横风航速加成（比例值）：0.16；炎热补给消耗倍率：0.85</x:v>
      </x:c>
      <x:c r="G35" s="15" t="str">
        <x:v>低艉炮界窄；逆浪减速明显。</x:v>
      </x:c>
      <x:c r="H35" s="15" t="str">
        <x:v>细艏与低平后甲板，香灰色帆、一根长长斜桁贯穿天空。</x:v>
      </x:c>
      <x:c r="I35" s="15" t="str">
        <x:v>所列任一船厂港口武装等级 A1；获得当地船厂图纸</x:v>
      </x:c>
      <x:c r="J35" s="15" t="str">
        <x:v>依据阿拉伯晚帆沿岸船传统设计的原创型，地域名称不等同统一年代。</x:v>
      </x:c>
      <x:c r="K35" s="15" t="str">
        <x:v>FC07</x:v>
      </x:c>
    </x:row>
    <x:row r="36" ht="31" customHeight="1">
      <x:c r="A36" s="13" t="str">
        <x:v>S031</x:v>
      </x:c>
      <x:c r="B36" s="13" t="str">
        <x:v>绿月·阿曼巴格拉</x:v>
      </x:c>
      <x:c r="C36" s="13" t="str">
        <x:v>贵重品长贸</x:v>
      </x:c>
      <x:c r="D36" s="13" t="str">
        <x:v>七舱香路</x:v>
      </x:c>
      <x:c r="E36" s="13" t="str">
        <x:v>为七组货物各设销售目的地，易碎瓷器与香料用单独封舱标识。</x:v>
      </x:c>
      <x:c r="F36" s="13" t="str">
        <x:v>可分隔货物批次（批）：7；奢侈品货损倍率：0.65</x:v>
      </x:c>
      <x:c r="G36" s="13" t="str">
        <x:v>高艉受炮面积大；机动不及桑布克。</x:v>
      </x:c>
      <x:c r="H36" s="13" t="str">
        <x:v>高耸雕花艉板如木制宫殿，两片巨幅绿月晚帆与白色水线。</x:v>
      </x:c>
      <x:c r="I36" s="13" t="str">
        <x:v>所列任一船厂港口武装等级 A2；获得当地船厂图纸</x:v>
      </x:c>
      <x:c r="J36" s="13" t="str">
        <x:v>Baghlah 风格包含后期记录的特征，作为混合年代工艺灵感。</x:v>
      </x:c>
      <x:c r="K36" s="13" t="str">
        <x:v>FC07</x:v>
      </x:c>
    </x:row>
    <x:row r="37" ht="31" customHeight="1">
      <x:c r="A37" s="15" t="str">
        <x:v>S032</x:v>
      </x:c>
      <x:c r="B37" s="15" t="str">
        <x:v>弯刀·巴格拉护卫舰</x:v>
      </x:c>
      <x:c r="C37" s="15" t="str">
        <x:v>斜击／控制索具</x:v>
      </x:c>
      <x:c r="D37" s="15" t="str">
        <x:v>斜风双击</x:v>
      </x:c>
      <x:c r="E37" s="15" t="str">
        <x:v>艏炮先断帆，穿风转舷时在短窗口内补上侧舷齐射。</x:v>
      </x:c>
      <x:c r="F37" s="15" t="str">
        <x:v>艏炮追射装填时间（秒）：4；抢风换舷侧舷射击窗口（秒）：7</x:v>
      </x:c>
      <x:c r="G37" s="15" t="str">
        <x:v>两次攻击需要连续操船；被迫停船时技能中断。</x:v>
      </x:c>
      <x:c r="H37" s="15" t="str">
        <x:v>黑棕窄船体配翡翠舷条，弯刀形白帆边缘和抛光铜艏。</x:v>
      </x:c>
      <x:c r="I37" s="15" t="str">
        <x:v>所列任一船厂港口武装等级 A3；获得当地船厂图纸</x:v>
      </x:c>
      <x:c r="J37" s="15" t="str">
        <x:v>原创武装晚帆舰，战术推演自船帆与艏炮布局。</x:v>
      </x:c>
      <x:c r="K37" s="15" t="str">
        <x:v>FC07</x:v>
      </x:c>
    </x:row>
    <x:row r="38" ht="31" customHeight="1">
      <x:c r="A38" s="13" t="str">
        <x:v>S033</x:v>
      </x:c>
      <x:c r="B38" s="13" t="str">
        <x:v>铜湾·霍尔木兹火门舰</x:v>
      </x:c>
      <x:c r="C38" s="13" t="str">
        <x:v>海峡封锁</x:v>
      </x:c>
      <x:c r="D38" s="13" t="str">
        <x:v>海峡火门</x:v>
      </x:c>
      <x:c r="E38" s="13" t="str">
        <x:v>在海峡逆流边落双锚，四门艏炮组成两次交错射击，让敌人无法从装填空隙通过。</x:v>
      </x:c>
      <x:c r="F38" s="13" t="str">
        <x:v>船艏武器命中率增减（比例值）：0.18；锚泊射击射程增减（米）：100</x:v>
      </x:c>
      <x:c r="G38" s="13" t="str">
        <x:v>离开锚位需要 8 s；侧后方炮位少。</x:v>
      </x:c>
      <x:c r="H38" s="13" t="str">
        <x:v>宽矮舰艏包铜，巨大深朱色帆，后艉布满精密风塔式百叶。</x:v>
      </x:c>
      <x:c r="I38" s="13" t="str">
        <x:v>所列任一船厂港口武装等级 A4；完成当地船匠委托“海峡火门”</x:v>
      </x:c>
      <x:c r="J38" s="13" t="str">
        <x:v>原创海峡防御旗舰，不作为历史存在的标准船类。</x:v>
      </x:c>
      <x:c r="K38" s="13" t="str">
        <x:v>FC07</x:v>
      </x:c>
    </x:row>
    <x:row r="39" ht="31" customHeight="1">
      <x:c r="A39" s="15" t="str">
        <x:v>S034</x:v>
      </x:c>
      <x:c r="B39" s="15" t="str">
        <x:v>天穹宫·阿拉伯远航旗舰</x:v>
      </x:c>
      <x:c r="C39" s="15" t="str">
        <x:v>远航统率／贵重品贸易</x:v>
      </x:c>
      <x:c r="D39" s="15" t="str">
        <x:v>昼夜天球</x:v>
      </x:c>
      <x:c r="E39" s="15" t="str">
        <x:v>夜间打开天球仪覆盖层，一次拖曳星位即可为整支舰队设定同一条远航弧线。</x:v>
      </x:c>
      <x:c r="F39" s="15" t="str">
        <x:v>夜间航海误差倍率：0.4；舰队整体改向时间（秒）：3；探险额外海上天数（游戏日）：14</x:v>
      </x:c>
      <x:c r="G39" s="15" t="str">
        <x:v>高成本；在无星夜不能触发精确导航加成。</x:v>
      </x:c>
      <x:c r="H39" s="15" t="str">
        <x:v>三桅混帆托起深蓝金星穹顶，艉楼像一座低矮天文台，灯光温润。</x:v>
      </x:c>
      <x:c r="I39" s="15" t="str">
        <x:v>所列任一船厂港口武装等级 A5；完成当地船匠委托“昼夜天球”</x:v>
      </x:c>
      <x:c r="J39" s="15" t="str">
        <x:v>原创多文化旗舰；天球仪与船体造型为艺术融合。</x:v>
      </x:c>
      <x:c r="K39" s="15" t="str">
        <x:v>FC07；FC16</x:v>
      </x:c>
    </x:row>
    <x:row r="40" ht="31" customHeight="1">
      <x:c r="A40" s="13" t="str">
        <x:v>S035</x:v>
      </x:c>
      <x:c r="B40" s="13" t="str">
        <x:v>莲舟·孟加拉河口船</x:v>
      </x:c>
      <x:c r="C40" s="13" t="str">
        <x:v>河网贸易</x:v>
      </x:c>
      <x:c r="D40" s="13" t="str">
        <x:v>千河分流</x:v>
      </x:c>
      <x:c r="E40" s="13" t="str">
        <x:v>驶入已知大河后在支流节点短暂停靠，查看两处内河货源。</x:v>
      </x:c>
      <x:c r="F40" s="13" t="str">
        <x:v>河流支汊揭示范围（千米）：14；河岸登陆交易槽（个）：2</x:v>
      </x:c>
      <x:c r="G40" s="13" t="str">
        <x:v>只适合沿岸和河口；开阔海面船帆受损较快。</x:v>
      </x:c>
      <x:c r="H40" s="13" t="str">
        <x:v>弯月形木船两端上翘、拱形竹编舱棚、红白方格帆。</x:v>
      </x:c>
      <x:c r="I40" s="13" t="str">
        <x:v>所列任一船厂港口武装等级 A0；获得当地船厂图纸</x:v>
      </x:c>
      <x:c r="J40" s="13" t="str">
        <x:v>孟加拉河口货运传统的原创游戏船型。</x:v>
      </x:c>
      <x:c r="K40" s="13" t="str">
        <x:v>FC07</x:v>
      </x:c>
    </x:row>
    <x:row r="41" ht="31" customHeight="1">
      <x:c r="A41" s="15" t="str">
        <x:v>S036</x:v>
      </x:c>
      <x:c r="B41" s="15" t="str">
        <x:v>孔雀尾·马拉巴尔帕塔玛尔</x:v>
      </x:c>
      <x:c r="C41" s="15" t="str">
        <x:v>沿岸高周转</x:v>
      </x:c>
      <x:c r="D41" s="15" t="str">
        <x:v>双岸赶集</x:v>
      </x:c>
      <x:c r="E41" s="15" t="str">
        <x:v>签下沿岸鲜货合约后可开启“赶集航表”，预览下一港涨潮和市集时段。</x:v>
      </x:c>
      <x:c r="F41" s="15" t="str">
        <x:v>易腐货物腐败倍率：0.75；沿岸合约时限增减（游戏日）：2</x:v>
      </x:c>
      <x:c r="G41" s="15" t="str">
        <x:v>缺少重炮架；高货量时船艏浪花暴露位置。</x:v>
      </x:c>
      <x:c r="H41" s="15" t="str">
        <x:v>孔雀蓝艉板、细长双桅和绿金纵向帆纹，低矮蓬棚串联甲板。</x:v>
      </x:c>
      <x:c r="I41" s="15" t="str">
        <x:v>所列任一船厂港口武装等级 A1；获得当地船厂图纸</x:v>
      </x:c>
      <x:c r="J41" s="15" t="str">
        <x:v>印度洋商船传统的融合设计；Pattamar 风格并非限定于 16 世纪。</x:v>
      </x:c>
      <x:c r="K41" s="15" t="str">
        <x:v>FC07</x:v>
      </x:c>
    </x:row>
    <x:row r="42" ht="42" customHeight="1">
      <x:c r="A42" s="13" t="str">
        <x:v>S037</x:v>
      </x:c>
      <x:c r="B42" s="13" t="str">
        <x:v>雷鼓·加里瓦特桨帆艇</x:v>
      </x:c>
      <x:c r="C42" s="13" t="str">
        <x:v>冲桨登舷</x:v>
      </x:c>
      <x:c r="D42" s="13" t="str">
        <x:v>潮鼓冲刺</x:v>
      </x:c>
      <x:c r="E42" s="13" t="str">
        <x:v>用鼓点三拍命令冲桨，抓住无风或敌舰装填空窗接舷。</x:v>
      </x:c>
      <x:c r="F42" s="13" t="str">
        <x:v>划桨冲刺航速（节）：7.5；划桨冲刺持续时间（秒）：14；抵近登船抗性增减（比例值）：0.2</x:v>
      </x:c>
      <x:c r="G42" s="13" t="str">
        <x:v>桨手需求高；无法用人数少的贸易编制发挥技能。</x:v>
      </x:c>
      <x:c r="H42" s="13" t="str">
        <x:v>金色长鼻艏、棕红矮甲板、双桨和鲜橙三角帆。</x:v>
      </x:c>
      <x:c r="I42" s="13" t="str">
        <x:v>所列任一船厂港口武装等级 A2；获得当地船厂图纸</x:v>
      </x:c>
      <x:c r="J42" s="13" t="str">
        <x:v>参考 18 世纪印度沿岸桨帆武装船描述，作为后期解锁文化技术。</x:v>
      </x:c>
      <x:c r="K42" s="13" t="str">
        <x:v>FC18</x:v>
      </x:c>
    </x:row>
    <x:row r="43" ht="31" customHeight="1">
      <x:c r="A43" s="15" t="str">
        <x:v>S038</x:v>
      </x:c>
      <x:c r="B43" s="15" t="str">
        <x:v>虎牙·马拉塔格拉布</x:v>
      </x:c>
      <x:c r="C43" s="15" t="str">
        <x:v>艏炮破帆／进攻</x:v>
      </x:c>
      <x:c r="D43" s="15" t="str">
        <x:v>虎口艏炮</x:v>
      </x:c>
      <x:c r="E43" s="15" t="str">
        <x:v>正对敌舰靠近，用穿过低平长艏的炮列先拆桅，再决定靠舷或掠过。</x:v>
      </x:c>
      <x:c r="F43" s="15" t="str">
        <x:v>艏炮穿甲值增减（点）：12；艏炮齐射帆具伤害倍率：1.2</x:v>
      </x:c>
      <x:c r="G43" s="15" t="str">
        <x:v>艏甲板迎浪会湿滑；侧舷火力低于同价护卫舰。</x:v>
      </x:c>
      <x:c r="H43" s="15" t="str">
        <x:v>宽体突然收成向前延伸的尖艏，低炮门、两片橙黑虎纹帆。</x:v>
      </x:c>
      <x:c r="I43" s="15" t="str">
        <x:v>所列任一船厂港口武装等级 A3；获得当地船厂图纸</x:v>
      </x:c>
      <x:c r="J43" s="15" t="str">
        <x:v>依据 18 世纪见闻中的格拉布形态；战术及火力数值原创。</x:v>
      </x:c>
      <x:c r="K43" s="15" t="str">
        <x:v>FC18</x:v>
      </x:c>
    </x:row>
    <x:row r="44" ht="31" customHeight="1">
      <x:c r="A44" s="13" t="str">
        <x:v>S039</x:v>
      </x:c>
      <x:c r="B44" s="13" t="str">
        <x:v>雨宫·孟加拉重载商船</x:v>
      </x:c>
      <x:c r="C44" s="13" t="str">
        <x:v>粮运／灾后商贸</x:v>
      </x:c>
      <x:c r="D44" s="13" t="str">
        <x:v>雨季粮仓</x:v>
      </x:c>
      <x:c r="E44" s="13" t="str">
        <x:v>货舱切为粮仓模式后，多装 80 舱位谷物；灾港可把货粮直接转为赈济与声望。</x:v>
      </x:c>
      <x:c r="F44" s="13" t="str">
        <x:v>谷物额外载货量（舱容单位）：80；雨水货损倍率：0.35；应急补给转换：1</x:v>
      </x:c>
      <x:c r="G44" s="13" t="str">
        <x:v>额外舱位只能放谷物；战斗推进能力弱。</x:v>
      </x:c>
      <x:c r="H44" s="13" t="str">
        <x:v>宽圆暖褐船腹、竹编雨棚、鲜蓝帆和排水铜兽首。</x:v>
      </x:c>
      <x:c r="I44" s="13" t="str">
        <x:v>所列任一船厂港口武装等级 A4；完成当地船匠委托“雨季粮仓”</x:v>
      </x:c>
      <x:c r="J44" s="13" t="str">
        <x:v>原创季风粮运巨船，以地区海贸与气候推演。</x:v>
      </x:c>
      <x:c r="K44" s="13" t="str">
        <x:v>FC07</x:v>
      </x:c>
    </x:row>
    <x:row r="45" ht="31" customHeight="1">
      <x:c r="A45" s="15" t="str">
        <x:v>S040</x:v>
      </x:c>
      <x:c r="B45" s="15" t="str">
        <x:v>靛海王·柚木重护卫舰</x:v>
      </x:c>
      <x:c r="C45" s="15" t="str">
        <x:v>远洋重护卫</x:v>
      </x:c>
      <x:c r="D45" s="15" t="str">
        <x:v>柚木脊梁</x:v>
      </x:c>
      <x:c r="E45" s="15" t="str">
        <x:v>接下一轮舷炮后，船匠可只修最受损的一段船骨，迅速恢复炮列继续战斗。</x:v>
      </x:c>
      <x:c r="F45" s="15" t="str">
        <x:v>船体分区修复上限（最大 HP 比例）：0.8；飞溅木片造成船员伤害倍率：0.6</x:v>
      </x:c>
      <x:c r="G45" s="15" t="str">
        <x:v>价格高；更换船骨类改造需返回本区船厂。</x:v>
      </x:c>
      <x:c r="H45" s="15" t="str">
        <x:v>乌金柚木船身、靛蓝与白色双舷线、孔雀铜翼状艉楼。</x:v>
      </x:c>
      <x:c r="I45" s="15" t="str">
        <x:v>所列任一船厂港口武装等级 A5；完成当地船匠委托“柚木脊梁”</x:v>
      </x:c>
      <x:c r="J45" s="15" t="str">
        <x:v>以印度造船工艺与后期护卫舰融合创作，非具体历史名舰。</x:v>
      </x:c>
      <x:c r="K45" s="15" t="str">
        <x:v>FC03；FC07</x:v>
      </x:c>
    </x:row>
    <x:row r="46" ht="31" customHeight="1">
      <x:c r="A46" s="13" t="str">
        <x:v>S041</x:v>
      </x:c>
      <x:c r="B46" s="13" t="str">
        <x:v>燕尾·海峡兰查兰</x:v>
      </x:c>
      <x:c r="C46" s="13" t="str">
        <x:v>海峡穿行／入门战斗</x:v>
      </x:c>
      <x:c r="D46" s="13" t="str">
        <x:v>暗流双桨</x:v>
      </x:c>
      <x:c r="E46" s="13" t="str">
        <x:v>在海峡潮汐带选择顺流线，靠差速划桨完成急转而不损失全部前进速度。</x:v>
      </x:c>
      <x:c r="F46" s="13" t="str">
        <x:v>潮流中转向评级加成（点）：16；倒桨航速（节）：2.8</x:v>
      </x:c>
      <x:c r="G46" s="13" t="str">
        <x:v>远洋抗浪一般；重货使桨速降低。</x:v>
      </x:c>
      <x:c r="H46" s="13" t="str">
        <x:v>燕尾形双端船艏、短桨密排、红黑帆边和亮黄龙骨。</x:v>
      </x:c>
      <x:c r="I46" s="13" t="str">
        <x:v>所列任一船厂港口武装等级 A0；获得当地船厂图纸</x:v>
      </x:c>
      <x:c r="J46" s="13" t="str">
        <x:v>依据马来桨帆传统创作；具体命名不指单一制式。</x:v>
      </x:c>
      <x:c r="K46" s="13" t="str">
        <x:v>FC09</x:v>
      </x:c>
    </x:row>
    <x:row r="47" ht="31" customHeight="1">
      <x:c r="A47" s="15" t="str">
        <x:v>S042</x:v>
      </x:c>
      <x:c r="B47" s="15" t="str">
        <x:v>雨林叶·双支架帆舟</x:v>
      </x:c>
      <x:c r="C47" s="15" t="str">
        <x:v>群岛探索／高价值快运</x:v>
      </x:c>
      <x:c r="D47" s="15" t="str">
        <x:v>支架掠浪</x:v>
      </x:c>
      <x:c r="E47" s="15" t="str">
        <x:v>沿珊瑚岸画折线，支架在转向时抬出水面；可进入大船没有的海岸支路。</x:v>
      </x:c>
      <x:c r="F47" s="15" t="str">
        <x:v>浅水通航最低水深（米）：1.0；横风航速加成（比例值）：0.18；横摇幅度倍率：0.75</x:v>
      </x:c>
      <x:c r="G47" s="15" t="str">
        <x:v>舷炮最多轻型；支架毁坏后转向与稳定同时下降。</x:v>
      </x:c>
      <x:c r="H47" s="15" t="str">
        <x:v>两侧极宽细竹支架、绿色叶片帆、黑色窄船腹缀小铜铃。</x:v>
      </x:c>
      <x:c r="I47" s="15" t="str">
        <x:v>所列任一船厂港口武装等级 A1；获得当地船厂图纸</x:v>
      </x:c>
      <x:c r="J47" s="15" t="str">
        <x:v>南岛支架艇传统的原创武装商船变体。</x:v>
      </x:c>
      <x:c r="K47" s="15" t="str">
        <x:v>FC09；FC15</x:v>
      </x:c>
    </x:row>
    <x:row r="48" ht="31" customHeight="1">
      <x:c r="A48" s="13" t="str">
        <x:v>S043</x:v>
      </x:c>
      <x:c r="B48" s="13" t="str">
        <x:v>山海屏·爪哇荣克</x:v>
      </x:c>
      <x:c r="C48" s="13" t="str">
        <x:v>群岛重载贸易</x:v>
      </x:c>
      <x:c r="D48" s="13" t="str">
        <x:v>海中谷仓</x:v>
      </x:c>
      <x:c r="E48" s="13" t="str">
        <x:v>长航前指定主货类，船匠把可移动隔板推成整齐分仓，一次装下大量同类货。</x:v>
      </x:c>
      <x:c r="F48" s="13" t="str">
        <x:v>散装货装载效率倍率：1.4；货物位移伤害倍率：0.6</x:v>
      </x:c>
      <x:c r="G48" s="13" t="str">
        <x:v>迎风困难；舰体高大易受燃烧弹影响。</x:v>
      </x:c>
      <x:c r="H48" s="13" t="str">
        <x:v>庞大深褐叠板船腹、矩形倾斜丹惹帆像山屏、船艉高高隆起。</x:v>
      </x:c>
      <x:c r="I48" s="13" t="str">
        <x:v>所列任一船厂港口武装等级 A2；获得当地船厂图纸</x:v>
      </x:c>
      <x:c r="J48" s="13" t="str">
        <x:v>Jong 为历史文化灵感；大型结构和设计数值原创，不复刻传说尺寸。</x:v>
      </x:c>
      <x:c r="K48" s="13" t="str">
        <x:v>FC09</x:v>
      </x:c>
    </x:row>
    <x:row r="49" ht="31" customHeight="1">
      <x:c r="A49" s="15" t="str">
        <x:v>S044</x:v>
      </x:c>
      <x:c r="B49" s="15" t="str">
        <x:v>千岛针·望加锡帕德瓦康</x:v>
      </x:c>
      <x:c r="C49" s="15" t="str">
        <x:v>群岛勘探／中型贸易</x:v>
      </x:c>
      <x:c r="D49" s="15" t="str">
        <x:v>千岛航图</x:v>
      </x:c>
      <x:c r="E49" s="15" t="str">
        <x:v>接近群岛时把航海长派至瞭望台，一次辨出三条水道的深浅与出口。</x:v>
      </x:c>
      <x:c r="F49" s="15" t="str">
        <x:v>群岛地图揭示半径（千米）：25；未知水道测量时间（秒）：12</x:v>
      </x:c>
      <x:c r="G49" s="15" t="str">
        <x:v>炮廊短；对大型军舰应靠路线取胜。</x:v>
      </x:c>
      <x:c r="H49" s="15" t="str">
        <x:v>饱满船艏、两片倾斜矩帆、白木货舱顶与胭脂船边。</x:v>
      </x:c>
      <x:c r="I49" s="15" t="str">
        <x:v>所列任一船厂港口武装等级 A3；获得当地船厂图纸</x:v>
      </x:c>
      <x:c r="J49" s="15" t="str">
        <x:v>取南苏拉威西造船文化为灵感的原创远贸型；不把所有当地船统称 Pinisi。</x:v>
      </x:c>
      <x:c r="K49" s="15" t="str">
        <x:v>FC09</x:v>
      </x:c>
    </x:row>
    <x:row r="50" ht="31" customHeight="1">
      <x:c r="A50" s="13" t="str">
        <x:v>S045</x:v>
      </x:c>
      <x:c r="B50" s="13" t="str">
        <x:v>七折风·群岛皮尼西</x:v>
      </x:c>
      <x:c r="C50" s="13" t="str">
        <x:v>高速远贸／操帆</x:v>
      </x:c>
      <x:c r="D50" s="13" t="str">
        <x:v>七帆琴键</x:v>
      </x:c>
      <x:c r="E50" s="13" t="str">
        <x:v>用三档帆位在货运、迎风、突进间切换，七片帆像琴键依次收放。</x:v>
      </x:c>
      <x:c r="F50" s="13" t="str">
        <x:v>操帆预设数量（套）：3；帆装切换时间（秒）：5；阵风航速加成（比例值）：0.2</x:v>
      </x:c>
      <x:c r="G50" s="13" t="str">
        <x:v>帆具复杂；失去帆缆长后切换时间翻倍。</x:v>
      </x:c>
      <x:c r="H50" s="13" t="str">
        <x:v>经典双桅七帆轮廓，白帆层叠如海鸟，深咖船腹配松石舷线。</x:v>
      </x:c>
      <x:c r="I50" s="13" t="str">
        <x:v>所列任一船厂港口武装等级 A4；完成当地船匠委托“七帆琴键”</x:v>
      </x:c>
      <x:c r="J50" s="13" t="str">
        <x:v>Pinisi 指帆装与造船艺术；熟悉的后期帆装在此明确跨年代融合，不声称 16 世纪原貌。</x:v>
      </x:c>
      <x:c r="K50" s="13" t="str">
        <x:v>FC09</x:v>
      </x:c>
    </x:row>
    <x:row r="51" ht="31" customHeight="1">
      <x:c r="A51" s="15" t="str">
        <x:v>S046</x:v>
      </x:c>
      <x:c r="B51" s="15" t="str">
        <x:v>火山牙·群岛炮战荣克</x:v>
      </x:c>
      <x:c r="C51" s="15" t="str">
        <x:v>反登舷／压制</x:v>
      </x:c>
      <x:c r="D51" s="15" t="str">
        <x:v>竹火围栏</x:v>
      </x:c>
      <x:c r="E51" s="15" t="str">
        <x:v>把甲板火器指定为压制圈，主炮另打船体；敌突击队登船前就会失去集结。</x:v>
      </x:c>
      <x:c r="F51" s="15" t="str">
        <x:v>旋回武器射界（度）：220；防登网伤害抵抗比例：0.5；甲板压制加成（比例值）：0.2</x:v>
      </x:c>
      <x:c r="G51" s="15" t="str">
        <x:v>炮位分散难以形成单点重击；速度低。</x:v>
      </x:c>
      <x:c r="H51" s="15" t="str">
        <x:v>厚实叠板如火山阶梯，深红帆、整列铜旋回炮与竹制甲板围栏。</x:v>
      </x:c>
      <x:c r="I51" s="15" t="str">
        <x:v>所列任一船厂港口武装等级 A4；完成当地船匠委托“竹火围栏”</x:v>
      </x:c>
      <x:c r="J51" s="15" t="str">
        <x:v>原创重武装地区荣克船，艺术夸张不当作考古复原。</x:v>
      </x:c>
      <x:c r="K51" s="15" t="str">
        <x:v>FC09</x:v>
      </x:c>
    </x:row>
    <x:row r="52" ht="31" customHeight="1">
      <x:c r="A52" s="13" t="str">
        <x:v>S047</x:v>
      </x:c>
      <x:c r="B52" s="13" t="str">
        <x:v>群星桥·远海群岛旗舰</x:v>
      </x:c>
      <x:c r="C52" s="13" t="str">
        <x:v>群岛贸易旗舰</x:v>
      </x:c>
      <x:c r="D52" s="13" t="str">
        <x:v>海上桥市</x:v>
      </x:c>
      <x:c r="E52" s="13" t="str">
        <x:v>到达友好群岛后展开双侧接驳平台，让小舟把分散的岛产送进六组契约货舱。</x:v>
      </x:c>
      <x:c r="F52" s="13" t="str">
        <x:v>本地小舟转运范围（米）：350；货运合约槽（个）：6；岛屿接触范围（千米）：60</x:v>
      </x:c>
      <x:c r="G52" s="13" t="str">
        <x:v>对单艘战列舰正面对射不利；接驳期间要保护外侧平台。</x:v>
      </x:c>
      <x:c r="H52" s="13" t="str">
        <x:v>三层白色帆像桥拱，金棕宽船体、两侧连桥与蓝绿色夜灯。</x:v>
      </x:c>
      <x:c r="I52" s="13" t="str">
        <x:v>所列任一船厂港口武装等级 A5；完成当地船匠委托“海上桥市”</x:v>
      </x:c>
      <x:c r="J52" s="13" t="str">
        <x:v>全原创文化交流旗舰；刻意结合不同时段地区工艺，非历史实船。</x:v>
      </x:c>
      <x:c r="K52" s="13" t="str">
        <x:v>FC09</x:v>
      </x:c>
    </x:row>
    <x:row r="53" ht="31" customHeight="1">
      <x:c r="A53" s="15" t="str">
        <x:v>S048</x:v>
      </x:c>
      <x:c r="B53" s="15" t="str">
        <x:v>芦雪·江口沙船</x:v>
      </x:c>
      <x:c r="C53" s="15" t="str">
        <x:v>河口贸易</x:v>
      </x:c>
      <x:c r="D53" s="15" t="str">
        <x:v>浅江平底</x:v>
      </x:c>
      <x:c r="E53" s="15" t="str">
        <x:v>随涨潮越过沙洲，抵达只有平底船能用的河口货栈。</x:v>
      </x:c>
      <x:c r="F53" s="15" t="str">
        <x:v>河运吃水限制（米）：1.1；软底搁浅伤害倍率：0.4；河运额外载货量（舱容单位）：20</x:v>
      </x:c>
      <x:c r="G53" s="15" t="str">
        <x:v>外海横浪时速度 -30%；不适合装高位重炮。</x:v>
      </x:c>
      <x:c r="H53" s="15" t="str">
        <x:v>方头方艄的浅平船底、芦白多片硬帆、墨黑长舵与淡蓝船帮。</x:v>
      </x:c>
      <x:c r="I53" s="15" t="str">
        <x:v>南京或宁波武装 A0；基础沙船图纸。</x:v>
      </x:c>
      <x:c r="J53" s="15" t="str">
        <x:v>沙船平底与浅水用途为文化形态参考；游戏性能原创。</x:v>
      </x:c>
      <x:c r="K53" s="15" t="str">
        <x:v>FC10</x:v>
      </x:c>
    </x:row>
    <x:row r="54" ht="31" customHeight="1">
      <x:c r="A54" s="13" t="str">
        <x:v>S049</x:v>
      </x:c>
      <x:c r="B54" s="13" t="str">
        <x:v>青鸾·福建福船</x:v>
      </x:c>
      <x:c r="C54" s="13" t="str">
        <x:v>耐损远贸</x:v>
      </x:c>
      <x:c r="D54" s="13" t="str">
        <x:v>分舱乘浪</x:v>
      </x:c>
      <x:c r="E54" s="13" t="str">
        <x:v>中弹进水时直接点击受损舱区关闭舱门，其余货舱保持可用。</x:v>
      </x:c>
      <x:c r="F54" s="13" t="str">
        <x:v>进水蔓延分区数量（区）：1；风暴货损倍率：0.7</x:v>
      </x:c>
      <x:c r="G54" s="13" t="str">
        <x:v>吃水比同级沙船深；对船艉的连续攻击仍危险。</x:v>
      </x:c>
      <x:c r="H54" s="13" t="str">
        <x:v>尖底宽肚、高昂艏艉、青绿硬帆，白色水线配一双克制的鸾眼。</x:v>
      </x:c>
      <x:c r="I54" s="13" t="str">
        <x:v>所列任一船厂港口武装等级 A1；获得当地船厂图纸</x:v>
      </x:c>
      <x:c r="J54" s="13" t="str">
        <x:v>福建水密隔舱造船传统有资料依据；具体船体数据原创。</x:v>
      </x:c>
      <x:c r="K54" s="13" t="str">
        <x:v>FC10；FC11</x:v>
      </x:c>
    </x:row>
    <x:row r="55" ht="31" customHeight="1">
      <x:c r="A55" s="15" t="str">
        <x:v>S050</x:v>
      </x:c>
      <x:c r="B55" s="15" t="str">
        <x:v>朱砂·广东广船</x:v>
      </x:c>
      <x:c r="C55" s="15" t="str">
        <x:v>重货远贸</x:v>
      </x:c>
      <x:c r="D55" s="15" t="str">
        <x:v>硬木筋骨</x:v>
      </x:c>
      <x:c r="E55" s="15" t="str">
        <x:v>装上重货后仍能选择远航高速档，船骨示意不会出现普通商船的重载应力惩罚。</x:v>
      </x:c>
      <x:c r="F55" s="15" t="str">
        <x:v>船体装甲增减（点）：6；货物破损倍率：0.65；修船木料效率倍率：1.2</x:v>
      </x:c>
      <x:c r="G55" s="15" t="str">
        <x:v>港内回转半径较大；造价高于同货量船。</x:v>
      </x:c>
      <x:c r="H55" s="15" t="str">
        <x:v>乌棕厚实船板、朱红硬帆、平直深舷，金线描出大叶木纹。</x:v>
      </x:c>
      <x:c r="I55" s="15" t="str">
        <x:v>所列任一船厂港口武装等级 A2；获得当地船厂图纸</x:v>
      </x:c>
      <x:c r="J55" s="15" t="str">
        <x:v>以广船文化形制为灵感；船名、机制及具体硬木用法为设计化处理。</x:v>
      </x:c>
      <x:c r="K55" s="15" t="str">
        <x:v>FC10</x:v>
      </x:c>
    </x:row>
    <x:row r="56" ht="31" customHeight="1">
      <x:c r="A56" s="13" t="str">
        <x:v>S051</x:v>
      </x:c>
      <x:c r="B56" s="13" t="str">
        <x:v>白燕·琉球进贡船</x:v>
      </x:c>
      <x:c r="C56" s="13" t="str">
        <x:v>外交贸易／使节护送</x:v>
      </x:c>
      <x:c r="D56" s="13" t="str">
        <x:v>万国津梁</x:v>
      </x:c>
      <x:c r="E56" s="13" t="str">
        <x:v>在船长室选定一份礼品与一位使者，到港后开启独立接待与贸易情报。</x:v>
      </x:c>
      <x:c r="F56" s="13" t="str">
        <x:v>港口赠礼声望增减（点）：3；外交货物槽（个）：2；对追击者侦测距离增减（米）：200</x:v>
      </x:c>
      <x:c r="G56" s="13" t="str">
        <x:v>战斗甲板较小；不适合大量登陆部队。</x:v>
      </x:c>
      <x:c r="H56" s="13" t="str">
        <x:v>白帆与朱红高艉、侧舷黑色书法感浪纹，燕翼艏饰与漆箱。</x:v>
      </x:c>
      <x:c r="I56" s="13" t="str">
        <x:v>所列任一船厂港口武装等级 A2；获得当地船厂图纸</x:v>
      </x:c>
      <x:c r="J56" s="13" t="str">
        <x:v>琉球交流航船的原创视觉综合，船型并非单一复原。</x:v>
      </x:c>
      <x:c r="K56" s="13" t="str">
        <x:v>FC10</x:v>
      </x:c>
    </x:row>
    <x:row r="57" ht="31" customHeight="1">
      <x:c r="A57" s="15" t="str">
        <x:v>S052</x:v>
      </x:c>
      <x:c r="B57" s="15" t="str">
        <x:v>银签·朱印远贸船</x:v>
      </x:c>
      <x:c r="C57" s="15" t="str">
        <x:v>跨文化改造／武装远贸</x:v>
      </x:c>
      <x:c r="D57" s="15" t="str">
        <x:v>双海之帆</x:v>
      </x:c>
      <x:c r="E57" s="15" t="str">
        <x:v>在东亚和东南亚船厂直接预览文化改造组合，允许每航次借用一项已获图纸技术。</x:v>
      </x:c>
      <x:c r="F57" s="15" t="str">
        <x:v>跨文化改造折扣比例：0.2；异文化船厂安装工期倍率：0.6</x:v>
      </x:c>
      <x:c r="G57" s="15" t="str">
        <x:v>技师岗位被固定占用；特殊改造更换需停港。</x:v>
      </x:c>
      <x:c r="H57" s="15" t="str">
        <x:v>日本漆红艉楼、中式硬帆与欧洲前横帆共存，银色封签随风飘动。</x:v>
      </x:c>
      <x:c r="I57" s="15" t="str">
        <x:v>所列任一船厂港口武装等级 A3；获得当地船厂图纸</x:v>
      </x:c>
      <x:c r="J57" s="15" t="str">
        <x:v>朱印船首先是持许可的贸易船，不是唯一船型；外形据混合技术图像创作。</x:v>
      </x:c>
      <x:c r="K57" s="15" t="str">
        <x:v>FC13；FC10；FC25</x:v>
      </x:c>
    </x:row>
    <x:row r="58" ht="31" customHeight="1">
      <x:c r="A58" s="13" t="str">
        <x:v>S053</x:v>
      </x:c>
      <x:c r="B58" s="13" t="str">
        <x:v>黑漆燕·关船追击艇</x:v>
      </x:c>
      <x:c r="C58" s="13" t="str">
        <x:v>追击／登舷</x:v>
      </x:c>
      <x:c r="D58" s="13" t="str">
        <x:v>横靠切帆</x:v>
      </x:c>
      <x:c r="E58" s="13" t="str">
        <x:v>追上慢船后先以火器压低对方甲板集结，再反桨贴靠，不必进行自杀式正撞。</x:v>
      </x:c>
      <x:c r="F58" s="13" t="str">
        <x:v>登船抵近时间（秒）：4；倒桨航速（节）：3.2；近距离帆具伤害倍率：1.25</x:v>
      </x:c>
      <x:c r="G58" s="13" t="str">
        <x:v>远洋帆速一般；离开桨手后机动骤降。</x:v>
      </x:c>
      <x:c r="H58" s="13" t="str">
        <x:v>黑漆扁长甲板、两侧白帘挡板、细长橹与高处一面朱印小旗。</x:v>
      </x:c>
      <x:c r="I58" s="13" t="str">
        <x:v>所列任一船厂港口武装等级 A2；获得当地船厂图纸</x:v>
      </x:c>
      <x:c r="J58" s="13" t="str">
        <x:v>日本沿岸战船传统的原创轻型变体，数值缩放。</x:v>
      </x:c>
      <x:c r="K58" s="13" t="str">
        <x:v>FC13</x:v>
      </x:c>
    </x:row>
    <x:row r="59" ht="31" customHeight="1">
      <x:c r="A59" s="15" t="str">
        <x:v>S054</x:v>
      </x:c>
      <x:c r="B59" s="15" t="str">
        <x:v>金屏城·安宅重战船</x:v>
      </x:c>
      <x:c r="C59" s="15" t="str">
        <x:v>登舷指挥／甲板据点</x:v>
      </x:c>
      <x:c r="D59" s="15" t="str">
        <x:v>海上本阵</x:v>
      </x:c>
      <x:c r="E59" s="15" t="str">
        <x:v>停在僚船接舷点旁升旗，甲板炮队掩护友军冲入敌船；可以主动回收失败的突击队。</x:v>
      </x:c>
      <x:c r="F59" s="15" t="str">
        <x:v>白刃防御倍率：1.45；友军接舷集结半径（米）：240；甲板远程压制倍率：0.65</x:v>
      </x:c>
      <x:c r="G59" s="15" t="str">
        <x:v>大帆与橹推进慢；船楼挡住部分低角射界。</x:v>
      </x:c>
      <x:c r="H59" s="15" t="str">
        <x:v>像一座漂浮黑漆城门，金屏高楼配白幕和红木船腹。</x:v>
      </x:c>
      <x:c r="I59" s="15" t="str">
        <x:v>所列任一船厂港口武装等级 A4；完成当地船匠委托“海上本阵”</x:v>
      </x:c>
      <x:c r="J59" s="15" t="str">
        <x:v>安宅造型为历史灵感；不采用有争议的全铁甲叙述，护甲为游戏值。</x:v>
      </x:c>
      <x:c r="K59" s="15" t="str">
        <x:v>FC13</x:v>
      </x:c>
    </x:row>
    <x:row r="60" ht="42" customHeight="1">
      <x:c r="A60" s="13" t="str">
        <x:v>S055</x:v>
      </x:c>
      <x:c r="B60" s="13" t="str">
        <x:v>云阵·朝鲜板屋船</x:v>
      </x:c>
      <x:c r="C60" s="13" t="str">
        <x:v>沿岸回旋炮战</x:v>
      </x:c>
      <x:c r="D60" s="13" t="str">
        <x:v>双层回旋</x:v>
      </x:c>
      <x:c r="E60" s="13" t="str">
        <x:v>左右桨反划时转动上层炮廊，用连续短舷齐射控制绕船目标。</x:v>
      </x:c>
      <x:c r="F60" s="13" t="str">
        <x:v>划桨原地转向时间（秒）：8；甲板船员掩护效果倍率：0.6；转向射击命中率加成（比例值）：0.12</x:v>
      </x:c>
      <x:c r="G60" s="13" t="str">
        <x:v>开阔远洋速度慢；需要较多桨手。</x:v>
      </x:c>
      <x:c r="H60" s="13" t="str">
        <x:v>平底高帮、宽阔遮护甲板、白帆墨云纹、正方形指挥小楼。</x:v>
      </x:c>
      <x:c r="I60" s="13" t="str">
        <x:v>所列任一船厂港口武装等级 A3；获得当地船厂图纸</x:v>
      </x:c>
      <x:c r="J60" s="13" t="str">
        <x:v>板屋船上下分层参考韩国海洋博物馆说明；战斗数据为游戏原创。</x:v>
      </x:c>
      <x:c r="K60" s="13" t="str">
        <x:v>FC14</x:v>
      </x:c>
    </x:row>
    <x:row r="61" ht="31" customHeight="1">
      <x:c r="A61" s="15" t="str">
        <x:v>S056</x:v>
      </x:c>
      <x:c r="B61" s="15" t="str">
        <x:v>玄武灯·龟船</x:v>
      </x:c>
      <x:c r="C61" s="15" t="str">
        <x:v>突破登舷网／近距炮击</x:v>
      </x:c>
      <x:c r="D61" s="15" t="str">
        <x:v>闭甲突阵</x:v>
      </x:c>
      <x:c r="E61" s="15" t="str">
        <x:v>龙艏吐出战术烟幕，穿过敌方接舷区后从两舷发射近距离炮击。</x:v>
      </x:c>
      <x:c r="F61" s="15" t="str">
        <x:v>是否允许接舷挂接：False；船艏烟幕半径（米）：90；烟幕持续时间（秒）：18</x:v>
      </x:c>
      <x:c r="G61" s="15" t="str">
        <x:v>封闭上层使瞭望距离 -15%；无法自身发起大规模登舷。</x:v>
      </x:c>
      <x:c r="H61" s="15" t="str">
        <x:v>封闭拱顶如漆黑龟甲、青金龙艏、低檐炮眼，夜战时缝隙透出暖光。</x:v>
      </x:c>
      <x:c r="I61" s="15" t="str">
        <x:v>所列任一船厂港口武装等级 A4；完成当地船匠委托“闭甲突阵”</x:v>
      </x:c>
      <x:c r="J61" s="15" t="str">
        <x:v>龟背覆盖形态有资料；材质采用木甲金属护条的原创表现，不断言整船铁甲。</x:v>
      </x:c>
      <x:c r="K61" s="15" t="str">
        <x:v>FC14</x:v>
      </x:c>
    </x:row>
    <x:row r="62" ht="31" customHeight="1">
      <x:c r="A62" s="13" t="str">
        <x:v>S057</x:v>
      </x:c>
      <x:c r="B62" s="13" t="str">
        <x:v>赤帆门·武装大福船</x:v>
      </x:c>
      <x:c r="C62" s="13" t="str">
        <x:v>耐损商战船</x:v>
      </x:c>
      <x:c r="D62" s="13" t="str">
        <x:v>层层水门</x:v>
      </x:c>
      <x:c r="E62" s="13" t="str">
        <x:v>在三次严重破口后选择封闭哪一层货舱，保船、保货与保炮列之间有清晰抉择。</x:v>
      </x:c>
      <x:c r="F62" s="13" t="str">
        <x:v>每战隔舱止水次数（次）：3；货舱火势蔓延倍率：0.55；艏甲板高度优势：1</x:v>
      </x:c>
      <x:c r="G62" s="13" t="str">
        <x:v>关闭炮舱也会关闭相应炮位；转向慢。</x:v>
      </x:c>
      <x:c r="H62" s="13" t="str">
        <x:v>层层高艉楼、三面宽大赤红硬帆、青黑宽船腹，白龙眼简洁醒目。</x:v>
      </x:c>
      <x:c r="I62" s="13" t="str">
        <x:v>所列任一船厂港口武装等级 A4；完成当地船匠委托“层层水门”</x:v>
      </x:c>
      <x:c r="J62" s="13" t="str">
        <x:v>基于福船与水密隔舱的原创重战型；不采用夸张史船尺度。</x:v>
      </x:c>
      <x:c r="K62" s="13" t="str">
        <x:v>FC10；FC11</x:v>
      </x:c>
    </x:row>
    <x:row r="63" ht="31" customHeight="1">
      <x:c r="A63" s="15" t="str">
        <x:v>S058</x:v>
      </x:c>
      <x:c r="B63" s="15" t="str">
        <x:v>海上蓬莱·宝船工艺旗舰</x:v>
      </x:c>
      <x:c r="C63" s="15" t="str">
        <x:v>外交／大宗贸易／远航旗舰</x:v>
      </x:c>
      <x:c r="D63" s="15" t="str">
        <x:v>千帆总舱</x:v>
      </x:c>
      <x:c r="E63" s="15" t="str">
        <x:v>同一条船上设置八组货物、三位使节与完整远航补给，前往未结盟地区展开一次联合访问。</x:v>
      </x:c>
      <x:c r="F63" s="15" t="str">
        <x:v>舰队补给效率倍率：0.9；货物转运槽（个）：8；外交会客槽（个）：3</x:v>
      </x:c>
      <x:c r="G63" s="15" t="str">
        <x:v>舰体庞大、吃水深；无法靠近大量探索小岛。</x:v>
      </x:c>
      <x:c r="H63" s="15" t="str">
        <x:v>五面层叠青白硬帆、玉色栏杆与木红高艉，体量宏伟但保留可读的船腹和水线。</x:v>
      </x:c>
      <x:c r="I63" s="15" t="str">
        <x:v>所列任一船厂港口武装等级 A5；完成当地船匠委托“千帆总舱”</x:v>
      </x:c>
      <x:c r="J63" s="15" t="str">
        <x:v>完全原创旗舰；“宝船工艺”指文化想象，不主张争议中的巨大历史尺寸。</x:v>
      </x:c>
      <x:c r="K63" s="15" t="str">
        <x:v>FC10；FC11</x:v>
      </x:c>
    </x:row>
    <x:row r="64" ht="31" customHeight="1">
      <x:c r="A64" s="13" t="str">
        <x:v>S059</x:v>
      </x:c>
      <x:c r="B64" s="13" t="str">
        <x:v>糖雾·加勒比单桅船</x:v>
      </x:c>
      <x:c r="C64" s="13" t="str">
        <x:v>快运／逃脱</x:v>
      </x:c>
      <x:c r="D64" s="13" t="str">
        <x:v>浅湾甩尾</x:v>
      </x:c>
      <x:c r="E64" s="13" t="str">
        <x:v>把撤离线画进浅湾，收主帆急转后借横风重新加速。</x:v>
      </x:c>
      <x:c r="F64" s="13" t="str">
        <x:v>浅水转向评级加成（点）：15；脱离维持时间缩短（秒）：5</x:v>
      </x:c>
      <x:c r="G64" s="13" t="str">
        <x:v>帆很大而船很轻；桅杆被击中时速度掉得快。</x:v>
      </x:c>
      <x:c r="H64" s="13" t="str">
        <x:v>白色斜桁大帆、薄荷绿船腹、桃色舷边和低矮木棚。</x:v>
      </x:c>
      <x:c r="I64" s="13" t="str">
        <x:v>所列任一船厂港口武装等级 A0；获得当地船厂图纸</x:v>
      </x:c>
      <x:c r="J64" s="13" t="str">
        <x:v>以加勒比小型纵帆船为灵感的原创船，不绑定具体史舰。</x:v>
      </x:c>
      <x:c r="K64" s="13" t="str">
        <x:v>FC01</x:v>
      </x:c>
    </x:row>
    <x:row r="65" ht="31" customHeight="1">
      <x:c r="A65" s="15" t="str">
        <x:v>S060</x:v>
      </x:c>
      <x:c r="B65" s="15" t="str">
        <x:v>夜鸢·百慕大快速纵帆船</x:v>
      </x:c>
      <x:c r="C65" s="15" t="str">
        <x:v>夜间快运／截击</x:v>
      </x:c>
      <x:c r="D65" s="15" t="str">
        <x:v>暗灯猎影</x:v>
      </x:c>
      <x:c r="E65" s="15" t="str">
        <x:v>夜间熄掉航灯并选择追尾航向，敌方瞭望条缓慢增长，靠近后再亮灯警告。</x:v>
      </x:c>
      <x:c r="F65" s="15" t="str">
        <x:v>夜间被侦测距离倍率：0.7；追击航速加成（节）：0.7</x:v>
      </x:c>
      <x:c r="G65" s="15" t="str">
        <x:v>船体薄；白天远距离对炮吃亏。</x:v>
      </x:c>
      <x:c r="H65" s="15" t="str">
        <x:v>黑蓝细长船腹、双根明显后倾桅、窄白舷线与一盏紫色艉灯。</x:v>
      </x:c>
      <x:c r="I65" s="15" t="str">
        <x:v>所列任一船厂港口武装等级 A2；获得当地船厂图纸</x:v>
      </x:c>
      <x:c r="J65" s="15" t="str">
        <x:v>采用后期纵帆快船轮廓；不是将 19 世纪极端快船当作 16 世纪史实。</x:v>
      </x:c>
      <x:c r="K65" s="15" t="str">
        <x:v>FC01</x:v>
      </x:c>
    </x:row>
    <x:row r="66" ht="31" customHeight="1">
      <x:c r="A66" s="13" t="str">
        <x:v>S061</x:v>
      </x:c>
      <x:c r="B66" s="13" t="str">
        <x:v>海狮铃·北美武装双桅船</x:v>
      </x:c>
      <x:c r="C66" s="13" t="str">
        <x:v>武装贸易／多用途</x:v>
      </x:c>
      <x:c r="D66" s="13" t="str">
        <x:v>两桅成列</x:v>
      </x:c>
      <x:c r="E66" s="13" t="str">
        <x:v>在商贸编制与战斗编制间快速换岗；两条状态条明确显示装填和操帆代价。</x:v>
      </x:c>
      <x:c r="F66" s="13" t="str">
        <x:v>船员换岗时间（秒）：4；舷侧齐射后恢复时间（秒）：3</x:v>
      </x:c>
      <x:c r="G66" s="13" t="str">
        <x:v>两桅之一失效会丢失较多推进力；缺少大型指挥空间。</x:v>
      </x:c>
      <x:c r="H66" s="13" t="str">
        <x:v>温润松木甲板、双桅整齐白帆、深绿船帮与海狮铜铃。</x:v>
      </x:c>
      <x:c r="I66" s="13" t="str">
        <x:v>所列任一船厂港口武装等级 A3；获得当地船厂图纸</x:v>
      </x:c>
      <x:c r="J66" s="13" t="str">
        <x:v>以 18 世纪双桅横帆船形制为灵感。</x:v>
      </x:c>
      <x:c r="K66" s="13" t="str">
        <x:v>FC01</x:v>
      </x:c>
    </x:row>
    <x:row r="67" ht="31" customHeight="1">
      <x:c r="A67" s="15" t="str">
        <x:v>S062</x:v>
      </x:c>
      <x:c r="B67" s="15" t="str">
        <x:v>珊瑚王后·加勒比重护卫舰</x:v>
      </x:c>
      <x:c r="C67" s="15" t="str">
        <x:v>交替舷炮／机动旗舰</x:v>
      </x:c>
      <x:c r="D67" s="15" t="str">
        <x:v>双舷舞会</x:v>
      </x:c>
      <x:c r="E67" s="15" t="str">
        <x:v>左舷开火后立即选择右转交叉路线，右舷炮手会提前完成准备，形成流畅交替节奏。</x:v>
      </x:c>
      <x:c r="F67" s="15" t="str">
        <x:v>对侧舷装填进度抵扣比例：0.25；齐射后转向评级加成（点）：14</x:v>
      </x:c>
      <x:c r="G67" s="15" t="str">
        <x:v>需要不停航行；被断桅后核心能力消失。</x:v>
      </x:c>
      <x:c r="H67" s="15" t="str">
        <x:v>珊瑚粉与午夜蓝舷线、奶白帆、长裙般后艉阳台和镂空女王冠。</x:v>
      </x:c>
      <x:c r="I67" s="15" t="str">
        <x:v>所列任一船厂港口武装等级 A4；完成当地船匠委托“双舷舞会”</x:v>
      </x:c>
      <x:c r="J67" s="15" t="str">
        <x:v>护卫舰文化变体，外观、命名与能力原创。</x:v>
      </x:c>
      <x:c r="K67" s="15" t="str">
        <x:v>FC03</x:v>
      </x:c>
    </x:row>
    <x:row r="68" ht="31" customHeight="1">
      <x:c r="A68" s="13" t="str">
        <x:v>S063</x:v>
      </x:c>
      <x:c r="B68" s="13" t="str">
        <x:v>绿心木·哈瓦那护航战舰</x:v>
      </x:c>
      <x:c r="C68" s="13" t="str">
        <x:v>跨洋商队保护</x:v>
      </x:c>
      <x:c r="D68" s="13" t="str">
        <x:v>宝船环列</x:v>
      </x:c>
      <x:c r="E68" s="13" t="str">
        <x:v>让两艘货船进入护航环；本舰与僚舰自动各护一边，玩家继续决定主要威胁方向。</x:v>
      </x:c>
      <x:c r="F68" s="13" t="str">
        <x:v>护航阵型航速惩罚倍率：0.5；船队掩护半径（米）：420；甲板飞溅碎片伤害倍率：0.65</x:v>
      </x:c>
      <x:c r="G68" s="13" t="str">
        <x:v>昂贵且吃水深；无法自己追上最快私掠船。</x:v>
      </x:c>
      <x:c r="H68" s="13" t="str">
        <x:v>深绿木色厚船腹、金色双炮列、艉楼为翠金扇形，帆面淡淡叶纹。</x:v>
      </x:c>
      <x:c r="I68" s="13" t="str">
        <x:v>所列任一船厂港口武装等级 A5；完成当地船匠委托“宝船环列”</x:v>
      </x:c>
      <x:c r="J68" s="13" t="str">
        <x:v>原创地区重护航舰，融合后期重舰与热带船厂意象。</x:v>
      </x:c>
      <x:c r="K68" s="13" t="str">
        <x:v>FC01；FC04</x:v>
      </x:c>
    </x:row>
    <x:row r="69" ht="31" customHeight="1">
      <x:c r="A69" s="15" t="str">
        <x:v>S064</x:v>
      </x:c>
      <x:c r="B69" s="15" t="str">
        <x:v>海草冠·安第斯木筏帆舟</x:v>
      </x:c>
      <x:c r="C69" s="15" t="str">
        <x:v>沿流探索／海岸接驳</x:v>
      </x:c>
      <x:c r="D69" s="15" t="str">
        <x:v>漂向海岸</x:v>
      </x:c>
      <x:c r="E69" s="15" t="str">
        <x:v>在地图上选取近岸洋流，调节插板让木筏斜渡水流，抵达难靠泊岸段。</x:v>
      </x:c>
      <x:c r="F69" s="15" t="str">
        <x:v>海流航速加成（节）：1.0；是否可驶入沙滩：1；每捕鱼日获得鲜食（人·游戏日）：18</x:v>
      </x:c>
      <x:c r="G69" s="15" t="str">
        <x:v>逆流与无风时很慢；不安装侧舷炮。</x:v>
      </x:c>
      <x:c r="H69" s="15" t="str">
        <x:v>并列金黄大浮木、白色方帆、红棕编织货棚，像一片浮动岸边村落。</x:v>
      </x:c>
      <x:c r="I69" s="15" t="str">
        <x:v>所列任一船厂港口武装等级 A0；获得当地船厂图纸</x:v>
      </x:c>
      <x:c r="J69" s="15" t="str">
        <x:v>以安第斯海岸筏船传统创作，不把近代复航筏直接当古代实船。</x:v>
      </x:c>
      <x:c r="K69" s="15" t="str">
        <x:v>FC17</x:v>
      </x:c>
    </x:row>
    <x:row r="70" ht="31" customHeight="1">
      <x:c r="A70" s="13" t="str">
        <x:v>S065</x:v>
      </x:c>
      <x:c r="B70" s="13" t="str">
        <x:v>翠河·亚马孙接驳艇</x:v>
      </x:c>
      <x:c r="C70" s="13" t="str">
        <x:v>内河贸易／丛林考察</x:v>
      </x:c>
      <x:c r="D70" s="13" t="str">
        <x:v>绿河枝脉</x:v>
      </x:c>
      <x:c r="E70" s="13" t="str">
        <x:v>沿河停靠时展开架高货棚，在两处林间聚落交换木材、果物与药草。</x:v>
      </x:c>
      <x:c r="F70" s="13" t="str">
        <x:v>河流中航速加成（比例值）：0.15；内陆联络点增减（个）：2；热带水果腐败倍率：0.75</x:v>
      </x:c>
      <x:c r="G70" s="13" t="str">
        <x:v>海上横浪表现差；远航必须依靠母船或港口补给。</x:v>
      </x:c>
      <x:c r="H70" s="13" t="str">
        <x:v>深绿窄船身、细竹撑起的高货棚和一片棕红小帆，灯如萤火。</x:v>
      </x:c>
      <x:c r="I70" s="13" t="str">
        <x:v>所列任一船厂港口武装等级 A1；获得当地船厂图纸</x:v>
      </x:c>
      <x:c r="J70" s="13" t="str">
        <x:v>真实河道生活背景上的原创架空帆舟。</x:v>
      </x:c>
      <x:c r="K70" s="13" t="str">
        <x:v>FC00</x:v>
      </x:c>
    </x:row>
    <x:row r="71" ht="31" customHeight="1">
      <x:c r="A71" s="15" t="str">
        <x:v>S066</x:v>
      </x:c>
      <x:c r="B71" s="15" t="str">
        <x:v>赤木星·南大西洋商舰</x:v>
      </x:c>
      <x:c r="C71" s="15" t="str">
        <x:v>矿木大宗远贸</x:v>
      </x:c>
      <x:c r="D71" s="15" t="str">
        <x:v>红木长航</x:v>
      </x:c>
      <x:c r="E71" s="15" t="str">
        <x:v>装入大量木材或矿石仍可选择跨洋直航，货载速度条下降较少。</x:v>
      </x:c>
      <x:c r="F71" s="15" t="str">
        <x:v>每日船底附着物增长倍率：0.65；重载航速惩罚倍率：0.6</x:v>
      </x:c>
      <x:c r="G71" s="15" t="str">
        <x:v>炮数有限；连续逆风时速度差。</x:v>
      </x:c>
      <x:c r="H71" s="15" t="str">
        <x:v>赤褐硬木长船腹、白帆、暗金树冠艏饰，艉楼窄而高。</x:v>
      </x:c>
      <x:c r="I71" s="15" t="str">
        <x:v>所列任一船厂港口武装等级 A3；获得当地船厂图纸</x:v>
      </x:c>
      <x:c r="J71" s="15" t="str">
        <x:v>原创巴西跨洋商舰；船体以时代混合远贸船为基底。</x:v>
      </x:c>
      <x:c r="K71" s="15" t="str">
        <x:v>FC01；FC05</x:v>
      </x:c>
    </x:row>
    <x:row r="72" ht="42" customHeight="1">
      <x:c r="A72" s="13" t="str">
        <x:v>S067</x:v>
      </x:c>
      <x:c r="B72" s="13" t="str">
        <x:v>合恩灰翼·南洋探险舰</x:v>
      </x:c>
      <x:c r="C72" s="13" t="str">
        <x:v>极南探索／远程补给</x:v>
      </x:c>
      <x:c r="D72" s="13" t="str">
        <x:v>绕过世界尽头</x:v>
      </x:c>
      <x:c r="E72" s="13" t="str">
        <x:v>风暴前选择保帆或顶浪两档姿态，以更长航程换取持续转向能力，稳穿合恩外海。</x:v>
      </x:c>
      <x:c r="F72" s="13" t="str">
        <x:v>风暴中航向保持加成（比例值）：0.3；寒冷疲劳倍率：0.55；探险补给天数增减（游戏日）：18</x:v>
      </x:c>
      <x:c r="G72" s="13" t="str">
        <x:v>不是战列火力舰；特殊船骨改造会占用货舱。</x:v>
      </x:c>
      <x:c r="H72" s="13" t="str">
        <x:v>灰白厚船腹、偏低桅杆与分段风暴帆，灰翼艏饰和温暖橘红舱灯。</x:v>
      </x:c>
      <x:c r="I72" s="13" t="str">
        <x:v>所列任一船厂港口武装等级 A5；完成当地船匠委托“绕过世界尽头”</x:v>
      </x:c>
      <x:c r="J72" s="13" t="str">
        <x:v>原创极南探险舰；主要参考后期远航船思路，不冒充已知 16 世纪船型。</x:v>
      </x:c>
      <x:c r="K72" s="13" t="str">
        <x:v>FC01</x:v>
      </x:c>
    </x:row>
    <x:row r="73" ht="31" customHeight="1">
      <x:c r="A73" s="15" t="str">
        <x:v>S068</x:v>
      </x:c>
      <x:c r="B73" s="15" t="str">
        <x:v>飞鱼弧·密克罗尼西亚支架帆舟</x:v>
      </x:c>
      <x:c r="C73" s="15" t="str">
        <x:v>高速探路／近岸截击</x:v>
      </x:c>
      <x:c r="D73" s="15" t="str">
        <x:v>换端飞行</x:v>
      </x:c>
      <x:c r="E73" s="15" t="str">
        <x:v>点击“换端”而不是掉头，帆与舵换到另一端，直接沿另一方向横风加速。</x:v>
      </x:c>
      <x:c r="F73" s="15" t="str">
        <x:v>换艏时间（秒）：4；是否允许不转弯倒换船首方向：1；横风航速加成（比例值）：0.2</x:v>
      </x:c>
      <x:c r="G73" s="15" t="str">
        <x:v>支架侧固定，错误风位会迫使减帆；舷炮不可装。</x:v>
      </x:c>
      <x:c r="H73" s="15" t="str">
        <x:v>细长双尖船腹配单侧细支架，巨大蟹爪帆如飞鱼胸鳍。</x:v>
      </x:c>
      <x:c r="I73" s="15" t="str">
        <x:v>所列任一船厂港口武装等级 A0；获得当地船厂图纸</x:v>
      </x:c>
      <x:c r="J73" s="15" t="str">
        <x:v>单支架换端航行传统为基础，战斗化使用原创。</x:v>
      </x:c>
      <x:c r="K73" s="15" t="str">
        <x:v>FC15</x:v>
      </x:c>
    </x:row>
    <x:row r="74" ht="31" customHeight="1">
      <x:c r="A74" s="13" t="str">
        <x:v>S069</x:v>
      </x:c>
      <x:c r="B74" s="13" t="str">
        <x:v>双月·波利尼西亚航海双体舟</x:v>
      </x:c>
      <x:c r="C74" s="13" t="str">
        <x:v>非仪器远航／探岛</x:v>
      </x:c>
      <x:c r="D74" s="13" t="str">
        <x:v>星海为路</x:v>
      </x:c>
      <x:c r="E74" s="13" t="str">
        <x:v>夜间由领航员读星、浪和鸟群，地图以三条线索交会显示下一片岛屿方向。</x:v>
      </x:c>
      <x:c r="F74" s="13" t="str">
        <x:v>夜间海流揭示范围（千米）：35；淡水消耗倍率：0.85；未知洋面定位误差倍率：0.65</x:v>
      </x:c>
      <x:c r="G74" s="13" t="str">
        <x:v>不能装重炮；货舱依靠绑缚固定。</x:v>
      </x:c>
      <x:c r="H74" s="13" t="str">
        <x:v>双条修长木船托起低矮平台、两片蟹爪帆像弯月、红白几何编纹。</x:v>
      </x:c>
      <x:c r="I74" s="13" t="str">
        <x:v>所列任一船厂港口武装等级 A1；获得当地船厂图纸</x:v>
      </x:c>
      <x:c r="J74" s="13" t="str">
        <x:v>远航双体舟传统取材博物馆资料；现代复航船仅作工艺说明，不作为古代实物。</x:v>
      </x:c>
      <x:c r="K74" s="13" t="str">
        <x:v>FC15；FC16</x:v>
      </x:c>
    </x:row>
    <x:row r="75" ht="31" customHeight="1">
      <x:c r="A75" s="15" t="str">
        <x:v>S070</x:v>
      </x:c>
      <x:c r="B75" s="15" t="str">
        <x:v>海枝·斐济德鲁阿</x:v>
      </x:c>
      <x:c r="C75" s="15" t="str">
        <x:v>登陆／群岛中型运输</x:v>
      </x:c>
      <x:c r="D75" s="15" t="str">
        <x:v>长翼侧移</x:v>
      </x:c>
      <x:c r="E75" s="15" t="str">
        <x:v>收起一端帆后换端，借不对称船体把登陆侧平稳贴向沙岸，一次放下整队探索员。</x:v>
      </x:c>
      <x:c r="F75" s="15" t="str">
        <x:v>换艏时间（秒）：6；横向抵近加成（比例值）：0.2；沙滩登陆运员量（人）：45</x:v>
      </x:c>
      <x:c r="G75" s="15" t="str">
        <x:v>大支架横宽限制部分港口入口；火炮后坐力上限低。</x:v>
      </x:c>
      <x:c r="H75" s="15" t="str">
        <x:v>一大一小双船腹、中央架高平台与巨型三角编帆，船首如树枝分叉。</x:v>
      </x:c>
      <x:c r="I75" s="15" t="str">
        <x:v>马塔瓦伊湾或科乌港武装 A2；完成斐济—汤加航海师的“长翼侧移”文化交流委托。</x:v>
      </x:c>
      <x:c r="J75" s="15" t="str">
        <x:v>借鉴斐济—汤加双体传统；后期形式置入游戏融合年代。</x:v>
      </x:c>
      <x:c r="K75" s="15" t="str">
        <x:v>FC15</x:v>
      </x:c>
    </x:row>
    <x:row r="76" ht="31" customHeight="1">
      <x:c r="A76" s="13" t="str">
        <x:v>S071</x:v>
      </x:c>
      <x:c r="B76" s="13" t="str">
        <x:v>赤纹·长白云航海舟</x:v>
      </x:c>
      <x:c r="C76" s="13" t="str">
        <x:v>远海寻路／群岛补给</x:v>
      </x:c>
      <x:c r="D76" s="13" t="str">
        <x:v>浪脊记忆</x:v>
      </x:c>
      <x:c r="E76" s="13" t="str">
        <x:v>用领航员标记两道涌浪夹角，在地图雾中连续绘出一条可回航的浪脊路线。</x:v>
      </x:c>
      <x:c r="F76" s="13" t="str">
        <x:v>涌浪航路揭示范围（千米）：70；补给额外保障天数（游戏日）：8；风暴帆面损失倍率：0.7</x:v>
      </x:c>
      <x:c r="G76" s="13" t="str">
        <x:v>重武器可选少；战斗主要依靠航路和接舷。</x:v>
      </x:c>
      <x:c r="H76" s="13" t="str">
        <x:v>两条黑红雕刻船腹、乳白编帆、低平台和清晰绳网，船艏刻纹像海浪。</x:v>
      </x:c>
      <x:c r="I76" s="13" t="str">
        <x:v>所列任一船厂港口武装等级 A3；获得当地船厂图纸</x:v>
      </x:c>
      <x:c r="J76" s="13" t="str">
        <x:v>Waka hourua 双体远航传统为形态参考；船名、机制和炮位为架空交流结果。</x:v>
      </x:c>
      <x:c r="K76" s="13" t="str">
        <x:v>FC16</x:v>
      </x:c>
    </x:row>
    <x:row r="77" ht="42" customHeight="1">
      <x:c r="A77" s="16" t="str">
        <x:v>S072</x:v>
      </x:c>
      <x:c r="B77" s="16" t="str">
        <x:v>群星怀抱·太平洋联合航舟</x:v>
      </x:c>
      <x:c r="C77" s="16" t="str">
        <x:v>全球探索旗舰／长距高值贸易</x:v>
      </x:c>
      <x:c r="D77" s="16" t="str">
        <x:v>海洋星图</x:v>
      </x:c>
      <x:c r="E77" s="16" t="str">
        <x:v>让领航师把读星、浪纹、鸟路三种线索绘到全舰队海图上，开启没有港口串联的太平洋远航线。</x:v>
      </x:c>
      <x:c r="F77" s="16" t="str">
        <x:v>舰队未知航线定位误差倍率：0.4；岛屿发现半径（千米）：90；共享风向预报提前量（秒）：20</x:v>
      </x:c>
      <x:c r="G77" s="16" t="str">
        <x:v>正面对抗重战舰不利；横向体积大，需要更宽的接舷路线。</x:v>
      </x:c>
      <x:c r="H77" s="16" t="str">
        <x:v>双体巨大却轻盈，三片珠白蟹爪帆像展开的星盘，红蓝绳索连接低矮灯台。</x:v>
      </x:c>
      <x:c r="I77" s="16" t="str">
        <x:v>马塔瓦伊湾或科乌港武装 A5；完成“海洋星图”太平洋航海师联盟委托。</x:v>
      </x:c>
      <x:c r="J77" s="16" t="str">
        <x:v>完全原创太平洋文化交流旗舰；技术受传统航海启发而非历史复原。</x:v>
      </x:c>
      <x:c r="K77" s="16" t="str">
        <x:v>FC15；FC16</x:v>
      </x:c>
    </x:row>
    <x:row r="78">
      <x:c r="A78" s="2"/>
      <x:c r="B78" s="2"/>
      <x:c r="C78" s="2"/>
      <x:c r="D78" s="2"/>
      <x:c r="E78" s="2"/>
      <x:c r="F78" s="2"/>
      <x:c r="G78" s="2"/>
      <x:c r="H78" s="2"/>
      <x:c r="I78" s="2"/>
      <x:c r="J78" s="2"/>
      <x:c r="K78" s="2"/>
    </x:row>
  </x:sheetData>
  <x:pageMargins left="0.7" right="0.7" top="0.75" bottom="0.75" header="0.3" footer="0.3"/>
  <x:tableParts count="1">
    <x:tablePart xmlns:r="http://schemas.openxmlformats.org/officeDocument/2006/relationships" r:id="Ra315997d31f24942"/>
  </x:tableParts>
</x:worksheet>
</file>

<file path=xl/worksheets/sheet17.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3" hidden="0" customWidth="1"/>
    <x:col min="2" max="2" width="32" hidden="0" customWidth="1"/>
    <x:col min="3" max="3" width="20" hidden="0" customWidth="1"/>
    <x:col min="4" max="4" width="23" hidden="0" customWidth="1"/>
    <x:col min="5" max="5" width="32" hidden="0" customWidth="1"/>
    <x:col min="6" max="6" width="25" hidden="0" customWidth="1"/>
    <x:col min="7" max="7" width="14" hidden="0" customWidth="1"/>
    <x:col min="8" max="8" width="14" hidden="0" customWidth="1"/>
    <x:col min="9" max="9" width="22" hidden="0" customWidth="1"/>
    <x:col min="10" max="10" width="18" hidden="0" customWidth="1"/>
    <x:col min="11" max="11" width="81" hidden="0" customWidth="1"/>
    <x:col min="12" max="12" width="22" hidden="0" customWidth="1"/>
    <x:col min="13" max="13" width="65" hidden="0" customWidth="1"/>
    <x:col min="14" max="14" width="84" hidden="0" customWidth="1"/>
    <x:col min="15" max="15" width="71" hidden="0" customWidth="1"/>
    <x:col min="16" max="16" width="64" hidden="0" customWidth="1"/>
    <x:col min="17" max="17" width="64" hidden="0" customWidth="1"/>
    <x:col min="18" max="18" width="74" hidden="0" customWidth="1"/>
    <x:col min="19" max="19" width="50" hidden="0" customWidth="1"/>
    <x:col min="20" max="20" width="70" hidden="0" customWidth="1"/>
    <x:col min="21" max="21" width="24" hidden="0" customWidth="1"/>
    <x:col min="22" max="22" width="19" hidden="0" customWidth="1"/>
    <x:col min="23" max="23" width="17" hidden="0" customWidth="1"/>
    <x:col min="24" max="24" width="75" hidden="0" customWidth="1"/>
    <x:col min="25" max="25" width="73" hidden="0" customWidth="1"/>
    <x:col min="26" max="26" width="26"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ht="28" customHeight="1">
      <x:c r="A2" s="3" t="str">
        <x:v>地方独特技术与船体改造</x:v>
      </x:c>
      <x:c r="B2" s="2"/>
      <x:c r="C2" s="2"/>
      <x:c r="D2" s="2"/>
      <x:c r="E2" s="2"/>
      <x:c r="F2" s="2"/>
      <x:c r="G2" s="2"/>
      <x:c r="H2" s="2"/>
      <x:c r="I2" s="2"/>
      <x:c r="J2" s="2"/>
      <x:c r="K2" s="2"/>
      <x:c r="L2" s="2"/>
      <x:c r="M2" s="2"/>
      <x:c r="N2" s="2"/>
      <x:c r="O2" s="2"/>
      <x:c r="P2" s="2"/>
      <x:c r="Q2" s="2"/>
      <x:c r="R2" s="2"/>
      <x:c r="S2" s="2"/>
      <x:c r="T2" s="2"/>
      <x:c r="U2" s="2"/>
      <x:c r="V2" s="2"/>
      <x:c r="W2" s="2"/>
      <x:c r="X2" s="2"/>
      <x:c r="Y2" s="2"/>
      <x:c r="Z2" s="2"/>
    </x:row>
    <x:row r="3">
      <x:c r="A3" s="5" t="str">
        <x:v>现金工费与另交材料分列；兼容范围、排他槽位、工期和代价均为改造条件。</x:v>
      </x:c>
      <x:c r="B3" s="2"/>
      <x:c r="C3" s="2"/>
      <x:c r="D3" s="2"/>
      <x:c r="E3" s="2"/>
      <x:c r="F3" s="2"/>
      <x:c r="G3" s="2"/>
      <x:c r="H3" s="2"/>
      <x:c r="I3" s="2"/>
      <x:c r="J3" s="2"/>
      <x:c r="K3" s="2"/>
      <x:c r="L3" s="2"/>
      <x:c r="M3" s="2"/>
      <x:c r="N3" s="2"/>
      <x:c r="O3" s="2"/>
      <x:c r="P3" s="2"/>
      <x:c r="Q3" s="2"/>
      <x:c r="R3" s="2"/>
      <x:c r="S3" s="2"/>
      <x:c r="T3" s="2"/>
      <x:c r="U3" s="2"/>
      <x:c r="V3" s="2"/>
      <x:c r="W3" s="2"/>
      <x:c r="X3" s="2"/>
      <x:c r="Y3" s="2"/>
      <x:c r="Z3" s="2"/>
    </x:row>
    <x:row r="4">
      <x:c r="A4" s="2"/>
      <x:c r="B4" s="2"/>
      <x:c r="C4" s="2"/>
      <x:c r="D4" s="2"/>
      <x:c r="E4" s="2"/>
      <x:c r="F4" s="2"/>
      <x:c r="G4" s="2"/>
      <x:c r="H4" s="2"/>
      <x:c r="I4" s="2"/>
      <x:c r="J4" s="2"/>
      <x:c r="K4" s="2"/>
      <x:c r="L4" s="2"/>
      <x:c r="M4" s="2"/>
      <x:c r="N4" s="2"/>
      <x:c r="O4" s="2"/>
      <x:c r="P4" s="2"/>
      <x:c r="Q4" s="2"/>
      <x:c r="R4" s="2"/>
      <x:c r="S4" s="2"/>
      <x:c r="T4" s="2"/>
      <x:c r="U4" s="2"/>
      <x:c r="V4" s="2"/>
      <x:c r="W4" s="2"/>
      <x:c r="X4" s="2"/>
      <x:c r="Y4" s="2"/>
      <x:c r="Z4" s="2"/>
    </x:row>
    <x:row r="5" ht="34" customHeight="1">
      <x:c r="A5" s="10" t="str">
        <x:v>改造ID</x:v>
      </x:c>
      <x:c r="B5" s="10" t="str">
        <x:v>改造</x:v>
      </x:c>
      <x:c r="C5" s="10" t="str">
        <x:v>分类</x:v>
      </x:c>
      <x:c r="D5" s="10" t="str">
        <x:v>占用槽位</x:v>
      </x:c>
      <x:c r="E5" s="10" t="str">
        <x:v>文化</x:v>
      </x:c>
      <x:c r="F5" s="10" t="str">
        <x:v>原产港</x:v>
      </x:c>
      <x:c r="G5" s="10" t="str">
        <x:v>D等级</x:v>
      </x:c>
      <x:c r="H5" s="10" t="str">
        <x:v>A等级</x:v>
      </x:c>
      <x:c r="I5" s="10" t="str">
        <x:v>现金工费（银币）</x:v>
      </x:c>
      <x:c r="J5" s="10" t="str">
        <x:v>安装游戏日</x:v>
      </x:c>
      <x:c r="K5" s="10" t="str">
        <x:v>另交材料</x:v>
      </x:c>
      <x:c r="L5" s="10" t="str">
        <x:v>材料基础总价</x:v>
      </x:c>
      <x:c r="M5" s="10" t="str">
        <x:v>作用说明</x:v>
      </x:c>
      <x:c r="N5" s="10" t="str">
        <x:v>效果参数</x:v>
      </x:c>
      <x:c r="O5" s="10" t="str">
        <x:v>操作与性能代价</x:v>
      </x:c>
      <x:c r="P5" s="10" t="str">
        <x:v>代价参数</x:v>
      </x:c>
      <x:c r="Q5" s="10" t="str">
        <x:v>外观变化</x:v>
      </x:c>
      <x:c r="R5" s="10" t="str">
        <x:v>独特解锁</x:v>
      </x:c>
      <x:c r="S5" s="10" t="str">
        <x:v>适用船型条件</x:v>
      </x:c>
      <x:c r="T5" s="10" t="str">
        <x:v>适用船型ID</x:v>
      </x:c>
      <x:c r="U5" s="10" t="str">
        <x:v>排他组</x:v>
      </x:c>
      <x:c r="V5" s="10" t="str">
        <x:v>每船最多安装</x:v>
      </x:c>
      <x:c r="W5" s="10" t="str">
        <x:v>可叠加</x:v>
      </x:c>
      <x:c r="X5" s="10" t="str">
        <x:v>材料与工费计价</x:v>
      </x:c>
      <x:c r="Y5" s="10" t="str">
        <x:v>历史与原创处理</x:v>
      </x:c>
      <x:c r="Z5" s="10" t="str">
        <x:v>资料编号</x:v>
      </x:c>
    </x:row>
    <x:row r="6" ht="102" customHeight="1">
      <x:c r="A6" s="12" t="str">
        <x:v>M001</x:v>
      </x:c>
      <x:c r="B6" s="12" t="str">
        <x:v>北海叠板护壳</x:v>
      </x:c>
      <x:c r="C6" s="12" t="str">
        <x:v>船体工艺</x:v>
      </x:c>
      <x:c r="D6" s="12" t="str">
        <x:v>结构</x:v>
      </x:c>
      <x:c r="E6" s="12" t="str">
        <x:v>北欧</x:v>
      </x:c>
      <x:c r="F6" s="12" t="str">
        <x:v>卑尔根</x:v>
      </x:c>
      <x:c r="G6" s="26" t="n">
        <x:v>1</x:v>
      </x:c>
      <x:c r="H6" s="26" t="n">
        <x:v>0</x:v>
      </x:c>
      <x:c r="I6" s="26" t="n">
        <x:v>4800</x:v>
      </x:c>
      <x:c r="J6" s="26" t="n">
        <x:v>2</x:v>
      </x:c>
      <x:c r="K6" s="12" t="str">
        <x:v>名称：松木；数量（以单位字段为准）：8；计量单位：标准贸易单位；商品 ID：G057；材料基础货值（银币）：560；可替代材料商品 ID：G055；G056；G057；G110；材料用途：木料；默认就近地区船材，也可使用列出的替代船材。；名称：铁锭；数量（以单位字段为准）：2；计量单位：标准贸易单位；商品 ID：G058；材料基础货值（银币）：240；材料用途：工坊加工原料。</x:v>
      </x:c>
      <x:c r="L6" s="26" t="n">
        <x:v>800</x:v>
      </x:c>
      <x:c r="M6" s="12" t="str">
        <x:v>强化外板接合，抵御寒海浪击。</x:v>
      </x:c>
      <x:c r="N6" s="12" t="str">
        <x:v>船体耐久倍率：1.12；波浪冲击伤害倍率：0.8</x:v>
      </x:c>
      <x:c r="O6" s="12" t="str">
        <x:v>减 12 舱位、减 0.2 节。</x:v>
      </x:c>
      <x:c r="P6" s="12" t="str">
        <x:v>载货量增减（舱容单位）：-12；航速增减（节）：-0.2</x:v>
      </x:c>
      <x:c r="Q6" s="12" t="str">
        <x:v>深色叠板边缘与一道新鲜松脂水线。</x:v>
      </x:c>
      <x:c r="R6" s="12" t="str">
        <x:v>交付“冬海木板”船匠委托。</x:v>
      </x:c>
      <x:c r="S6" s="12" t="str">
        <x:v>全部</x:v>
      </x:c>
      <x:c r="T6" s="12" t="str">
        <x:v>S001；S002；S003；S004；S005；S006；S007；S008；S009；S010；S011；S012；S013；S014；S015；S016；S017；S018；S019；S020；S021；S022；S023；S024；S025；S026；S027；S028；S029；S030；S031；S032；S033；S034；S035；S036；S037；S038；S039；S040；S041；S042；S043；S044；S045；S046；S047；S048；S049；S050；S051；S052；S053；S054；S055；S056；S057；S058；S059；S060；S061；S062；S063；S064；S065；S066；S067；S068；S069；S070；S071；S072</x:v>
      </x:c>
      <x:c r="U6" s="12" t="str">
        <x:v>结构</x:v>
      </x:c>
      <x:c r="V6" s="26" t="n">
        <x:v>1</x:v>
      </x:c>
      <x:c r="W6" s="35" t="b">
        <x:v>0</x:v>
      </x:c>
      <x:c r="X6" s="12" t="str">
        <x:v>cost 为现金工费，materials 为另交原料；不重复把材料基础价值计入工费。</x:v>
      </x:c>
      <x:c r="Y6" s="12" t="str">
        <x:v>原创游戏改造；效果与代价为游戏初值。</x:v>
      </x:c>
      <x:c r="Z6" s="12" t="str">
        <x:v>FC01</x:v>
      </x:c>
    </x:row>
    <x:row r="7" ht="102" customHeight="1">
      <x:c r="A7" s="15" t="str">
        <x:v>M002</x:v>
      </x:c>
      <x:c r="B7" s="15" t="str">
        <x:v>焦油麻索帆组</x:v>
      </x:c>
      <x:c r="C7" s="15" t="str">
        <x:v>帆装工艺</x:v>
      </x:c>
      <x:c r="D7" s="15" t="str">
        <x:v>帆装</x:v>
      </x:c>
      <x:c r="E7" s="15" t="str">
        <x:v>北海</x:v>
      </x:c>
      <x:c r="F7" s="15" t="str">
        <x:v>汉堡</x:v>
      </x:c>
      <x:c r="G7" s="30" t="n">
        <x:v>1</x:v>
      </x:c>
      <x:c r="H7" s="30" t="n">
        <x:v>1</x:v>
      </x:c>
      <x:c r="I7" s="30" t="n">
        <x:v>6200</x:v>
      </x:c>
      <x:c r="J7" s="30" t="n">
        <x:v>2</x:v>
      </x:c>
      <x:c r="K7" s="15" t="str">
        <x:v>名称：麻布；数量（以单位字段为准）：6；计量单位：标准贸易单位；商品 ID：G044；材料基础货值（银币）：870；材料用途：工坊加工原料。；名称：树脂；数量（以单位字段为准）：3；计量单位：标准贸易单位；商品 ID：G090；材料基础货值（银币）：285；材料用途：工坊加工原料。</x:v>
      </x:c>
      <x:c r="L7" s="30" t="n">
        <x:v>1155</x:v>
      </x:c>
      <x:c r="M7" s="15" t="str">
        <x:v>索具更耐雨风，减少断索造成的连续失速。</x:v>
      </x:c>
      <x:c r="N7" s="15" t="str">
        <x:v>帆具耐久倍率：1.25；雨中帆具伤害倍率：0.7</x:v>
      </x:c>
      <x:c r="O7" s="15" t="str">
        <x:v>收放帆多用 2 s。</x:v>
      </x:c>
      <x:c r="P7" s="15" t="str">
        <x:v>操帆切换时间增减（秒）：2</x:v>
      </x:c>
      <x:c r="Q7" s="15" t="str">
        <x:v>黑色粗索、深褐帆角包边，湿雨中仍有清晰线条。</x:v>
      </x:c>
      <x:c r="R7" s="15" t="str">
        <x:v>汉堡发展 D1、武装 A1。</x:v>
      </x:c>
      <x:c r="S7" s="15" t="str">
        <x:v>全部</x:v>
      </x:c>
      <x:c r="T7" s="15" t="str">
        <x:v>S001；S002；S003；S004；S005；S006；S007；S008；S009；S010；S011；S012；S013；S014；S015；S016；S017；S018；S019；S020；S021；S022；S023；S024；S025；S026；S027；S028；S029；S030；S031；S032；S033；S034；S035；S036；S037；S038；S039；S040；S041；S042；S043；S044；S045；S046；S047；S048；S049；S050；S051；S052；S053；S054；S055；S056；S057；S058；S059；S060；S061；S062；S063；S064；S065；S066；S067；S068；S069；S070；S071；S072</x:v>
      </x:c>
      <x:c r="U7" s="15" t="str">
        <x:v>帆装</x:v>
      </x:c>
      <x:c r="V7" s="30" t="n">
        <x:v>1</x:v>
      </x:c>
      <x:c r="W7" s="45" t="b">
        <x:v>0</x:v>
      </x:c>
      <x:c r="X7" s="15" t="str">
        <x:v>cost 为现金工费，materials 为另交原料；不重复把材料基础价值计入工费。</x:v>
      </x:c>
      <x:c r="Y7" s="15" t="str">
        <x:v>原创游戏改造；效果与代价为游戏初值。</x:v>
      </x:c>
      <x:c r="Z7" s="15" t="str">
        <x:v>FC01</x:v>
      </x:c>
    </x:row>
    <x:row r="8" ht="102" customHeight="1">
      <x:c r="A8" s="13" t="str">
        <x:v>M003</x:v>
      </x:c>
      <x:c r="B8" s="13" t="str">
        <x:v>汉萨滑轨货舱</x:v>
      </x:c>
      <x:c r="C8" s="13" t="str">
        <x:v>货舱布局</x:v>
      </x:c>
      <x:c r="D8" s="13" t="str">
        <x:v>货舱</x:v>
      </x:c>
      <x:c r="E8" s="13" t="str">
        <x:v>汉萨城市</x:v>
      </x:c>
      <x:c r="F8" s="13" t="str">
        <x:v>吕贝克</x:v>
      </x:c>
      <x:c r="G8" s="27" t="n">
        <x:v>2</x:v>
      </x:c>
      <x:c r="H8" s="27" t="n">
        <x:v>1</x:v>
      </x:c>
      <x:c r="I8" s="27" t="n">
        <x:v>9500</x:v>
      </x:c>
      <x:c r="J8" s="27" t="n">
        <x:v>3</x:v>
      </x:c>
      <x:c r="K8" s="13" t="str">
        <x:v>名称：松木；数量（以单位字段为准）：10；计量单位：标准贸易单位；商品 ID：G057；材料基础货值（银币）：700；可替代材料商品 ID：G055；G056；G057；G110；材料用途：木料；默认就近地区船材，也可使用列出的替代船材。；名称：铁锭；数量（以单位字段为准）：3；计量单位：标准贸易单位；商品 ID：G058；材料基础货值（银币）：360；材料用途：工坊加工原料。</x:v>
      </x:c>
      <x:c r="L8" s="27" t="n">
        <x:v>1060</x:v>
      </x:c>
      <x:c r="M8" s="13" t="str">
        <x:v>把多港契约货物分开装卸，新增两批独立货单。</x:v>
      </x:c>
      <x:c r="N8" s="13" t="str">
        <x:v>港口装载时间倍率：0.65；独立合约货批增减（批）：2</x:v>
      </x:c>
      <x:c r="O8" s="13" t="str">
        <x:v>滑轨本身占 10 舱位。</x:v>
      </x:c>
      <x:c r="P8" s="13" t="str">
        <x:v>载货量增减（舱容单位）：-10</x:v>
      </x:c>
      <x:c r="Q8" s="13" t="str">
        <x:v>舱口内露出木轨与小型滚筒，货箱刻有彩色目的港记号。</x:v>
      </x:c>
      <x:c r="R8" s="13" t="str">
        <x:v>完成一次三港交货航程。</x:v>
      </x:c>
      <x:c r="S8" s="13" t="str">
        <x:v>全部</x:v>
      </x:c>
      <x:c r="T8" s="13" t="str">
        <x:v>S001；S002；S003；S004；S005；S006；S007；S008；S009；S010；S011；S012；S013；S014；S015；S016；S017；S018；S019；S020；S021；S022；S023；S024；S025；S026；S027；S028；S029；S030；S031；S032；S033；S034；S035；S036；S037；S038；S039；S040；S041；S042；S043；S044；S045；S046；S047；S048；S049；S050；S051；S052；S053；S054；S055；S056；S057；S058；S059；S060；S061；S062；S063；S064；S065；S066；S067；S068；S069；S070；S071；S072</x:v>
      </x:c>
      <x:c r="U8" s="13" t="str">
        <x:v>货舱</x:v>
      </x:c>
      <x:c r="V8" s="27" t="n">
        <x:v>1</x:v>
      </x:c>
      <x:c r="W8" s="36" t="b">
        <x:v>0</x:v>
      </x:c>
      <x:c r="X8" s="13" t="str">
        <x:v>cost 为现金工费，materials 为另交原料；不重复把材料基础价值计入工费。</x:v>
      </x:c>
      <x:c r="Y8" s="13" t="str">
        <x:v>原创游戏改造；效果与代价为游戏初值。</x:v>
      </x:c>
      <x:c r="Z8" s="13" t="str">
        <x:v>FC02</x:v>
      </x:c>
    </x:row>
    <x:row r="9" ht="102" customHeight="1">
      <x:c r="A9" s="15" t="str">
        <x:v>M004</x:v>
      </x:c>
      <x:c r="B9" s="15" t="str">
        <x:v>冰齿包铁艏</x:v>
      </x:c>
      <x:c r="C9" s="15" t="str">
        <x:v>船艏工艺</x:v>
      </x:c>
      <x:c r="D9" s="15" t="str">
        <x:v>船艏</x:v>
      </x:c>
      <x:c r="E9" s="15" t="str">
        <x:v>波罗的海</x:v>
      </x:c>
      <x:c r="F9" s="15" t="str">
        <x:v>斯德哥尔摩</x:v>
      </x:c>
      <x:c r="G9" s="30" t="n">
        <x:v>2</x:v>
      </x:c>
      <x:c r="H9" s="30" t="n">
        <x:v>3</x:v>
      </x:c>
      <x:c r="I9" s="30" t="n">
        <x:v>17000</x:v>
      </x:c>
      <x:c r="J9" s="30" t="n">
        <x:v>4</x:v>
      </x:c>
      <x:c r="K9" s="15" t="str">
        <x:v>名称：铁锭；数量（以单位字段为准）：8；计量单位：标准贸易单位；商品 ID：G058；材料基础货值（银币）：960；材料用途：工坊加工原料。；名称：松木；数量（以单位字段为准）：6；计量单位：标准贸易单位；商品 ID：G057；材料基础货值（银币）：420；可替代材料商品 ID：G055；G056；G057；G110；材料用途：木料；默认就近地区船材，也可使用列出的替代船材。</x:v>
      </x:c>
      <x:c r="L9" s="30" t="n">
        <x:v>1380</x:v>
      </x:c>
      <x:c r="M9" s="15" t="str">
        <x:v>可推开薄碎冰，并让舰艏成为耐打的接敌面。</x:v>
      </x:c>
      <x:c r="N9" s="15" t="str">
        <x:v>浮冰碰撞伤害倍率：0.4；船艏装甲增减（点）：12</x:v>
      </x:c>
      <x:c r="O9" s="15" t="str">
        <x:v>减 0.4 节、转向减 4。</x:v>
      </x:c>
      <x:c r="P9" s="15" t="str">
        <x:v>航速增减（节）：-0.4；转向评级增减（点）：-4</x:v>
      </x:c>
      <x:c r="Q9" s="15" t="str">
        <x:v>钝而宽的包铁艏，哑黑金属像层叠冰齿。</x:v>
      </x:c>
      <x:c r="R9" s="15" t="str">
        <x:v>完成“冻海邮袋”后开放。</x:v>
      </x:c>
      <x:c r="S9" s="15" t="str">
        <x:v>全部</x:v>
      </x:c>
      <x:c r="T9" s="15" t="str">
        <x:v>S001；S002；S003；S004；S005；S006；S007；S008；S009；S010；S011；S012；S013；S014；S015；S016；S017；S018；S019；S020；S021；S022；S023；S024；S025；S026；S027；S028；S029；S030；S031；S032；S033；S034；S035；S036；S037；S038；S039；S040；S041；S042；S043；S044；S045；S046；S047；S048；S049；S050；S051；S052；S053；S054；S055；S056；S057；S058；S059；S060；S061；S062；S063；S064；S065；S066；S067；S068；S069；S070；S071；S072</x:v>
      </x:c>
      <x:c r="U9" s="15" t="str">
        <x:v>船艏</x:v>
      </x:c>
      <x:c r="V9" s="30" t="n">
        <x:v>1</x:v>
      </x:c>
      <x:c r="W9" s="45" t="b">
        <x:v>0</x:v>
      </x:c>
      <x:c r="X9" s="15" t="str">
        <x:v>cost 为现金工费，materials 为另交原料；不重复把材料基础价值计入工费。</x:v>
      </x:c>
      <x:c r="Y9" s="15" t="str">
        <x:v>原创游戏改造；效果与代价为游戏初值。</x:v>
      </x:c>
      <x:c r="Z9" s="15" t="str">
        <x:v>FC01</x:v>
      </x:c>
    </x:row>
    <x:row r="10" ht="102" customHeight="1">
      <x:c r="A10" s="13" t="str">
        <x:v>M005</x:v>
      </x:c>
      <x:c r="B10" s="13" t="str">
        <x:v>霍恩双速绞盘</x:v>
      </x:c>
      <x:c r="C10" s="13" t="str">
        <x:v>甲板机械</x:v>
      </x:c>
      <x:c r="D10" s="13" t="str">
        <x:v>甲板</x:v>
      </x:c>
      <x:c r="E10" s="13" t="str">
        <x:v>荷兰</x:v>
      </x:c>
      <x:c r="F10" s="13" t="str">
        <x:v>阿姆斯特丹</x:v>
      </x:c>
      <x:c r="G10" s="27" t="n">
        <x:v>3</x:v>
      </x:c>
      <x:c r="H10" s="27" t="n">
        <x:v>2</x:v>
      </x:c>
      <x:c r="I10" s="27" t="n">
        <x:v>21000</x:v>
      </x:c>
      <x:c r="J10" s="27" t="n">
        <x:v>4</x:v>
      </x:c>
      <x:c r="K10" s="13" t="str">
        <x:v>名称：铁锭；数量（以单位字段为准）：7；计量单位：标准贸易单位；商品 ID：G058；材料基础货值（银币）：840；材料用途：工坊加工原料。；名称：松木；数量（以单位字段为准）：5；计量单位：标准贸易单位；商品 ID：G057；材料基础货值（银币）：350；可替代材料商品 ID：G055；G056；G057；G110；材料用途：木料；默认就近地区船材，也可使用列出的替代船材。</x:v>
      </x:c>
      <x:c r="L10" s="27" t="n">
        <x:v>1190</x:v>
      </x:c>
      <x:c r="M10" s="13" t="str">
        <x:v>快速收锚与接拖缆，战斗中可以突然改变固定炮位。</x:v>
      </x:c>
      <x:c r="N10" s="13" t="str">
        <x:v>起锚时间倍率：0.5；连接拖索时间（秒）：5</x:v>
      </x:c>
      <x:c r="O10" s="13" t="str">
        <x:v>机械需要 3 名专职甲板水手。</x:v>
      </x:c>
      <x:c r="P10" s="13" t="str">
        <x:v>岗位所需船员增减（人）：3</x:v>
      </x:c>
      <x:c r="Q10" s="13" t="str">
        <x:v>两只黄铜齿轮罩夹着大型木绞盘。</x:v>
      </x:c>
      <x:c r="R10" s="13" t="str">
        <x:v>笛型船厂关系 30。</x:v>
      </x:c>
      <x:c r="S10" s="13" t="str">
        <x:v>全部</x:v>
      </x:c>
      <x:c r="T10" s="13" t="str">
        <x:v>S001；S002；S003；S004；S005；S006；S007；S008；S009；S010；S011；S012；S013；S014；S015；S016；S017；S018；S019；S020；S021；S022；S023；S024；S025；S026；S027；S028；S029；S030；S031；S032；S033；S034；S035；S036；S037；S038；S039；S040；S041；S042；S043；S044；S045；S046；S047；S048；S049；S050；S051；S052；S053；S054；S055；S056；S057；S058；S059；S060；S061；S062；S063；S064；S065；S066；S067；S068；S069；S070；S071；S072</x:v>
      </x:c>
      <x:c r="U10" s="13" t="str">
        <x:v>甲板</x:v>
      </x:c>
      <x:c r="V10" s="27" t="n">
        <x:v>1</x:v>
      </x:c>
      <x:c r="W10" s="36" t="b">
        <x:v>0</x:v>
      </x:c>
      <x:c r="X10" s="13" t="str">
        <x:v>cost 为现金工费，materials 为另交原料；不重复把材料基础价值计入工费。</x:v>
      </x:c>
      <x:c r="Y10" s="13" t="str">
        <x:v>原创游戏改造；效果与代价为游戏初值。</x:v>
      </x:c>
      <x:c r="Z10" s="13" t="str">
        <x:v>FC02</x:v>
      </x:c>
    </x:row>
    <x:row r="11" ht="102" customHeight="1">
      <x:c r="A11" s="15" t="str">
        <x:v>M006</x:v>
      </x:c>
      <x:c r="B11" s="15" t="str">
        <x:v>极光旗语桅</x:v>
      </x:c>
      <x:c r="C11" s="15" t="str">
        <x:v>指挥装置</x:v>
      </x:c>
      <x:c r="D11" s="15" t="str">
        <x:v>船艉</x:v>
      </x:c>
      <x:c r="E11" s="15" t="str">
        <x:v>波罗的海</x:v>
      </x:c>
      <x:c r="F11" s="15" t="str">
        <x:v>哥本哈根</x:v>
      </x:c>
      <x:c r="G11" s="30" t="n">
        <x:v>4</x:v>
      </x:c>
      <x:c r="H11" s="30" t="n">
        <x:v>4</x:v>
      </x:c>
      <x:c r="I11" s="30" t="n">
        <x:v>32000</x:v>
      </x:c>
      <x:c r="J11" s="30" t="n">
        <x:v>5</x:v>
      </x:c>
      <x:c r="K11" s="15" t="str">
        <x:v>名称：麻布；数量（以单位字段为准）：4；计量单位：标准贸易单位；商品 ID：G044；材料基础货值（银币）：580；材料用途：工坊加工原料。；名称：玻璃器皿；数量（以单位字段为准）：4；计量单位：标准贸易单位；商品 ID：G071；材料基础货值（银币）：1240；材料用途：工坊加工原料。；名称：铜锭；数量（以单位字段为准）：4；计量单位：标准贸易单位；商品 ID：G059；材料基础货值（银币）：740；材料用途：工坊加工原料。</x:v>
      </x:c>
      <x:c r="L11" s="30" t="n">
        <x:v>2560</x:v>
      </x:c>
      <x:c r="M11" s="15" t="str">
        <x:v>僚舰看得更远；命令路径以颜色不同的旗绳表示。</x:v>
      </x:c>
      <x:c r="N11" s="15" t="str">
        <x:v>舰队指挥半径增减（米）：300；旗语传令延迟增减（秒）：-2</x:v>
      </x:c>
      <x:c r="O11" s="15" t="str">
        <x:v>艉部更暴露，被发现距离 +15%。</x:v>
      </x:c>
      <x:c r="P11" s="15" t="str">
        <x:v>船艉装甲增减（点）：-5；被侦测半径倍率：1.15</x:v>
      </x:c>
      <x:c r="Q11" s="15" t="str">
        <x:v>高艉桅挂三层淡绿、白、紫信号旗，夜里有罩灯。</x:v>
      </x:c>
      <x:c r="R11" s="15" t="str">
        <x:v>完成“暴雪中的第五条船”护送。</x:v>
      </x:c>
      <x:c r="S11" s="15" t="str">
        <x:v>全部</x:v>
      </x:c>
      <x:c r="T11" s="15" t="str">
        <x:v>S001；S002；S003；S004；S005；S006；S007；S008；S009；S010；S011；S012；S013；S014；S015；S016；S017；S018；S019；S020；S021；S022；S023；S024；S025；S026；S027；S028；S029；S030；S031；S032；S033；S034；S035；S036；S037；S038；S039；S040；S041；S042；S043；S044；S045；S046；S047；S048；S049；S050；S051；S052；S053；S054；S055；S056；S057；S058；S059；S060；S061；S062；S063；S064；S065；S066；S067；S068；S069；S070；S071；S072</x:v>
      </x:c>
      <x:c r="U11" s="15" t="str">
        <x:v>船艉</x:v>
      </x:c>
      <x:c r="V11" s="30" t="n">
        <x:v>1</x:v>
      </x:c>
      <x:c r="W11" s="45" t="b">
        <x:v>0</x:v>
      </x:c>
      <x:c r="X11" s="15" t="str">
        <x:v>cost 为现金工费，materials 为另交原料；不重复把材料基础价值计入工费。</x:v>
      </x:c>
      <x:c r="Y11" s="15" t="str">
        <x:v>原创游戏改造；效果与代价为游戏初值。</x:v>
      </x:c>
      <x:c r="Z11" s="15" t="str">
        <x:v>FC00</x:v>
      </x:c>
    </x:row>
    <x:row r="12" ht="102" customHeight="1">
      <x:c r="A12" s="13" t="str">
        <x:v>M007</x:v>
      </x:c>
      <x:c r="B12" s="13" t="str">
        <x:v>伊比利亚分级缩帆索</x:v>
      </x:c>
      <x:c r="C12" s="13" t="str">
        <x:v>帆装工艺</x:v>
      </x:c>
      <x:c r="D12" s="13" t="str">
        <x:v>帆装</x:v>
      </x:c>
      <x:c r="E12" s="13" t="str">
        <x:v>葡萄牙</x:v>
      </x:c>
      <x:c r="F12" s="13" t="str">
        <x:v>里斯本</x:v>
      </x:c>
      <x:c r="G12" s="27" t="n">
        <x:v>1</x:v>
      </x:c>
      <x:c r="H12" s="27" t="n">
        <x:v>1</x:v>
      </x:c>
      <x:c r="I12" s="27" t="n">
        <x:v>7300</x:v>
      </x:c>
      <x:c r="J12" s="27" t="n">
        <x:v>2</x:v>
      </x:c>
      <x:c r="K12" s="13" t="str">
        <x:v>名称：麻布；数量（以单位字段为准）：5；计量单位：标准贸易单位；商品 ID：G044；材料基础货值（银币）：725；材料用途：工坊加工原料。；名称：树脂；数量（以单位字段为准）：2；计量单位：标准贸易单位；商品 ID：G090；材料基础货值（银币）：190；材料用途：工坊加工原料。</x:v>
      </x:c>
      <x:c r="L12" s="27" t="n">
        <x:v>915</x:v>
      </x:c>
      <x:c r="M12" s="13" t="str">
        <x:v>可在阵风预告里点选分段缩帆，迅速保住主桅。</x:v>
      </x:c>
      <x:c r="N12" s="13" t="str">
        <x:v>缩帆时间（秒）：4；阵风帆具伤害倍率：0.65</x:v>
      </x:c>
      <x:c r="O12" s="13" t="str">
        <x:v>最高帆速 -3%。</x:v>
      </x:c>
      <x:c r="P12" s="13" t="str">
        <x:v>最大航速倍率：0.97</x:v>
      </x:c>
      <x:c r="Q12" s="13" t="str">
        <x:v>主帆多出三条整齐横向缩帆绳。</x:v>
      </x:c>
      <x:c r="R12" s="13" t="str">
        <x:v>里斯本发展 D1、武装 A1。</x:v>
      </x:c>
      <x:c r="S12" s="13" t="str">
        <x:v>全部</x:v>
      </x:c>
      <x:c r="T12" s="13" t="str">
        <x:v>S001；S002；S003；S004；S005；S006；S007；S008；S009；S010；S011；S012；S013；S014；S015；S016；S017；S018；S019；S020；S021；S022；S023；S024；S025；S026；S027；S028；S029；S030；S031；S032；S033；S034；S035；S036；S037；S038；S039；S040；S041；S042；S043；S044；S045；S046；S047；S048；S049；S050；S051；S052；S053；S054；S055；S056；S057；S058；S059；S060；S061；S062；S063；S064；S065；S066；S067；S068；S069；S070；S071；S072</x:v>
      </x:c>
      <x:c r="U12" s="13" t="str">
        <x:v>帆装</x:v>
      </x:c>
      <x:c r="V12" s="27" t="n">
        <x:v>1</x:v>
      </x:c>
      <x:c r="W12" s="36" t="b">
        <x:v>0</x:v>
      </x:c>
      <x:c r="X12" s="13" t="str">
        <x:v>cost 为现金工费，materials 为另交原料；不重复把材料基础价值计入工费。</x:v>
      </x:c>
      <x:c r="Y12" s="13" t="str">
        <x:v>原创游戏改造；效果与代价为游戏初值。</x:v>
      </x:c>
      <x:c r="Z12" s="13" t="str">
        <x:v>FC01</x:v>
      </x:c>
    </x:row>
    <x:row r="13" ht="102" customHeight="1">
      <x:c r="A13" s="15" t="str">
        <x:v>M008</x:v>
      </x:c>
      <x:c r="B13" s="15" t="str">
        <x:v>铜底星衣</x:v>
      </x:c>
      <x:c r="C13" s="15" t="str">
        <x:v>船体工艺</x:v>
      </x:c>
      <x:c r="D13" s="15" t="str">
        <x:v>结构</x:v>
      </x:c>
      <x:c r="E13" s="15" t="str">
        <x:v>西欧</x:v>
      </x:c>
      <x:c r="F13" s="15" t="str">
        <x:v>伦敦</x:v>
      </x:c>
      <x:c r="G13" s="30" t="n">
        <x:v>5</x:v>
      </x:c>
      <x:c r="H13" s="30" t="n">
        <x:v>4</x:v>
      </x:c>
      <x:c r="I13" s="30" t="n">
        <x:v>72000</x:v>
      </x:c>
      <x:c r="J13" s="30" t="n">
        <x:v>6</x:v>
      </x:c>
      <x:c r="K13" s="15" t="str">
        <x:v>名称：铜锭；数量（以单位字段为准）：24；计量单位：标准贸易单位；商品 ID：G059；材料基础货值（银币）：4440；材料用途：工坊加工原料。；名称：铁锭；数量（以单位字段为准）：5；计量单位：标准贸易单位；商品 ID：G058；材料基础货值（银币）：600；材料用途：工坊加工原料。</x:v>
      </x:c>
      <x:c r="L13" s="30" t="n">
        <x:v>5040</x:v>
      </x:c>
      <x:c r="M13" s="15" t="str">
        <x:v>长期远航保持船底洁净，减少返港清底次数。</x:v>
      </x:c>
      <x:c r="N13" s="15" t="str">
        <x:v>每日船底附着物增长倍率：0.2；船底附着物航速惩罚倍率：0.25</x:v>
      </x:c>
      <x:c r="O13" s="15" t="str">
        <x:v>船体修理费用 +15%。</x:v>
      </x:c>
      <x:c r="P13" s="15" t="str">
        <x:v>修理费用倍率：1.15</x:v>
      </x:c>
      <x:c r="Q13" s="15" t="str">
        <x:v>水线以下覆盖温润铜片，航行中闪烁细小金光。</x:v>
      </x:c>
      <x:c r="R13" s="15" t="str">
        <x:v>完成“铜底试航”；需 D5/A4。</x:v>
      </x:c>
      <x:c r="S13" s="15" t="str">
        <x:v>全部</x:v>
      </x:c>
      <x:c r="T13" s="15" t="str">
        <x:v>S001；S002；S003；S004；S005；S006；S007；S008；S009；S010；S011；S012；S013；S014；S015；S016；S017；S018；S019；S020；S021；S022；S023；S024；S025；S026；S027；S028；S029；S030；S031；S032；S033；S034；S035；S036；S037；S038；S039；S040；S041；S042；S043；S044；S045；S046；S047；S048；S049；S050；S051；S052；S053；S054；S055；S056；S057；S058；S059；S060；S061；S062；S063；S064；S065；S066；S067；S068；S069；S070；S071；S072</x:v>
      </x:c>
      <x:c r="U13" s="15" t="str">
        <x:v>结构</x:v>
      </x:c>
      <x:c r="V13" s="30" t="n">
        <x:v>1</x:v>
      </x:c>
      <x:c r="W13" s="45" t="b">
        <x:v>0</x:v>
      </x:c>
      <x:c r="X13" s="15" t="str">
        <x:v>cost 为现金工费，materials 为另交原料；不重复把材料基础价值计入工费。</x:v>
      </x:c>
      <x:c r="Y13" s="15" t="str">
        <x:v>铜包底取后期帆船工艺；明确作为 18 世纪后段科技融合，不当作开局古老工艺。</x:v>
      </x:c>
      <x:c r="Z13" s="15" t="str">
        <x:v>FC19</x:v>
      </x:c>
    </x:row>
    <x:row r="14" ht="102" customHeight="1">
      <x:c r="A14" s="13" t="str">
        <x:v>M009</x:v>
      </x:c>
      <x:c r="B14" s="13" t="str">
        <x:v>海燕削浪龙骨</x:v>
      </x:c>
      <x:c r="C14" s="13" t="str">
        <x:v>船体工艺</x:v>
      </x:c>
      <x:c r="D14" s="13" t="str">
        <x:v>结构</x:v>
      </x:c>
      <x:c r="E14" s="13" t="str">
        <x:v>巴斯克</x:v>
      </x:c>
      <x:c r="F14" s="13" t="str">
        <x:v>毕尔巴鄂</x:v>
      </x:c>
      <x:c r="G14" s="27" t="n">
        <x:v>3</x:v>
      </x:c>
      <x:c r="H14" s="27" t="n">
        <x:v>2</x:v>
      </x:c>
      <x:c r="I14" s="27" t="n">
        <x:v>24000</x:v>
      </x:c>
      <x:c r="J14" s="27" t="n">
        <x:v>4</x:v>
      </x:c>
      <x:c r="K14" s="13" t="str">
        <x:v>名称：橡木；数量（以单位字段为准）：16；计量单位：标准贸易单位；商品 ID：G056；材料基础货值（银币）：1440；可替代材料商品 ID：G055；G056；G057；G110；材料用途：木料；默认就近地区船材，也可使用列出的替代船材。；名称：铁锭；数量（以单位字段为准）：4；计量单位：标准贸易单位；商品 ID：G058；材料基础货值（银币）：480；材料用途：工坊加工原料。</x:v>
      </x:c>
      <x:c r="L14" s="27" t="n">
        <x:v>1920</x:v>
      </x:c>
      <x:c r="M14" s="13" t="str">
        <x:v>削长水下前脚，迎浪时更容易保持速度。</x:v>
      </x:c>
      <x:c r="N14" s="13" t="str">
        <x:v>顶浪航速惩罚倍率：0.65；航速增减（节）：0.5</x:v>
      </x:c>
      <x:c r="O14" s="13" t="str">
        <x:v>吃水 +0.3 m、货舱 -18。</x:v>
      </x:c>
      <x:c r="P14" s="13" t="str">
        <x:v>吃水增减（米）：0.3；载货量增减（舱容单位）：-18</x:v>
      </x:c>
      <x:c r="Q14" s="13" t="str">
        <x:v>舰艏水线形成更细更长的白浪。</x:v>
      </x:c>
      <x:c r="R14" s="13" t="str">
        <x:v>完成“北湾竞航”。</x:v>
      </x:c>
      <x:c r="S14" s="13" t="str">
        <x:v>帆船非筏舟</x:v>
      </x:c>
      <x:c r="T14" s="13" t="str">
        <x:v>S001；S002；S003；S004；S005；S006；S007；S008；S009；S010；S011；S012；S013；S014；S015；S016；S017；S018；S019；S020；S021；S022；S023；S024；S025；S026；S027；S028；S029；S030；S031；S032；S033；S034；S035；S036；S037；S038；S039；S040；S041；S042；S043；S044；S045；S046；S047；S048；S049；S050；S051；S052；S053；S054；S055；S056；S057；S058；S059；S060；S061；S062；S063；S065；S066；S067；S068；S069；S070；S071；S072</x:v>
      </x:c>
      <x:c r="U14" s="13" t="str">
        <x:v>结构</x:v>
      </x:c>
      <x:c r="V14" s="27" t="n">
        <x:v>1</x:v>
      </x:c>
      <x:c r="W14" s="36" t="b">
        <x:v>0</x:v>
      </x:c>
      <x:c r="X14" s="13" t="str">
        <x:v>cost 为现金工费，materials 为另交原料；不重复把材料基础价值计入工费。</x:v>
      </x:c>
      <x:c r="Y14" s="13" t="str">
        <x:v>原创游戏改造；效果与代价为游戏初值。</x:v>
      </x:c>
      <x:c r="Z14" s="13" t="str">
        <x:v>FC05</x:v>
      </x:c>
    </x:row>
    <x:row r="15" ht="102" customHeight="1">
      <x:c r="A15" s="15" t="str">
        <x:v>M010</x:v>
      </x:c>
      <x:c r="B15" s="15" t="str">
        <x:v>平接轻骨外壳</x:v>
      </x:c>
      <x:c r="C15" s="15" t="str">
        <x:v>船体工艺</x:v>
      </x:c>
      <x:c r="D15" s="15" t="str">
        <x:v>结构</x:v>
      </x:c>
      <x:c r="E15" s="15" t="str">
        <x:v>葡萄牙</x:v>
      </x:c>
      <x:c r="F15" s="15" t="str">
        <x:v>波尔图</x:v>
      </x:c>
      <x:c r="G15" s="30" t="n">
        <x:v>2</x:v>
      </x:c>
      <x:c r="H15" s="30" t="n">
        <x:v>1</x:v>
      </x:c>
      <x:c r="I15" s="30" t="n">
        <x:v>18000</x:v>
      </x:c>
      <x:c r="J15" s="30" t="n">
        <x:v>3</x:v>
      </x:c>
      <x:c r="K15" s="15" t="str">
        <x:v>名称：橡木；数量（以单位字段为准）：14；计量单位：标准贸易单位；商品 ID：G056；材料基础货值（银币）：1260；可替代材料商品 ID：G055；G056；G057；G110；材料用途：木料；默认就近地区船材，也可使用列出的替代船材。；名称：铁锭；数量（以单位字段为准）：3；计量单位：标准贸易单位；商品 ID：G058；材料基础货值（银币）：360；材料用途：工坊加工原料。</x:v>
      </x:c>
      <x:c r="L15" s="30" t="n">
        <x:v>1620</x:v>
      </x:c>
      <x:c r="M15" s="15" t="str">
        <x:v>轻量化外壳使航速和响应增加。</x:v>
      </x:c>
      <x:c r="N15" s="15" t="str">
        <x:v>航速增减（节）：0.7；转向评级增减（点）：5</x:v>
      </x:c>
      <x:c r="O15" s="15" t="str">
        <x:v>船体耐久 -10%。</x:v>
      </x:c>
      <x:c r="P15" s="15" t="str">
        <x:v>船体耐久倍率：0.9</x:v>
      </x:c>
      <x:c r="Q15" s="15" t="str">
        <x:v>板缝平整的浅色外板，船艉拆去一层沉重饰面。</x:v>
      </x:c>
      <x:c r="R15" s="15" t="str">
        <x:v>波尔图发展 D2、武装 A1。</x:v>
      </x:c>
      <x:c r="S15" s="15" t="str">
        <x:v>全部</x:v>
      </x:c>
      <x:c r="T15" s="15" t="str">
        <x:v>S001；S002；S003；S004；S005；S006；S007；S008；S009；S010；S011；S012；S013；S014；S015；S016；S017；S018；S019；S020；S021；S022；S023；S024；S025；S026；S027；S028；S029；S030；S031；S032；S033；S034；S035；S036；S037；S038；S039；S040；S041；S042；S043；S044；S045；S046；S047；S048；S049；S050；S051；S052；S053；S054；S055；S056；S057；S058；S059；S060；S061；S062；S063；S064；S065；S066；S067；S068；S069；S070；S071；S072</x:v>
      </x:c>
      <x:c r="U15" s="15" t="str">
        <x:v>结构</x:v>
      </x:c>
      <x:c r="V15" s="30" t="n">
        <x:v>1</x:v>
      </x:c>
      <x:c r="W15" s="45" t="b">
        <x:v>0</x:v>
      </x:c>
      <x:c r="X15" s="15" t="str">
        <x:v>cost 为现金工费，materials 为另交原料；不重复把材料基础价值计入工费。</x:v>
      </x:c>
      <x:c r="Y15" s="15" t="str">
        <x:v>原创游戏改造；效果与代价为游戏初值。</x:v>
      </x:c>
      <x:c r="Z15" s="15" t="str">
        <x:v>FC01</x:v>
      </x:c>
    </x:row>
    <x:row r="16" ht="102" customHeight="1">
      <x:c r="A16" s="13" t="str">
        <x:v>M011</x:v>
      </x:c>
      <x:c r="B16" s="13" t="str">
        <x:v>可调石铁压舱室</x:v>
      </x:c>
      <x:c r="C16" s="13" t="str">
        <x:v>货舱布局</x:v>
      </x:c>
      <x:c r="D16" s="13" t="str">
        <x:v>货舱</x:v>
      </x:c>
      <x:c r="E16" s="13" t="str">
        <x:v>西欧</x:v>
      </x:c>
      <x:c r="F16" s="13" t="str">
        <x:v>布雷斯特</x:v>
      </x:c>
      <x:c r="G16" s="27" t="n">
        <x:v>3</x:v>
      </x:c>
      <x:c r="H16" s="27" t="n">
        <x:v>3</x:v>
      </x:c>
      <x:c r="I16" s="27" t="n">
        <x:v>26500</x:v>
      </x:c>
      <x:c r="J16" s="27" t="n">
        <x:v>4</x:v>
      </x:c>
      <x:c r="K16" s="13" t="str">
        <x:v>名称：铁锭；数量（以单位字段为准）：10；计量单位：标准贸易单位；商品 ID：G058；材料基础货值（银币）：1200；材料用途：工坊加工原料。；名称：橡木；数量（以单位字段为准）：7；计量单位：标准贸易单位；商品 ID：G056；材料基础货值（银币）：630；可替代材料商品 ID：G055；G056；G057；G110；材料用途：木料；默认就近地区船材，也可使用列出的替代船材。</x:v>
      </x:c>
      <x:c r="L16" s="27" t="n">
        <x:v>1830</x:v>
      </x:c>
      <x:c r="M16" s="13" t="str">
        <x:v>战斗前选择稳定或机动压舱；稳定档降低横摇炮散布。</x:v>
      </x:c>
      <x:c r="N16" s="13" t="str">
        <x:v>横摇炮击惩罚倍率：0.5；压舱物移位时间（秒）：8</x:v>
      </x:c>
      <x:c r="O16" s="13" t="str">
        <x:v>占 35 舱位；稳定档速度 -4%。</x:v>
      </x:c>
      <x:c r="P16" s="13" t="str">
        <x:v>载货量增减（舱容单位）：-35；压舱稳定状态航速倍率：0.96</x:v>
      </x:c>
      <x:c r="Q16" s="13" t="str">
        <x:v>船腹新增低位舱门，甲板图上出现可移动配重标记。</x:v>
      </x:c>
      <x:c r="R16" s="13" t="str">
        <x:v>完成一次横浪炮术竞赛。</x:v>
      </x:c>
      <x:c r="S16" s="13" t="str">
        <x:v>有炮位船</x:v>
      </x:c>
      <x:c r="T16" s="13" t="str">
        <x:v>S001；S002；S003；S004；S005；S006；S007；S008；S009；S010；S011；S012；S013；S014；S015；S016；S017；S018；S020；S021；S022；S023；S024；S025；S026；S027；S028；S029；S030；S031；S032；S033；S034；S035；S036；S037；S038；S039；S040；S041；S042；S043；S044；S045；S046；S047；S048；S049；S050；S051；S052；S053；S054；S055；S056；S057；S058；S059；S060；S061；S062；S063；S065；S066；S067；S069；S070；S071；S072</x:v>
      </x:c>
      <x:c r="U16" s="13" t="str">
        <x:v>货舱</x:v>
      </x:c>
      <x:c r="V16" s="27" t="n">
        <x:v>1</x:v>
      </x:c>
      <x:c r="W16" s="36" t="b">
        <x:v>0</x:v>
      </x:c>
      <x:c r="X16" s="13" t="str">
        <x:v>cost 为现金工费，materials 为另交原料；不重复把材料基础价值计入工费。</x:v>
      </x:c>
      <x:c r="Y16" s="13" t="str">
        <x:v>原创游戏改造；效果与代价为游戏初值。</x:v>
      </x:c>
      <x:c r="Z16" s="13" t="str">
        <x:v>FC03</x:v>
      </x:c>
    </x:row>
    <x:row r="17" ht="102" customHeight="1">
      <x:c r="A17" s="15" t="str">
        <x:v>M012</x:v>
      </x:c>
      <x:c r="B17" s="15" t="str">
        <x:v>黄铜星盘观测台</x:v>
      </x:c>
      <x:c r="C17" s="15" t="str">
        <x:v>导航器具</x:v>
      </x:c>
      <x:c r="D17" s="15" t="str">
        <x:v>通用</x:v>
      </x:c>
      <x:c r="E17" s="15" t="str">
        <x:v>葡萄牙—西欧</x:v>
      </x:c>
      <x:c r="F17" s="15" t="str">
        <x:v>塞维利亚</x:v>
      </x:c>
      <x:c r="G17" s="30" t="n">
        <x:v>2</x:v>
      </x:c>
      <x:c r="H17" s="30" t="n">
        <x:v>1</x:v>
      </x:c>
      <x:c r="I17" s="30" t="n">
        <x:v>14000</x:v>
      </x:c>
      <x:c r="J17" s="30" t="n">
        <x:v>3</x:v>
      </x:c>
      <x:c r="K17" s="15" t="str">
        <x:v>名称：铜锭；数量（以单位字段为准）：5；计量单位：标准贸易单位；商品 ID：G059；材料基础货值（银币）：925；材料用途：工坊加工原料。；名称：玻璃器皿；数量（以单位字段为准）：2；计量单位：标准贸易单位；商品 ID：G071；材料基础货值（银币）：620；材料用途：工坊加工原料。</x:v>
      </x:c>
      <x:c r="L17" s="30" t="n">
        <x:v>1545</x:v>
      </x:c>
      <x:c r="M17" s="15" t="str">
        <x:v>晴空时做一次星盘观测，收紧世界地图上的船位误差圈。</x:v>
      </x:c>
      <x:c r="N17" s="15" t="str">
        <x:v>纬度测量时间（秒）：8；远洋定位误差倍率：0.55</x:v>
      </x:c>
      <x:c r="O17" s="15" t="str">
        <x:v>器材与台座占 6 舱位。</x:v>
      </x:c>
      <x:c r="P17" s="15" t="str">
        <x:v>载货量增减（舱容单位）：-6</x:v>
      </x:c>
      <x:c r="Q17" s="15" t="str">
        <x:v>小型铜星盘装在可折叠柚木台上，透出温暖反光。</x:v>
      </x:c>
      <x:c r="R17" s="15" t="str">
        <x:v>完成“同一颗星的两座港口”。</x:v>
      </x:c>
      <x:c r="S17" s="15" t="str">
        <x:v>全部</x:v>
      </x:c>
      <x:c r="T17" s="15" t="str">
        <x:v>S001；S002；S003；S004；S005；S006；S007；S008；S009；S010；S011；S012；S013；S014；S015；S016；S017；S018；S019；S020；S021；S022；S023；S024；S025；S026；S027；S028；S029；S030；S031；S032；S033；S034；S035；S036；S037；S038；S039；S040；S041；S042；S043；S044；S045；S046；S047；S048；S049；S050；S051；S052；S053；S054；S055；S056；S057；S058；S059；S060；S061；S062；S063；S064；S065；S066；S067；S068；S069；S070；S071；S072</x:v>
      </x:c>
      <x:c r="U17" s="15" t="str">
        <x:v>同名改造</x:v>
      </x:c>
      <x:c r="V17" s="30" t="n">
        <x:v>1</x:v>
      </x:c>
      <x:c r="W17" s="45" t="b">
        <x:v>0</x:v>
      </x:c>
      <x:c r="X17" s="15" t="str">
        <x:v>cost 为现金工费，materials 为另交原料；不重复把材料基础价值计入工费。</x:v>
      </x:c>
      <x:c r="Y17" s="15" t="str">
        <x:v>原创游戏改造；效果与代价为游戏初值。</x:v>
      </x:c>
      <x:c r="Z17" s="15" t="str">
        <x:v>FC16</x:v>
      </x:c>
    </x:row>
    <x:row r="18" ht="72" customHeight="1">
      <x:c r="A18" s="13" t="str">
        <x:v>M013</x:v>
      </x:c>
      <x:c r="B18" s="13" t="str">
        <x:v>双层桨座</x:v>
      </x:c>
      <x:c r="C18" s="13" t="str">
        <x:v>推进工艺</x:v>
      </x:c>
      <x:c r="D18" s="13" t="str">
        <x:v>甲板</x:v>
      </x:c>
      <x:c r="E18" s="13" t="str">
        <x:v>地中海</x:v>
      </x:c>
      <x:c r="F18" s="13" t="str">
        <x:v>威尼斯</x:v>
      </x:c>
      <x:c r="G18" s="27" t="n">
        <x:v>2</x:v>
      </x:c>
      <x:c r="H18" s="27" t="n">
        <x:v>2</x:v>
      </x:c>
      <x:c r="I18" s="27" t="n">
        <x:v>19500</x:v>
      </x:c>
      <x:c r="J18" s="27" t="n">
        <x:v>3</x:v>
      </x:c>
      <x:c r="K18" s="13" t="str">
        <x:v>名称：橡木；数量（以单位字段为准）：14；计量单位：标准贸易单位；商品 ID：G056；材料基础货值（银币）：1260；可替代材料商品 ID：G055；G056；G057；G110；材料用途：木料；默认就近地区船材，也可使用列出的替代船材。；名称：铁锭；数量（以单位字段为准）：3；计量单位：标准贸易单位；商品 ID：G058；材料基础货值（银币）：360；材料用途：工坊加工原料。</x:v>
      </x:c>
      <x:c r="L18" s="27" t="n">
        <x:v>1620</x:v>
      </x:c>
      <x:c r="M18" s="13" t="str">
        <x:v>额外桨手增加无风机动和冲桨时间。</x:v>
      </x:c>
      <x:c r="N18" s="13" t="str">
        <x:v>划桨航速增减（节）：1.0；划桨冲刺持续时间增减（秒）：6</x:v>
      </x:c>
      <x:c r="O18" s="13" t="str">
        <x:v>最低船员 +18、货舱 -25。</x:v>
      </x:c>
      <x:c r="P18" s="13" t="str">
        <x:v>最低船员人数增减（人）：18；载货量增减（舱容单位）：-25</x:v>
      </x:c>
      <x:c r="Q18" s="13" t="str">
        <x:v>舷边增加一排浅金桨孔。</x:v>
      </x:c>
      <x:c r="R18" s="13" t="str">
        <x:v>威尼斯武装 A2。</x:v>
      </x:c>
      <x:c r="S18" s="13" t="str">
        <x:v>桨帆船</x:v>
      </x:c>
      <x:c r="T18" s="13" t="str">
        <x:v>S004；S014；S015；S016；S017；S019；S020；S027；S035；S037；S038；S041；S042；S053；S054；S055；S056；S065；S068；S070；S071；S072</x:v>
      </x:c>
      <x:c r="U18" s="13" t="str">
        <x:v>甲板</x:v>
      </x:c>
      <x:c r="V18" s="27" t="n">
        <x:v>1</x:v>
      </x:c>
      <x:c r="W18" s="36" t="b">
        <x:v>0</x:v>
      </x:c>
      <x:c r="X18" s="13" t="str">
        <x:v>cost 为现金工费，materials 为另交原料；不重复把材料基础价值计入工费。</x:v>
      </x:c>
      <x:c r="Y18" s="13" t="str">
        <x:v>原创游戏改造；效果与代价为游戏初值。</x:v>
      </x:c>
      <x:c r="Z18" s="13" t="str">
        <x:v>FC06</x:v>
      </x:c>
    </x:row>
    <x:row r="19" ht="72" customHeight="1">
      <x:c r="A19" s="15" t="str">
        <x:v>M014</x:v>
      </x:c>
      <x:c r="B19" s="15" t="str">
        <x:v>差速舷桨联令台</x:v>
      </x:c>
      <x:c r="C19" s="15" t="str">
        <x:v>推进工艺</x:v>
      </x:c>
      <x:c r="D19" s="15" t="str">
        <x:v>船艉</x:v>
      </x:c>
      <x:c r="E19" s="15" t="str">
        <x:v>亚得里亚海</x:v>
      </x:c>
      <x:c r="F19" s="15" t="str">
        <x:v>拉古萨</x:v>
      </x:c>
      <x:c r="G19" s="30" t="n">
        <x:v>3</x:v>
      </x:c>
      <x:c r="H19" s="30" t="n">
        <x:v>3</x:v>
      </x:c>
      <x:c r="I19" s="30" t="n">
        <x:v>26000</x:v>
      </x:c>
      <x:c r="J19" s="30" t="n">
        <x:v>4</x:v>
      </x:c>
      <x:c r="K19" s="15" t="str">
        <x:v>名称：橡木；数量（以单位字段为准）：10；计量单位：标准贸易单位；商品 ID：G056；材料基础货值（银币）：900；可替代材料商品 ID：G055；G056；G057；G110；材料用途：木料；默认就近地区船材，也可使用列出的替代船材。；名称：麻布；数量（以单位字段为准）：4；计量单位：标准贸易单位；商品 ID：G044；材料基础货值（银币）：580；材料用途：工坊加工原料。</x:v>
      </x:c>
      <x:c r="L19" s="30" t="n">
        <x:v>1480</x:v>
      </x:c>
      <x:c r="M19" s="15" t="str">
        <x:v>提供左前右后两档反桨命令，可原地回转艏炮。</x:v>
      </x:c>
      <x:c r="N19" s="15" t="str">
        <x:v>原地转向时间（秒）：8；倒桨航速增减（节）：1.5</x:v>
      </x:c>
      <x:c r="O19" s="15" t="str">
        <x:v>使用差速期间桨手疲劳 +20%。</x:v>
      </x:c>
      <x:c r="P19" s="15" t="str">
        <x:v>桨手每秒疲劳倍率：1.2</x:v>
      </x:c>
      <x:c r="Q19" s="15" t="str">
        <x:v>艉部一根交叉控制杆，两侧挂红白指令板。</x:v>
      </x:c>
      <x:c r="R19" s="15" t="str">
        <x:v>完成“狭门回身”试航。</x:v>
      </x:c>
      <x:c r="S19" s="15" t="str">
        <x:v>桨帆船</x:v>
      </x:c>
      <x:c r="T19" s="15" t="str">
        <x:v>S004；S014；S015；S016；S017；S019；S020；S027；S035；S037；S038；S041；S042；S053；S054；S055；S056；S065；S068；S070；S071；S072</x:v>
      </x:c>
      <x:c r="U19" s="15" t="str">
        <x:v>船艉</x:v>
      </x:c>
      <x:c r="V19" s="30" t="n">
        <x:v>1</x:v>
      </x:c>
      <x:c r="W19" s="45" t="b">
        <x:v>0</x:v>
      </x:c>
      <x:c r="X19" s="15" t="str">
        <x:v>cost 为现金工费，materials 为另交原料；不重复把材料基础价值计入工费。</x:v>
      </x:c>
      <x:c r="Y19" s="15" t="str">
        <x:v>原创游戏改造；效果与代价为游戏初值。</x:v>
      </x:c>
      <x:c r="Z19" s="15" t="str">
        <x:v>FC06</x:v>
      </x:c>
    </x:row>
    <x:row r="20" ht="102" customHeight="1">
      <x:c r="A20" s="13" t="str">
        <x:v>M015</x:v>
      </x:c>
      <x:c r="B20" s="13" t="str">
        <x:v>三翼拉丁帆</x:v>
      </x:c>
      <x:c r="C20" s="13" t="str">
        <x:v>帆装工艺</x:v>
      </x:c>
      <x:c r="D20" s="13" t="str">
        <x:v>帆装</x:v>
      </x:c>
      <x:c r="E20" s="13" t="str">
        <x:v>马格里布</x:v>
      </x:c>
      <x:c r="F20" s="13" t="str">
        <x:v>阿尔及尔</x:v>
      </x:c>
      <x:c r="G20" s="27" t="n">
        <x:v>3</x:v>
      </x:c>
      <x:c r="H20" s="27" t="n">
        <x:v>2</x:v>
      </x:c>
      <x:c r="I20" s="27" t="n">
        <x:v>21500</x:v>
      </x:c>
      <x:c r="J20" s="27" t="n">
        <x:v>4</x:v>
      </x:c>
      <x:c r="K20" s="13" t="str">
        <x:v>名称：麻布；数量（以单位字段为准）：12；计量单位：标准贸易单位；商品 ID：G044；材料基础货值（银币）：1740；材料用途：工坊加工原料。；名称：橡木；数量（以单位字段为准）：5；计量单位：标准贸易单位；商品 ID：G056；材料基础货值（银币）：450；可替代材料商品 ID：G055；G056；G057；G110；材料用途：木料；默认就近地区船材，也可使用列出的替代船材。</x:v>
      </x:c>
      <x:c r="L20" s="27" t="n">
        <x:v>2190</x:v>
      </x:c>
      <x:c r="M20" s="13" t="str">
        <x:v>把迎风死区收窄，适合绕背和航道折返。</x:v>
      </x:c>
      <x:c r="N20" s="13" t="str">
        <x:v>将逆风禁航半角设为（度）：42；横风航速倍率：1.15</x:v>
      </x:c>
      <x:c r="O20" s="13" t="str">
        <x:v>正顺风速度 -10%，桅杆耐久 -8%。</x:v>
      </x:c>
      <x:c r="P20" s="13" t="str">
        <x:v>顺风航速倍率：0.9；桅杆耐久倍率：0.92</x:v>
      </x:c>
      <x:c r="Q20" s="13" t="str">
        <x:v>三张前后错开的三角帆像月牙并列。</x:v>
      </x:c>
      <x:c r="R20" s="13" t="str">
        <x:v>取得马格里布帆匠图纸。</x:v>
      </x:c>
      <x:c r="S20" s="13" t="str">
        <x:v>帆船非筏舟</x:v>
      </x:c>
      <x:c r="T20" s="13" t="str">
        <x:v>S001；S002；S003；S004；S005；S006；S007；S008；S009；S010；S011；S012；S013；S014；S015；S016；S017；S018；S019；S020；S021；S022；S023；S024；S025；S026；S027；S028；S029；S030；S031；S032；S033；S034；S035；S036；S037；S038；S039；S040；S041；S042；S043；S044；S045；S046；S047；S048；S049；S050；S051；S052；S053；S054；S055；S056；S057；S058；S059；S060；S061；S062；S063；S065；S066；S067；S068；S069；S070；S071；S072</x:v>
      </x:c>
      <x:c r="U20" s="13" t="str">
        <x:v>帆装</x:v>
      </x:c>
      <x:c r="V20" s="27" t="n">
        <x:v>1</x:v>
      </x:c>
      <x:c r="W20" s="36" t="b">
        <x:v>0</x:v>
      </x:c>
      <x:c r="X20" s="13" t="str">
        <x:v>cost 为现金工费，materials 为另交原料；不重复把材料基础价值计入工费。</x:v>
      </x:c>
      <x:c r="Y20" s="13" t="str">
        <x:v>原创游戏改造；效果与代价为游戏初值。</x:v>
      </x:c>
      <x:c r="Z20" s="13" t="str">
        <x:v>FC01</x:v>
      </x:c>
    </x:row>
    <x:row r="21" ht="102" customHeight="1">
      <x:c r="A21" s="15" t="str">
        <x:v>M016</x:v>
      </x:c>
      <x:c r="B21" s="15" t="str">
        <x:v>艏炮瞭望垛</x:v>
      </x:c>
      <x:c r="C21" s="15" t="str">
        <x:v>武器平台</x:v>
      </x:c>
      <x:c r="D21" s="15" t="str">
        <x:v>船艏</x:v>
      </x:c>
      <x:c r="E21" s="15" t="str">
        <x:v>地中海</x:v>
      </x:c>
      <x:c r="F21" s="15" t="str">
        <x:v>瓦莱塔</x:v>
      </x:c>
      <x:c r="G21" s="30" t="n">
        <x:v>3</x:v>
      </x:c>
      <x:c r="H21" s="30" t="n">
        <x:v>3</x:v>
      </x:c>
      <x:c r="I21" s="30" t="n">
        <x:v>29000</x:v>
      </x:c>
      <x:c r="J21" s="30" t="n">
        <x:v>4</x:v>
      </x:c>
      <x:c r="K21" s="15" t="str">
        <x:v>名称：橡木；数量（以单位字段为准）：8；计量单位：标准贸易单位；商品 ID：G056；材料基础货值（银币）：720；可替代材料商品 ID：G055；G056；G057；G110；材料用途：木料；默认就近地区船材，也可使用列出的替代船材。；名称：铜锭；数量（以单位字段为准）：6；计量单位：标准贸易单位；商品 ID：G059；材料基础货值（银币）：1110；材料用途：工坊加工原料。</x:v>
      </x:c>
      <x:c r="L21" s="30" t="n">
        <x:v>1830</x:v>
      </x:c>
      <x:c r="M21" s="15" t="str">
        <x:v>增加一处艏炮位，赋予抬高射线越过低浪的效果。</x:v>
      </x:c>
      <x:c r="N21" s="15" t="str">
        <x:v>船艏武器位增减（个）：1；船艏武器命中率增减（比例值）：0.1</x:v>
      </x:c>
      <x:c r="O21" s="15" t="str">
        <x:v>转向 -6、货舱 -14。</x:v>
      </x:c>
      <x:c r="P21" s="15" t="str">
        <x:v>转向评级增减（点）：-6；载货量增减（舱容单位）：-14</x:v>
      </x:c>
      <x:c r="Q21" s="15" t="str">
        <x:v>艏上叠一层矮铜木炮台，保留侧向通道。</x:v>
      </x:c>
      <x:c r="R21" s="15" t="str">
        <x:v>完成“海门守夜”炮战。</x:v>
      </x:c>
      <x:c r="S21" s="15" t="str">
        <x:v>有炮位船</x:v>
      </x:c>
      <x:c r="T21" s="15" t="str">
        <x:v>S001；S002；S003；S004；S005；S006；S007；S008；S009；S010；S011；S012；S013；S014；S015；S016；S017；S018；S020；S021；S022；S023；S024；S025；S026；S027；S028；S029；S030；S031；S032；S033；S034；S035；S036；S037；S038；S039；S040；S041；S042；S043；S044；S045；S046；S047；S048；S049；S050；S051；S052；S053；S054；S055；S056；S057；S058；S059；S060；S061；S062；S063；S065；S066；S067；S069；S070；S071；S072</x:v>
      </x:c>
      <x:c r="U21" s="15" t="str">
        <x:v>船艏</x:v>
      </x:c>
      <x:c r="V21" s="30" t="n">
        <x:v>1</x:v>
      </x:c>
      <x:c r="W21" s="45" t="b">
        <x:v>0</x:v>
      </x:c>
      <x:c r="X21" s="15" t="str">
        <x:v>cost 为现金工费，materials 为另交原料；不重复把材料基础价值计入工费。</x:v>
      </x:c>
      <x:c r="Y21" s="15" t="str">
        <x:v>原创游戏改造；效果与代价为游戏初值。</x:v>
      </x:c>
      <x:c r="Z21" s="15" t="str">
        <x:v>FC06</x:v>
      </x:c>
    </x:row>
    <x:row r="22" ht="102" customHeight="1">
      <x:c r="A22" s="13" t="str">
        <x:v>M017</x:v>
      </x:c>
      <x:c r="B22" s="13" t="str">
        <x:v>折叠登船桥</x:v>
      </x:c>
      <x:c r="C22" s="13" t="str">
        <x:v>登舷装置</x:v>
      </x:c>
      <x:c r="D22" s="13" t="str">
        <x:v>船艏</x:v>
      </x:c>
      <x:c r="E22" s="13" t="str">
        <x:v>地中海军港</x:v>
      </x:c>
      <x:c r="F22" s="13" t="str">
        <x:v>热那亚</x:v>
      </x:c>
      <x:c r="G22" s="27" t="n">
        <x:v>2</x:v>
      </x:c>
      <x:c r="H22" s="27" t="n">
        <x:v>3</x:v>
      </x:c>
      <x:c r="I22" s="27" t="n">
        <x:v>18500</x:v>
      </x:c>
      <x:c r="J22" s="27" t="n">
        <x:v>4</x:v>
      </x:c>
      <x:c r="K22" s="13" t="str">
        <x:v>名称：橡木；数量（以单位字段为准）：9；计量单位：标准贸易单位；商品 ID：G056；材料基础货值（银币）：810；可替代材料商品 ID：G055；G056；G057；G110；材料用途：木料；默认就近地区船材，也可使用列出的替代船材。；名称：铁锭；数量（以单位字段为准）：5；计量单位：标准贸易单位；商品 ID：G058；材料基础货值（银币）：600；材料用途：工坊加工原料。</x:v>
      </x:c>
      <x:c r="L22" s="27" t="n">
        <x:v>1410</x:v>
      </x:c>
      <x:c r="M22" s="13" t="str">
        <x:v>距敌船 25 m 内放桥；可快速攻入已经失速的敌舰。</x:v>
      </x:c>
      <x:c r="N22" s="13" t="str">
        <x:v>登船作战距离（米）：25；登船准备时间（秒）：4</x:v>
      </x:c>
      <x:c r="O22" s="13" t="str">
        <x:v>艏防护 -4、速度 -0.3 节。</x:v>
      </x:c>
      <x:c r="P22" s="13" t="str">
        <x:v>船艏装甲增减（点）：-4；航速增减（节）：-0.3</x:v>
      </x:c>
      <x:c r="Q22" s="13" t="str">
        <x:v>艏上折起窄木桥，铁钩像鸟爪。</x:v>
      </x:c>
      <x:c r="R22" s="13" t="str">
        <x:v>捕获一艘敌船后获船匠认可。</x:v>
      </x:c>
      <x:c r="S22" s="13" t="str">
        <x:v>有炮位船</x:v>
      </x:c>
      <x:c r="T22" s="13" t="str">
        <x:v>S001；S002；S003；S004；S005；S006；S007；S008；S009；S010；S011；S012；S013；S014；S015；S016；S017；S018；S020；S021；S022；S023；S024；S025；S026；S027；S028；S029；S030；S031；S032；S033；S034；S035；S036；S037；S038；S039；S040；S041；S042；S043；S044；S045；S046；S047；S048；S049；S050；S051；S052；S053；S054；S055；S056；S057；S058；S059；S060；S061；S062；S063；S065；S066；S067；S069；S070；S071；S072</x:v>
      </x:c>
      <x:c r="U22" s="13" t="str">
        <x:v>船艏</x:v>
      </x:c>
      <x:c r="V22" s="27" t="n">
        <x:v>1</x:v>
      </x:c>
      <x:c r="W22" s="36" t="b">
        <x:v>0</x:v>
      </x:c>
      <x:c r="X22" s="13" t="str">
        <x:v>cost 为现金工费，materials 为另交原料；不重复把材料基础价值计入工费。</x:v>
      </x:c>
      <x:c r="Y22" s="13" t="str">
        <x:v>原创游戏改造；效果与代价为游戏初值。</x:v>
      </x:c>
      <x:c r="Z22" s="13" t="str">
        <x:v>FC00</x:v>
      </x:c>
    </x:row>
    <x:row r="23" ht="102" customHeight="1">
      <x:c r="A23" s="15" t="str">
        <x:v>M018</x:v>
      </x:c>
      <x:c r="B23" s="15" t="str">
        <x:v>编索防登网</x:v>
      </x:c>
      <x:c r="C23" s="15" t="str">
        <x:v>甲板工艺</x:v>
      </x:c>
      <x:c r="D23" s="15" t="str">
        <x:v>甲板</x:v>
      </x:c>
      <x:c r="E23" s="15" t="str">
        <x:v>地中海</x:v>
      </x:c>
      <x:c r="F23" s="15" t="str">
        <x:v>马赛</x:v>
      </x:c>
      <x:c r="G23" s="30" t="n">
        <x:v>2</x:v>
      </x:c>
      <x:c r="H23" s="30" t="n">
        <x:v>2</x:v>
      </x:c>
      <x:c r="I23" s="30" t="n">
        <x:v>11500</x:v>
      </x:c>
      <x:c r="J23" s="30" t="n">
        <x:v>3</x:v>
      </x:c>
      <x:c r="K23" s="15" t="str">
        <x:v>名称：麻布；数量（以单位字段为准）：10；计量单位：标准贸易单位；商品 ID：G044；材料基础货值（银币）：1450；材料用途：工坊加工原料。；名称：铁锭；数量（以单位字段为准）：2；计量单位：标准贸易单位；商品 ID：G058；材料基础货值（银币）：240；材料用途：工坊加工原料。</x:v>
      </x:c>
      <x:c r="L23" s="30" t="n">
        <x:v>1690</x:v>
      </x:c>
      <x:c r="M23" s="15" t="str">
        <x:v>敌人需额外割网，给玩家留出割缆或反击时间。</x:v>
      </x:c>
      <x:c r="N23" s="15" t="str">
        <x:v>敌方登船准备时间增减（秒）：9；解开抓钩时间增减（秒）：-2</x:v>
      </x:c>
      <x:c r="O23" s="15" t="str">
        <x:v>己方登舷也需多用 3 s。</x:v>
      </x:c>
      <x:c r="P23" s="15" t="str">
        <x:v>己方登船准备时间增减（秒）：3</x:v>
      </x:c>
      <x:c r="Q23" s="15" t="str">
        <x:v>甲板上方拉起低而透明的绳网，关键区域有快拆口。</x:v>
      </x:c>
      <x:c r="R23" s="15" t="str">
        <x:v>马赛武装 A2。</x:v>
      </x:c>
      <x:c r="S23" s="15" t="str">
        <x:v>全部</x:v>
      </x:c>
      <x:c r="T23" s="15" t="str">
        <x:v>S001；S002；S003；S004；S005；S006；S007；S008；S009；S010；S011；S012；S013；S014；S015；S016；S017；S018；S019；S020；S021；S022；S023；S024；S025；S026；S027；S028；S029；S030；S031；S032；S033；S034；S035；S036；S037；S038；S039；S040；S041；S042；S043；S044；S045；S046；S047；S048；S049；S050；S051；S052；S053；S054；S055；S056；S057；S058；S059；S060；S061；S062；S063；S064；S065；S066；S067；S068；S069；S070；S071；S072</x:v>
      </x:c>
      <x:c r="U23" s="15" t="str">
        <x:v>甲板</x:v>
      </x:c>
      <x:c r="V23" s="30" t="n">
        <x:v>1</x:v>
      </x:c>
      <x:c r="W23" s="45" t="b">
        <x:v>0</x:v>
      </x:c>
      <x:c r="X23" s="15" t="str">
        <x:v>cost 为现金工费，materials 为另交原料；不重复把材料基础价值计入工费。</x:v>
      </x:c>
      <x:c r="Y23" s="15" t="str">
        <x:v>原创游戏改造；效果与代价为游戏初值。</x:v>
      </x:c>
      <x:c r="Z23" s="15" t="str">
        <x:v>FC20</x:v>
      </x:c>
    </x:row>
    <x:row r="24" ht="72" customHeight="1">
      <x:c r="A24" s="13" t="str">
        <x:v>M019</x:v>
      </x:c>
      <x:c r="B24" s="13" t="str">
        <x:v>河口升降艉舵</x:v>
      </x:c>
      <x:c r="C24" s="13" t="str">
        <x:v>操纵工艺</x:v>
      </x:c>
      <x:c r="D24" s="13" t="str">
        <x:v>船艉</x:v>
      </x:c>
      <x:c r="E24" s="13" t="str">
        <x:v>塞内加尔河口</x:v>
      </x:c>
      <x:c r="F24" s="13" t="str">
        <x:v>圣路易</x:v>
      </x:c>
      <x:c r="G24" s="27" t="n">
        <x:v>2</x:v>
      </x:c>
      <x:c r="H24" s="27" t="n">
        <x:v>1</x:v>
      </x:c>
      <x:c r="I24" s="27" t="n">
        <x:v>16000</x:v>
      </x:c>
      <x:c r="J24" s="27" t="n">
        <x:v>3</x:v>
      </x:c>
      <x:c r="K24" s="13" t="str">
        <x:v>名称：硬木；数量（以单位字段为准）：7；计量单位：标准贸易单位；商品 ID：G110；材料基础货值（银币）：945；可替代材料商品 ID：G055；G056；G057；G110；材料用途：木料；默认就近地区船材，也可使用列出的替代船材。；名称：铁锭；数量（以单位字段为准）：3；计量单位：标准贸易单位；商品 ID：G058；材料基础货值（银币）：360；材料用途：工坊加工原料。</x:v>
      </x:c>
      <x:c r="L24" s="27" t="n">
        <x:v>1305</x:v>
      </x:c>
      <x:c r="M24" s="13" t="str">
        <x:v>抬舵穿过浅沙洲，触底时可用倒桨退回航道。</x:v>
      </x:c>
      <x:c r="N24" s="13" t="str">
        <x:v>收舵后吃水增减（米）：-0.35；软底搁浅脱困时间（秒）：6</x:v>
      </x:c>
      <x:c r="O24" s="13" t="str">
        <x:v>抬舵时转向 -22。</x:v>
      </x:c>
      <x:c r="P24" s="13" t="str">
        <x:v>收起机构后转向评级增减（点）：-22</x:v>
      </x:c>
      <x:c r="Q24" s="13" t="str">
        <x:v>高直木舵配手摇小绞架。</x:v>
      </x:c>
      <x:c r="R24" s="13" t="str">
        <x:v>带回三条河口测深记录。</x:v>
      </x:c>
      <x:c r="S24" s="13" t="str">
        <x:v>小型船</x:v>
      </x:c>
      <x:c r="T24" s="13" t="str">
        <x:v>S001；S002；S004；S005；S007；S008；S011；S013；S014；S015；S016；S017；S019；S020；S021；S024；S025；S027；S029；S030；S035；S036；S037；S041；S042；S048；S053；S054；S055；S056；S059；S060；S064；S065；S068；S069</x:v>
      </x:c>
      <x:c r="U24" s="13" t="str">
        <x:v>船艉</x:v>
      </x:c>
      <x:c r="V24" s="27" t="n">
        <x:v>1</x:v>
      </x:c>
      <x:c r="W24" s="36" t="b">
        <x:v>0</x:v>
      </x:c>
      <x:c r="X24" s="13" t="str">
        <x:v>cost 为现金工费，materials 为另交原料；不重复把材料基础价值计入工费。</x:v>
      </x:c>
      <x:c r="Y24" s="13" t="str">
        <x:v>原创游戏改造；效果与代价为游戏初值。</x:v>
      </x:c>
      <x:c r="Z24" s="13" t="str">
        <x:v>FC00</x:v>
      </x:c>
    </x:row>
    <x:row r="25" ht="102" customHeight="1">
      <x:c r="A25" s="15" t="str">
        <x:v>M020</x:v>
      </x:c>
      <x:c r="B25" s="15" t="str">
        <x:v>海风晾架</x:v>
      </x:c>
      <x:c r="C25" s="15" t="str">
        <x:v>补给设施</x:v>
      </x:c>
      <x:c r="D25" s="15" t="str">
        <x:v>通用</x:v>
      </x:c>
      <x:c r="E25" s="15" t="str">
        <x:v>西非沿岸</x:v>
      </x:c>
      <x:c r="F25" s="15" t="str">
        <x:v>埃尔米纳</x:v>
      </x:c>
      <x:c r="G25" s="30" t="n">
        <x:v>1</x:v>
      </x:c>
      <x:c r="H25" s="30" t="n">
        <x:v>0</x:v>
      </x:c>
      <x:c r="I25" s="30" t="n">
        <x:v>5200</x:v>
      </x:c>
      <x:c r="J25" s="30" t="n">
        <x:v>2</x:v>
      </x:c>
      <x:c r="K25" s="15" t="str">
        <x:v>名称：硬木；数量（以单位字段为准）：5；计量单位：标准贸易单位；商品 ID：G110；材料基础货值（银币）：675；可替代材料商品 ID：G055；G056；G057；G110；材料用途：木料；默认就近地区船材，也可使用列出的替代船材。；名称：盐；数量（以单位字段为准）：2；计量单位：标准贸易单位；商品 ID：G009；材料基础货值（银币）：56；材料用途：工坊加工原料。</x:v>
      </x:c>
      <x:c r="L25" s="30" t="n">
        <x:v>731</x:v>
      </x:c>
      <x:c r="M25" s="15" t="str">
        <x:v>钓得鱼获后自动晒成短航口粮。</x:v>
      </x:c>
      <x:c r="N25" s="15" t="str">
        <x:v>食物腐败倍率：0.85；每捕鱼日获得食物（人·游戏日）：35</x:v>
      </x:c>
      <x:c r="O25" s="15" t="str">
        <x:v>占 5 舱位。</x:v>
      </x:c>
      <x:c r="P25" s="15" t="str">
        <x:v>载货量增减（舱容单位）：-5</x:v>
      </x:c>
      <x:c r="Q25" s="15" t="str">
        <x:v>船艉展开轻木晾架和白色遮雨帘。</x:v>
      </x:c>
      <x:c r="R25" s="15" t="str">
        <x:v>完成“港外三网”捕鱼。</x:v>
      </x:c>
      <x:c r="S25" s="15" t="str">
        <x:v>全部</x:v>
      </x:c>
      <x:c r="T25" s="15" t="str">
        <x:v>S001；S002；S003；S004；S005；S006；S007；S008；S009；S010；S011；S012；S013；S014；S015；S016；S017；S018；S019；S020；S021；S022；S023；S024；S025；S026；S027；S028；S029；S030；S031；S032；S033；S034；S035；S036；S037；S038；S039；S040；S041；S042；S043；S044；S045；S046；S047；S048；S049；S050；S051；S052；S053；S054；S055；S056；S057；S058；S059；S060；S061；S062；S063；S064；S065；S066；S067；S068；S069；S070；S071；S072</x:v>
      </x:c>
      <x:c r="U25" s="15" t="str">
        <x:v>同名改造</x:v>
      </x:c>
      <x:c r="V25" s="30" t="n">
        <x:v>1</x:v>
      </x:c>
      <x:c r="W25" s="45" t="b">
        <x:v>0</x:v>
      </x:c>
      <x:c r="X25" s="15" t="str">
        <x:v>cost 为现金工费，materials 为另交原料；不重复把材料基础价值计入工费。</x:v>
      </x:c>
      <x:c r="Y25" s="15" t="str">
        <x:v>原创游戏改造；效果与代价为游戏初值。</x:v>
      </x:c>
      <x:c r="Z25" s="15" t="str">
        <x:v>FC00</x:v>
      </x:c>
    </x:row>
    <x:row r="26" ht="72" customHeight="1">
      <x:c r="A26" s="13" t="str">
        <x:v>M021</x:v>
      </x:c>
      <x:c r="B26" s="13" t="str">
        <x:v>白浪滑橇底</x:v>
      </x:c>
      <x:c r="C26" s="13" t="str">
        <x:v>船体工艺</x:v>
      </x:c>
      <x:c r="D26" s="13" t="str">
        <x:v>结构</x:v>
      </x:c>
      <x:c r="E26" s="13" t="str">
        <x:v>几内亚湾</x:v>
      </x:c>
      <x:c r="F26" s="13" t="str">
        <x:v>埃尔米纳</x:v>
      </x:c>
      <x:c r="G26" s="27" t="n">
        <x:v>2</x:v>
      </x:c>
      <x:c r="H26" s="27" t="n">
        <x:v>1</x:v>
      </x:c>
      <x:c r="I26" s="27" t="n">
        <x:v>14000</x:v>
      </x:c>
      <x:c r="J26" s="27" t="n">
        <x:v>3</x:v>
      </x:c>
      <x:c r="K26" s="13" t="str">
        <x:v>名称：硬木；数量（以单位字段为准）：10；计量单位：标准贸易单位；商品 ID：G110；材料基础货值（银币）：1350；可替代材料商品 ID：G055；G056；G057；G110；材料用途：木料；默认就近地区船材，也可使用列出的替代船材。；名称：树脂；数量（以单位字段为准）：2；计量单位：标准贸易单位；商品 ID：G090；材料基础货值（银币）：190；材料用途：工坊加工原料。</x:v>
      </x:c>
      <x:c r="L26" s="27" t="n">
        <x:v>1540</x:v>
      </x:c>
      <x:c r="M26" s="13" t="str">
        <x:v>无码头海岸可拖上滩头并完成短期补给。</x:v>
      </x:c>
      <x:c r="N26" s="13" t="str">
        <x:v>沙滩拖曳速度倍率：1.4；碎浪区碰撞伤害倍率：0.6</x:v>
      </x:c>
      <x:c r="O26" s="13" t="str">
        <x:v>防护 -4、货舱 -10。</x:v>
      </x:c>
      <x:c r="P26" s="13" t="str">
        <x:v>船体装甲增减（点）：-4；载货量增减（舱容单位）：-10</x:v>
      </x:c>
      <x:c r="Q26" s="13" t="str">
        <x:v>平底两侧加两条深色木滑橇。</x:v>
      </x:c>
      <x:c r="R26" s="13" t="str">
        <x:v>完成一处白浪登陆点调查。</x:v>
      </x:c>
      <x:c r="S26" s="13" t="str">
        <x:v>单体小船</x:v>
      </x:c>
      <x:c r="T26" s="13" t="str">
        <x:v>S001；S002；S004；S005；S007；S008；S011；S013；S014；S015；S016；S017；S019；S020；S021；S024；S025；S027；S029；S030；S035；S036；S037；S041；S048；S053；S054；S055；S056；S059；S060；S065</x:v>
      </x:c>
      <x:c r="U26" s="13" t="str">
        <x:v>结构</x:v>
      </x:c>
      <x:c r="V26" s="27" t="n">
        <x:v>1</x:v>
      </x:c>
      <x:c r="W26" s="36" t="b">
        <x:v>0</x:v>
      </x:c>
      <x:c r="X26" s="13" t="str">
        <x:v>cost 为现金工费，materials 为另交原料；不重复把材料基础价值计入工费。</x:v>
      </x:c>
      <x:c r="Y26" s="13" t="str">
        <x:v>原创游戏改造；效果与代价为游戏初值。</x:v>
      </x:c>
      <x:c r="Z26" s="13" t="str">
        <x:v>FC00</x:v>
      </x:c>
    </x:row>
    <x:row r="27" ht="102" customHeight="1">
      <x:c r="A27" s="15" t="str">
        <x:v>M022</x:v>
      </x:c>
      <x:c r="B27" s="15" t="str">
        <x:v>织影通风遮阳棚</x:v>
      </x:c>
      <x:c r="C27" s="15" t="str">
        <x:v>船员设施</x:v>
      </x:c>
      <x:c r="D27" s="15" t="str">
        <x:v>甲板</x:v>
      </x:c>
      <x:c r="E27" s="15" t="str">
        <x:v>西非工匠</x:v>
      </x:c>
      <x:c r="F27" s="15" t="str">
        <x:v>圣多美</x:v>
      </x:c>
      <x:c r="G27" s="30" t="n">
        <x:v>2</x:v>
      </x:c>
      <x:c r="H27" s="30" t="n">
        <x:v>1</x:v>
      </x:c>
      <x:c r="I27" s="30" t="n">
        <x:v>9700</x:v>
      </x:c>
      <x:c r="J27" s="30" t="n">
        <x:v>3</x:v>
      </x:c>
      <x:c r="K27" s="15" t="str">
        <x:v>名称：棉布；数量（以单位字段为准）：6；计量单位：标准贸易单位；商品 ID：G043；材料基础货值（银币）：960；材料用途：工坊加工原料。；名称：硬木；数量（以单位字段为准）：4；计量单位：标准贸易单位；商品 ID：G110；材料基础货值（银币）：540；可替代材料商品 ID：G055；G056；G057；G110；材料用途：木料；默认就近地区船材，也可使用列出的替代船材。</x:v>
      </x:c>
      <x:c r="L27" s="30" t="n">
        <x:v>1500</x:v>
      </x:c>
      <x:c r="M27" s="15" t="str">
        <x:v>热带长航减少疲劳，雨战中甲板换岗更顺畅。</x:v>
      </x:c>
      <x:c r="N27" s="15" t="str">
        <x:v>炎热疲劳倍率：0.55；雨天甲板滑倒风险倍率：0.75</x:v>
      </x:c>
      <x:c r="O27" s="15" t="str">
        <x:v>更容易被发现，甲板武器装填 +5%。</x:v>
      </x:c>
      <x:c r="P27" s="15" t="str">
        <x:v>桅杆可见度倍率：1.1；甲板武器装填时间倍率：1.05</x:v>
      </x:c>
      <x:c r="Q27" s="15" t="str">
        <x:v>蓝白棋格布棚被风鼓起，金色细柱沿甲板排列。</x:v>
      </x:c>
      <x:c r="R27" s="15" t="str">
        <x:v>圣多美发展 D2。</x:v>
      </x:c>
      <x:c r="S27" s="15" t="str">
        <x:v>全部</x:v>
      </x:c>
      <x:c r="T27" s="15" t="str">
        <x:v>S001；S002；S003；S004；S005；S006；S007；S008；S009；S010；S011；S012；S013；S014；S015；S016；S017；S018；S019；S020；S021；S022；S023；S024；S025；S026；S027；S028；S029；S030；S031；S032；S033；S034；S035；S036；S037；S038；S039；S040；S041；S042；S043；S044；S045；S046；S047；S048；S049；S050；S051；S052；S053；S054；S055；S056；S057；S058；S059；S060；S061；S062；S063；S064；S065；S066；S067；S068；S069；S070；S071；S072</x:v>
      </x:c>
      <x:c r="U27" s="15" t="str">
        <x:v>甲板</x:v>
      </x:c>
      <x:c r="V27" s="30" t="n">
        <x:v>1</x:v>
      </x:c>
      <x:c r="W27" s="45" t="b">
        <x:v>0</x:v>
      </x:c>
      <x:c r="X27" s="15" t="str">
        <x:v>cost 为现金工费，materials 为另交原料；不重复把材料基础价值计入工费。</x:v>
      </x:c>
      <x:c r="Y27" s="15" t="str">
        <x:v>原创游戏改造；效果与代价为游戏初值。</x:v>
      </x:c>
      <x:c r="Z27" s="15" t="str">
        <x:v>FC00</x:v>
      </x:c>
    </x:row>
    <x:row r="28" ht="102" customHeight="1">
      <x:c r="A28" s="13" t="str">
        <x:v>M023</x:v>
      </x:c>
      <x:c r="B28" s="13" t="str">
        <x:v>舷边浮动货台</x:v>
      </x:c>
      <x:c r="C28" s="13" t="str">
        <x:v>贸易设施</x:v>
      </x:c>
      <x:c r="D28" s="13" t="str">
        <x:v>甲板</x:v>
      </x:c>
      <x:c r="E28" s="13" t="str">
        <x:v>金岸港市</x:v>
      </x:c>
      <x:c r="F28" s="13" t="str">
        <x:v>埃尔米纳</x:v>
      </x:c>
      <x:c r="G28" s="27" t="n">
        <x:v>4</x:v>
      </x:c>
      <x:c r="H28" s="27" t="n">
        <x:v>2</x:v>
      </x:c>
      <x:c r="I28" s="27" t="n">
        <x:v>33000</x:v>
      </x:c>
      <x:c r="J28" s="27" t="n">
        <x:v>5</x:v>
      </x:c>
      <x:c r="K28" s="13" t="str">
        <x:v>名称：硬木；数量（以单位字段为准）：16；计量单位：标准贸易单位；商品 ID：G110；材料基础货值（银币）：2160；可替代材料商品 ID：G055；G056；G057；G110；材料用途：木料；默认就近地区船材，也可使用列出的替代船材。；名称：铁锭；数量（以单位字段为准）：5；计量单位：标准贸易单位；商品 ID：G058；材料基础货值（银币）：600；材料用途：工坊加工原料。</x:v>
      </x:c>
      <x:c r="L28" s="27" t="n">
        <x:v>2760</x:v>
      </x:c>
      <x:c r="M28" s="13" t="str">
        <x:v>友好小锚地可由接驳舟送货，不必存在完整大码头。</x:v>
      </x:c>
      <x:c r="N28" s="13" t="str">
        <x:v>偏远市场交易槽（个）：2；驳船装载时间（秒）：8</x:v>
      </x:c>
      <x:c r="O28" s="13" t="str">
        <x:v>速度 -0.5 节；平台更容易被登舷。</x:v>
      </x:c>
      <x:c r="P28" s="13" t="str">
        <x:v>航速增减（节）：-0.5；敌方登船准备时间增减（秒）：-2</x:v>
      </x:c>
      <x:c r="Q28" s="13" t="str">
        <x:v>舷侧展开两块木货台与染色遮篷。</x:v>
      </x:c>
      <x:c r="R28" s="13" t="str">
        <x:v>完成“没有码头的市集”。</x:v>
      </x:c>
      <x:c r="S28" s="13" t="str">
        <x:v>全部</x:v>
      </x:c>
      <x:c r="T28" s="13" t="str">
        <x:v>S001；S002；S003；S004；S005；S006；S007；S008；S009；S010；S011；S012；S013；S014；S015；S016；S017；S018；S019；S020；S021；S022；S023；S024；S025；S026；S027；S028；S029；S030；S031；S032；S033；S034；S035；S036；S037；S038；S039；S040；S041；S042；S043；S044；S045；S046；S047；S048；S049；S050；S051；S052；S053；S054；S055；S056；S057；S058；S059；S060；S061；S062；S063；S064；S065；S066；S067；S068；S069；S070；S071；S072</x:v>
      </x:c>
      <x:c r="U28" s="13" t="str">
        <x:v>甲板</x:v>
      </x:c>
      <x:c r="V28" s="27" t="n">
        <x:v>1</x:v>
      </x:c>
      <x:c r="W28" s="36" t="b">
        <x:v>0</x:v>
      </x:c>
      <x:c r="X28" s="13" t="str">
        <x:v>cost 为现金工费，materials 为另交原料；不重复把材料基础价值计入工费。</x:v>
      </x:c>
      <x:c r="Y28" s="13" t="str">
        <x:v>原创游戏改造；效果与代价为游戏初值。</x:v>
      </x:c>
      <x:c r="Z28" s="13" t="str">
        <x:v>FC00</x:v>
      </x:c>
    </x:row>
    <x:row r="29" ht="102" customHeight="1">
      <x:c r="A29" s="15" t="str">
        <x:v>M024</x:v>
      </x:c>
      <x:c r="B29" s="15" t="str">
        <x:v>群岛集雨檐</x:v>
      </x:c>
      <x:c r="C29" s="15" t="str">
        <x:v>补给设施</x:v>
      </x:c>
      <x:c r="D29" s="15" t="str">
        <x:v>通用</x:v>
      </x:c>
      <x:c r="E29" s="15" t="str">
        <x:v>大西洋岛屿</x:v>
      </x:c>
      <x:c r="F29" s="15" t="str">
        <x:v>里贝拉格兰德</x:v>
      </x:c>
      <x:c r="G29" s="30" t="n">
        <x:v>3</x:v>
      </x:c>
      <x:c r="H29" s="30" t="n">
        <x:v>0</x:v>
      </x:c>
      <x:c r="I29" s="30" t="n">
        <x:v>10500</x:v>
      </x:c>
      <x:c r="J29" s="30" t="n">
        <x:v>4</x:v>
      </x:c>
      <x:c r="K29" s="15" t="str">
        <x:v>名称：棉布；数量（以单位字段为准）：5；计量单位：标准贸易单位；商品 ID：G043；材料基础货值（银币）：800；材料用途：工坊加工原料。；名称：粗陶器；数量（以单位字段为准）：4；计量单位：标准贸易单位；商品 ID：G069；材料基础货值（银币）：360；材料用途：工坊加工原料。</x:v>
      </x:c>
      <x:c r="L29" s="30" t="n">
        <x:v>1160</x:v>
      </x:c>
      <x:c r="M29" s="15" t="str">
        <x:v>雨天接水，雨停后自动折叠檐布；补水进度直接显示。</x:v>
      </x:c>
      <x:c r="N29" s="15" t="str">
        <x:v>雨天淡水收集量（舱容单位/游戏日）：0.2；淡水储量增减（舱容单位）：2</x:v>
      </x:c>
      <x:c r="O29" s="15" t="str">
        <x:v>占 8 舱位，晴天没有主动产水。</x:v>
      </x:c>
      <x:c r="P29" s="15" t="str">
        <x:v>载货量增减（舱容单位）：-8</x:v>
      </x:c>
      <x:c r="Q29" s="15" t="str">
        <x:v>小型布檐把雨水汇入青釉瓮中。</x:v>
      </x:c>
      <x:c r="R29" s="15" t="str">
        <x:v>发展 D3 并供应岛民一批陶器。</x:v>
      </x:c>
      <x:c r="S29" s="15" t="str">
        <x:v>全部</x:v>
      </x:c>
      <x:c r="T29" s="15" t="str">
        <x:v>S001；S002；S003；S004；S005；S006；S007；S008；S009；S010；S011；S012；S013；S014；S015；S016；S017；S018；S019；S020；S021；S022；S023；S024；S025；S026；S027；S028；S029；S030；S031；S032；S033；S034；S035；S036；S037；S038；S039；S040；S041；S042；S043；S044；S045；S046；S047；S048；S049；S050；S051；S052；S053；S054；S055；S056；S057；S058；S059；S060；S061；S062；S063；S064；S065；S066；S067；S068；S069；S070；S071；S072</x:v>
      </x:c>
      <x:c r="U29" s="15" t="str">
        <x:v>同名改造</x:v>
      </x:c>
      <x:c r="V29" s="30" t="n">
        <x:v>1</x:v>
      </x:c>
      <x:c r="W29" s="45" t="b">
        <x:v>0</x:v>
      </x:c>
      <x:c r="X29" s="15" t="str">
        <x:v>cost 为现金工费，materials 为另交原料；不重复把材料基础价值计入工费。</x:v>
      </x:c>
      <x:c r="Y29" s="15" t="str">
        <x:v>原创游戏改造；效果与代价为游戏初值。</x:v>
      </x:c>
      <x:c r="Z29" s="15" t="str">
        <x:v>FC00</x:v>
      </x:c>
    </x:row>
    <x:row r="30" ht="87" customHeight="1">
      <x:c r="A30" s="13" t="str">
        <x:v>M025</x:v>
      </x:c>
      <x:c r="B30" s="13" t="str">
        <x:v>椰绳缝板外壳</x:v>
      </x:c>
      <x:c r="C30" s="13" t="str">
        <x:v>船体工艺</x:v>
      </x:c>
      <x:c r="D30" s="13" t="str">
        <x:v>结构</x:v>
      </x:c>
      <x:c r="E30" s="13" t="str">
        <x:v>斯瓦希里</x:v>
      </x:c>
      <x:c r="F30" s="13" t="str">
        <x:v>蒙巴萨</x:v>
      </x:c>
      <x:c r="G30" s="27" t="n">
        <x:v>2</x:v>
      </x:c>
      <x:c r="H30" s="27" t="n">
        <x:v>1</x:v>
      </x:c>
      <x:c r="I30" s="27" t="n">
        <x:v>16500</x:v>
      </x:c>
      <x:c r="J30" s="27" t="n">
        <x:v>3</x:v>
      </x:c>
      <x:c r="K30" s="13" t="str">
        <x:v>名称：硬木；数量（以单位字段为准）：12；计量单位：标准贸易单位；商品 ID：G110；材料基础货值（银币）：1620；可替代材料商品 ID：G055；G056；G057；G110；材料用途：木料；默认就近地区船材，也可使用列出的替代船材。；名称：蕉麻；数量（以单位字段为准）：6；计量单位：标准贸易单位；商品 ID：G108；材料基础货值（银币）：630；材料用途：缝板绳所需植物纤维；船厂以本地绳工艺加工，允许蕉麻替代椰纤维。</x:v>
      </x:c>
      <x:c r="L30" s="27" t="n">
        <x:v>2250</x:v>
      </x:c>
      <x:c r="M30" s="13" t="str">
        <x:v>浅礁剐蹭后可用小批材料修复缝合处。</x:v>
      </x:c>
      <x:c r="N30" s="13" t="str">
        <x:v>礁石刮擦伤害倍率：0.5；海上应急补船费用倍率：0.6</x:v>
      </x:c>
      <x:c r="O30" s="13" t="str">
        <x:v>护甲 -5；安装重炮时后坐结构损伤 +20%。</x:v>
      </x:c>
      <x:c r="P30" s="13" t="str">
        <x:v>装甲值增减（点）：-5；重炮后坐伤害倍率：1.2</x:v>
      </x:c>
      <x:c r="Q30" s="13" t="str">
        <x:v>粗椰绳接缝形成装饰般菱形纹。</x:v>
      </x:c>
      <x:c r="R30" s="13" t="str">
        <x:v>拜访缝板师完成“船壳也会呼吸”。</x:v>
      </x:c>
      <x:c r="S30" s="13" t="str">
        <x:v>小型船</x:v>
      </x:c>
      <x:c r="T30" s="13" t="str">
        <x:v>S001；S002；S004；S005；S007；S008；S011；S013；S014；S015；S016；S017；S019；S020；S021；S024；S025；S027；S029；S030；S035；S036；S037；S041；S042；S048；S053；S054；S055；S056；S059；S060；S064；S065；S068；S069</x:v>
      </x:c>
      <x:c r="U30" s="13" t="str">
        <x:v>结构</x:v>
      </x:c>
      <x:c r="V30" s="27" t="n">
        <x:v>1</x:v>
      </x:c>
      <x:c r="W30" s="36" t="b">
        <x:v>0</x:v>
      </x:c>
      <x:c r="X30" s="13" t="str">
        <x:v>cost 为现金工费，materials 为另交原料；不重复把材料基础价值计入工费。</x:v>
      </x:c>
      <x:c r="Y30" s="13" t="str">
        <x:v>原创游戏改造；效果与代价为游戏初值。</x:v>
      </x:c>
      <x:c r="Z30" s="13" t="str">
        <x:v>FC07；FC08</x:v>
      </x:c>
    </x:row>
    <x:row r="31" ht="102" customHeight="1">
      <x:c r="A31" s="15" t="str">
        <x:v>M026</x:v>
      </x:c>
      <x:c r="B31" s="15" t="str">
        <x:v>红树弹性船骨</x:v>
      </x:c>
      <x:c r="C31" s="15" t="str">
        <x:v>船体工艺</x:v>
      </x:c>
      <x:c r="D31" s="15" t="str">
        <x:v>结构</x:v>
      </x:c>
      <x:c r="E31" s="15" t="str">
        <x:v>斯瓦希里</x:v>
      </x:c>
      <x:c r="F31" s="15" t="str">
        <x:v>基尔瓦</x:v>
      </x:c>
      <x:c r="G31" s="30" t="n">
        <x:v>3</x:v>
      </x:c>
      <x:c r="H31" s="30" t="n">
        <x:v>2</x:v>
      </x:c>
      <x:c r="I31" s="30" t="n">
        <x:v>23000</x:v>
      </x:c>
      <x:c r="J31" s="30" t="n">
        <x:v>4</x:v>
      </x:c>
      <x:c r="K31" s="15" t="str">
        <x:v>名称：硬木；数量（以单位字段为准）：18；计量单位：标准贸易单位；商品 ID：G110；材料基础货值（银币）：2430；可替代材料商品 ID：G055；G056；G057；G110；材料用途：木料；默认就近地区船材，也可使用列出的替代船材。；名称：树脂；数量（以单位字段为准）：3；计量单位：标准贸易单位；商品 ID：G090；材料基础货值（银币）：285；材料用途：工坊加工原料。</x:v>
      </x:c>
      <x:c r="L31" s="30" t="n">
        <x:v>2715</x:v>
      </x:c>
      <x:c r="M31" s="15" t="str">
        <x:v>浪头冲击分散到船骨，长航中甲板振动较少。</x:v>
      </x:c>
      <x:c r="N31" s="15" t="str">
        <x:v>海浪造成船体伤害倍率：0.65；货物位移伤害倍率：0.8</x:v>
      </x:c>
      <x:c r="O31" s="15" t="str">
        <x:v>单炮重量上限 -10%。</x:v>
      </x:c>
      <x:c r="P31" s="15" t="str">
        <x:v>最大可装炮重倍率：0.9</x:v>
      </x:c>
      <x:c r="Q31" s="15" t="str">
        <x:v>内部拱骨呈柔和弧线，舷外加稀疏木肋。</x:v>
      </x:c>
      <x:c r="R31" s="15" t="str">
        <x:v>基尔瓦船匠关系 35。</x:v>
      </x:c>
      <x:c r="S31" s="15" t="str">
        <x:v>全部</x:v>
      </x:c>
      <x:c r="T31" s="15" t="str">
        <x:v>S001；S002；S003；S004；S005；S006；S007；S008；S009；S010；S011；S012；S013；S014；S015；S016；S017；S018；S019；S020；S021；S022；S023；S024；S025；S026；S027；S028；S029；S030；S031；S032；S033；S034；S035；S036；S037；S038；S039；S040；S041；S042；S043；S044；S045；S046；S047；S048；S049；S050；S051；S052；S053；S054；S055；S056；S057；S058；S059；S060；S061；S062；S063；S064；S065；S066；S067；S068；S069；S070；S071；S072</x:v>
      </x:c>
      <x:c r="U31" s="15" t="str">
        <x:v>结构</x:v>
      </x:c>
      <x:c r="V31" s="30" t="n">
        <x:v>1</x:v>
      </x:c>
      <x:c r="W31" s="45" t="b">
        <x:v>0</x:v>
      </x:c>
      <x:c r="X31" s="15" t="str">
        <x:v>cost 为现金工费，materials 为另交原料；不重复把材料基础价值计入工费。</x:v>
      </x:c>
      <x:c r="Y31" s="15" t="str">
        <x:v>原创游戏改造；效果与代价为游戏初值。</x:v>
      </x:c>
      <x:c r="Z31" s="15" t="str">
        <x:v>FC07</x:v>
      </x:c>
    </x:row>
    <x:row r="32" ht="102" customHeight="1">
      <x:c r="A32" s="13" t="str">
        <x:v>M027</x:v>
      </x:c>
      <x:c r="B32" s="13" t="str">
        <x:v>丁香通风分舱</x:v>
      </x:c>
      <x:c r="C32" s="13" t="str">
        <x:v>货舱布局</x:v>
      </x:c>
      <x:c r="D32" s="13" t="str">
        <x:v>货舱</x:v>
      </x:c>
      <x:c r="E32" s="13" t="str">
        <x:v>桑给巴尔</x:v>
      </x:c>
      <x:c r="F32" s="13" t="str">
        <x:v>桑给巴尔</x:v>
      </x:c>
      <x:c r="G32" s="27" t="n">
        <x:v>3</x:v>
      </x:c>
      <x:c r="H32" s="27" t="n">
        <x:v>1</x:v>
      </x:c>
      <x:c r="I32" s="27" t="n">
        <x:v>22000</x:v>
      </x:c>
      <x:c r="J32" s="27" t="n">
        <x:v>4</x:v>
      </x:c>
      <x:c r="K32" s="13" t="str">
        <x:v>名称：硬木；数量（以单位字段为准）：11；计量单位：标准贸易单位；商品 ID：G110；材料基础货值（银币）：1485；可替代材料商品 ID：G055；G056；G057；G110；材料用途：木料；默认就近地区船材，也可使用列出的替代船材。；名称：棉布；数量（以单位字段为准）：5；计量单位：标准贸易单位；商品 ID：G043；材料基础货值（银币）：800；材料用途：工坊加工原料。</x:v>
      </x:c>
      <x:c r="L32" s="27" t="n">
        <x:v>2285</x:v>
      </x:c>
      <x:c r="M32" s="13" t="str">
        <x:v>香料不闷湿，果物更适合跨季风航程。</x:v>
      </x:c>
      <x:c r="N32" s="13" t="str">
        <x:v>香料损耗倍率：0.45；水果腐败倍率：0.7</x:v>
      </x:c>
      <x:c r="O32" s="13" t="str">
        <x:v>占 20 舱位；不能与密封收藏舱同槽安装。</x:v>
      </x:c>
      <x:c r="P32" s="13" t="str">
        <x:v>载货量增减（舱容单位）：-20</x:v>
      </x:c>
      <x:c r="Q32" s="13" t="str">
        <x:v>货舱上新增可见竹帘风道和蓝绿通气罩。</x:v>
      </x:c>
      <x:c r="R32" s="13" t="str">
        <x:v>完成“雨季丁香箱”交易。</x:v>
      </x:c>
      <x:c r="S32" s="13" t="str">
        <x:v>全部</x:v>
      </x:c>
      <x:c r="T32" s="13" t="str">
        <x:v>S001；S002；S003；S004；S005；S006；S007；S008；S009；S010；S011；S012；S013；S014；S015；S016；S017；S018；S019；S020；S021；S022；S023；S024；S025；S026；S027；S028；S029；S030；S031；S032；S033；S034；S035；S036；S037；S038；S039；S040；S041；S042；S043；S044；S045；S046；S047；S048；S049；S050；S051；S052；S053；S054；S055；S056；S057；S058；S059；S060；S061；S062；S063；S064；S065；S066；S067；S068；S069；S070；S071；S072</x:v>
      </x:c>
      <x:c r="U32" s="13" t="str">
        <x:v>货舱</x:v>
      </x:c>
      <x:c r="V32" s="27" t="n">
        <x:v>1</x:v>
      </x:c>
      <x:c r="W32" s="36" t="b">
        <x:v>0</x:v>
      </x:c>
      <x:c r="X32" s="13" t="str">
        <x:v>cost 为现金工费，materials 为另交原料；不重复把材料基础价值计入工费。</x:v>
      </x:c>
      <x:c r="Y32" s="13" t="str">
        <x:v>原创游戏改造；效果与代价为游戏初值。</x:v>
      </x:c>
      <x:c r="Z32" s="13" t="str">
        <x:v>FC07</x:v>
      </x:c>
    </x:row>
    <x:row r="33" ht="102" customHeight="1">
      <x:c r="A33" s="15" t="str">
        <x:v>M028</x:v>
      </x:c>
      <x:c r="B33" s="15" t="str">
        <x:v>浅礁披水板</x:v>
      </x:c>
      <x:c r="C33" s="15" t="str">
        <x:v>操纵工艺</x:v>
      </x:c>
      <x:c r="D33" s="15" t="str">
        <x:v>船艉</x:v>
      </x:c>
      <x:c r="E33" s="15" t="str">
        <x:v>西印度洋交流</x:v>
      </x:c>
      <x:c r="F33" s="15" t="str">
        <x:v>莫桑比克岛</x:v>
      </x:c>
      <x:c r="G33" s="30" t="n">
        <x:v>3</x:v>
      </x:c>
      <x:c r="H33" s="30" t="n">
        <x:v>2</x:v>
      </x:c>
      <x:c r="I33" s="30" t="n">
        <x:v>19500</x:v>
      </x:c>
      <x:c r="J33" s="30" t="n">
        <x:v>4</x:v>
      </x:c>
      <x:c r="K33" s="15" t="str">
        <x:v>名称：硬木；数量（以单位字段为准）：10；计量单位：标准贸易单位；商品 ID：G110；材料基础货值（银币）：1350；可替代材料商品 ID：G055；G056；G057；G110；材料用途：木料；默认就近地区船材，也可使用列出的替代船材。；名称：铁锭；数量（以单位字段为准）：3；计量单位：标准贸易单位；商品 ID：G058；材料基础货值（银币）：360；材料用途：工坊加工原料。</x:v>
      </x:c>
      <x:c r="L33" s="30" t="n">
        <x:v>1710</x:v>
      </x:c>
      <x:c r="M33" s="15" t="str">
        <x:v>强侧风下更容易守住浅水航道。</x:v>
      </x:c>
      <x:c r="N33" s="15" t="str">
        <x:v>风致侧漂倍率：0.55；浅水横风转向评级增减（点）：10</x:v>
      </x:c>
      <x:c r="O33" s="15" t="str">
        <x:v>速度 -0.25 节；侧板易受近炮损伤。</x:v>
      </x:c>
      <x:c r="P33" s="15" t="str">
        <x:v>航速增减（节）：-0.25；舵受到伤害倍率：1.1</x:v>
      </x:c>
      <x:c r="Q33" s="15" t="str">
        <x:v>船艉两侧垂下窄长木侧板。</x:v>
      </x:c>
      <x:c r="R33" s="15" t="str">
        <x:v>完成礁道逆风试航。</x:v>
      </x:c>
      <x:c r="S33" s="15" t="str">
        <x:v>帆船非筏舟</x:v>
      </x:c>
      <x:c r="T33" s="15" t="str">
        <x:v>S001；S002；S003；S004；S005；S006；S007；S008；S009；S010；S011；S012；S013；S014；S015；S016；S017；S018；S019；S020；S021；S022；S023；S024；S025；S026；S027；S028；S029；S030；S031；S032；S033；S034；S035；S036；S037；S038；S039；S040；S041；S042；S043；S044；S045；S046；S047；S048；S049；S050；S051；S052；S053；S054；S055；S056；S057；S058；S059；S060；S061；S062；S063；S065；S066；S067；S068；S069；S070；S071；S072</x:v>
      </x:c>
      <x:c r="U33" s="15" t="str">
        <x:v>船艉</x:v>
      </x:c>
      <x:c r="V33" s="30" t="n">
        <x:v>1</x:v>
      </x:c>
      <x:c r="W33" s="45" t="b">
        <x:v>0</x:v>
      </x:c>
      <x:c r="X33" s="15" t="str">
        <x:v>cost 为现金工费，materials 为另交原料；不重复把材料基础价值计入工费。</x:v>
      </x:c>
      <x:c r="Y33" s="15" t="str">
        <x:v>原创游戏改造；效果与代价为游戏初值。</x:v>
      </x:c>
      <x:c r="Z33" s="15" t="str">
        <x:v>FC00</x:v>
      </x:c>
    </x:row>
    <x:row r="34" ht="102" customHeight="1">
      <x:c r="A34" s="13" t="str">
        <x:v>M029</x:v>
      </x:c>
      <x:c r="B34" s="13" t="str">
        <x:v>海岸折叠船台</x:v>
      </x:c>
      <x:c r="C34" s="13" t="str">
        <x:v>修理设施</x:v>
      </x:c>
      <x:c r="D34" s="13" t="str">
        <x:v>甲板</x:v>
      </x:c>
      <x:c r="E34" s="13" t="str">
        <x:v>斯瓦希里</x:v>
      </x:c>
      <x:c r="F34" s="13" t="str">
        <x:v>蒙巴萨</x:v>
      </x:c>
      <x:c r="G34" s="27" t="n">
        <x:v>4</x:v>
      </x:c>
      <x:c r="H34" s="27" t="n">
        <x:v>3</x:v>
      </x:c>
      <x:c r="I34" s="27" t="n">
        <x:v>37000</x:v>
      </x:c>
      <x:c r="J34" s="27" t="n">
        <x:v>5</x:v>
      </x:c>
      <x:c r="K34" s="13" t="str">
        <x:v>名称：硬木；数量（以单位字段为准）：22；计量单位：标准贸易单位；商品 ID：G110；材料基础货值（银币）：2970；可替代材料商品 ID：G055；G056；G057；G110；材料用途：木料；默认就近地区船材，也可使用列出的替代船材。；名称：铁锭；数量（以单位字段为准）：6；计量单位：标准贸易单位；商品 ID：G058；材料基础货值（银币）：720；材料用途：工坊加工原料。</x:v>
      </x:c>
      <x:c r="L34" s="27" t="n">
        <x:v>3690</x:v>
      </x:c>
      <x:c r="M34" s="13" t="str">
        <x:v>在避风沙岸架起船台，修复平时海上无法补齐的船底。</x:v>
      </x:c>
      <x:c r="N34" s="13" t="str">
        <x:v>搁滩船体修复量（HP/游戏日）：80；海上应急修理恢复上限（满值比例）：0.8</x:v>
      </x:c>
      <x:c r="O34" s="13" t="str">
        <x:v>占 30 舱位；至少花 1 天靠岸作业。</x:v>
      </x:c>
      <x:c r="P34" s="13" t="str">
        <x:v>载货量增减（舱容单位）：-30；滩修最短时间（游戏日）：1</x:v>
      </x:c>
      <x:c r="Q34" s="13" t="str">
        <x:v>舷侧折起三角支架、木枕和灰白帆布工具包。</x:v>
      </x:c>
      <x:c r="R34" s="13" t="str">
        <x:v>完成“补完远航者的船底”。</x:v>
      </x:c>
      <x:c r="S34" s="13" t="str">
        <x:v>全部</x:v>
      </x:c>
      <x:c r="T34" s="13" t="str">
        <x:v>S001；S002；S003；S004；S005；S006；S007；S008；S009；S010；S011；S012；S013；S014；S015；S016；S017；S018；S019；S020；S021；S022；S023；S024；S025；S026；S027；S028；S029；S030；S031；S032；S033；S034；S035；S036；S037；S038；S039；S040；S041；S042；S043；S044；S045；S046；S047；S048；S049；S050；S051；S052；S053；S054；S055；S056；S057；S058；S059；S060；S061；S062；S063；S064；S065；S066；S067；S068；S069；S070；S071；S072</x:v>
      </x:c>
      <x:c r="U34" s="13" t="str">
        <x:v>甲板</x:v>
      </x:c>
      <x:c r="V34" s="27" t="n">
        <x:v>1</x:v>
      </x:c>
      <x:c r="W34" s="36" t="b">
        <x:v>0</x:v>
      </x:c>
      <x:c r="X34" s="13" t="str">
        <x:v>cost 为现金工费，materials 为另交原料；不重复把材料基础价值计入工费。</x:v>
      </x:c>
      <x:c r="Y34" s="13" t="str">
        <x:v>原创游戏改造；效果与代价为游戏初值。</x:v>
      </x:c>
      <x:c r="Z34" s="13" t="str">
        <x:v>FC00</x:v>
      </x:c>
    </x:row>
    <x:row r="35" ht="102" customHeight="1">
      <x:c r="A35" s="15" t="str">
        <x:v>M030</x:v>
      </x:c>
      <x:c r="B35" s="15" t="str">
        <x:v>季风记忆板</x:v>
      </x:c>
      <x:c r="C35" s="15" t="str">
        <x:v>导航器具</x:v>
      </x:c>
      <x:c r="D35" s="15" t="str">
        <x:v>通用</x:v>
      </x:c>
      <x:c r="E35" s="15" t="str">
        <x:v>西印度洋领航师</x:v>
      </x:c>
      <x:c r="F35" s="15" t="str">
        <x:v>基尔瓦</x:v>
      </x:c>
      <x:c r="G35" s="30" t="n">
        <x:v>3</x:v>
      </x:c>
      <x:c r="H35" s="30" t="n">
        <x:v>0</x:v>
      </x:c>
      <x:c r="I35" s="30" t="n">
        <x:v>12000</x:v>
      </x:c>
      <x:c r="J35" s="30" t="n">
        <x:v>4</x:v>
      </x:c>
      <x:c r="K35" s="15" t="str">
        <x:v>名称：硬木；数量（以单位字段为准）：3；计量单位：标准贸易单位；商品 ID：G110；材料基础货值（银币）：405；可替代材料商品 ID：G055；G056；G057；G110；材料用途：木料；默认就近地区船材，也可使用列出的替代船材。；名称：书籍；数量（以单位字段为准）：2；计量单位：标准贸易单位；商品 ID：G098；材料基础货值（银币）：560；材料用途：作为施工与观测参考的图样书册。</x:v>
      </x:c>
      <x:c r="L35" s="30" t="n">
        <x:v>965</x:v>
      </x:c>
      <x:c r="M35" s="15" t="str">
        <x:v>世界航线会额外显示未来 12 天出发窗与预计补给差。</x:v>
      </x:c>
      <x:c r="N35" s="15" t="str">
        <x:v>季风窗口预报提前量（游戏日）：12；航线补给预测误差倍率：0.6</x:v>
      </x:c>
      <x:c r="O35" s="15" t="str">
        <x:v>占 3 舱位；需航海长在岗才能读板。</x:v>
      </x:c>
      <x:c r="P35" s="15" t="str">
        <x:v>载货量增减（舱容单位）：-3</x:v>
      </x:c>
      <x:c r="Q35" s="15" t="str">
        <x:v>航海台上放有可转动的木环与风向珠链。</x:v>
      </x:c>
      <x:c r="R35" s="15" t="str">
        <x:v>完成东非—亚丁往返航行。</x:v>
      </x:c>
      <x:c r="S35" s="15" t="str">
        <x:v>全部</x:v>
      </x:c>
      <x:c r="T35" s="15" t="str">
        <x:v>S001；S002；S003；S004；S005；S006；S007；S008；S009；S010；S011；S012；S013；S014；S015；S016；S017；S018；S019；S020；S021；S022；S023；S024；S025；S026；S027；S028；S029；S030；S031；S032；S033；S034；S035；S036；S037；S038；S039；S040；S041；S042；S043；S044；S045；S046；S047；S048；S049；S050；S051；S052；S053；S054；S055；S056；S057；S058；S059；S060；S061；S062；S063；S064；S065；S066；S067；S068；S069；S070；S071；S072</x:v>
      </x:c>
      <x:c r="U35" s="15" t="str">
        <x:v>同名改造</x:v>
      </x:c>
      <x:c r="V35" s="30" t="n">
        <x:v>1</x:v>
      </x:c>
      <x:c r="W35" s="45" t="b">
        <x:v>0</x:v>
      </x:c>
      <x:c r="X35" s="15" t="str">
        <x:v>cost 为现金工费，materials 为另交原料；不重复把材料基础价值计入工费。</x:v>
      </x:c>
      <x:c r="Y35" s="15" t="str">
        <x:v>原创游戏改造；效果与代价为游戏初值。</x:v>
      </x:c>
      <x:c r="Z35" s="15" t="str">
        <x:v>FC07</x:v>
      </x:c>
    </x:row>
    <x:row r="36" ht="102" customHeight="1">
      <x:c r="A36" s="13" t="str">
        <x:v>M031</x:v>
      </x:c>
      <x:c r="B36" s="13" t="str">
        <x:v>海湾大晚帆</x:v>
      </x:c>
      <x:c r="C36" s="13" t="str">
        <x:v>帆装工艺</x:v>
      </x:c>
      <x:c r="D36" s="13" t="str">
        <x:v>帆装</x:v>
      </x:c>
      <x:c r="E36" s="13" t="str">
        <x:v>阿曼</x:v>
      </x:c>
      <x:c r="F36" s="13" t="str">
        <x:v>马斯喀特</x:v>
      </x:c>
      <x:c r="G36" s="27" t="n">
        <x:v>2</x:v>
      </x:c>
      <x:c r="H36" s="27" t="n">
        <x:v>1</x:v>
      </x:c>
      <x:c r="I36" s="27" t="n">
        <x:v>18000</x:v>
      </x:c>
      <x:c r="J36" s="27" t="n">
        <x:v>3</x:v>
      </x:c>
      <x:c r="K36" s="13" t="str">
        <x:v>名称：棉布；数量（以单位字段为准）：12；计量单位：标准贸易单位；商品 ID：G043；材料基础货值（银币）：1920；材料用途：工坊加工原料。；名称：柚木；数量（以单位字段为准）：4；计量单位：标准贸易单位；商品 ID：G055；材料基础货值（银币）：720；可替代材料商品 ID：G055；G056；G057；G110；材料用途：木料；默认就近地区船材，也可使用列出的替代船材。</x:v>
      </x:c>
      <x:c r="L36" s="27" t="n">
        <x:v>2640</x:v>
      </x:c>
      <x:c r="M36" s="13" t="str">
        <x:v>一张巨大晚帆适合海湾侧风加速。</x:v>
      </x:c>
      <x:c r="N36" s="13" t="str">
        <x:v>横风航速倍率：1.18；将逆风禁航半角设为（度）：46</x:v>
      </x:c>
      <x:c r="O36" s="13" t="str">
        <x:v>迎风换舷多 3 s；桅杆耐久 -10%。</x:v>
      </x:c>
      <x:c r="P36" s="13" t="str">
        <x:v>逆风转向时间增减（秒）：3；桅杆耐久倍率：0.9</x:v>
      </x:c>
      <x:c r="Q36" s="13" t="str">
        <x:v>巨幅奶白晚帆带绿色细边，长桁从艏斜指高空。</x:v>
      </x:c>
      <x:c r="R36" s="13" t="str">
        <x:v>马斯喀特发展 D2。</x:v>
      </x:c>
      <x:c r="S36" s="13" t="str">
        <x:v>帆船非筏舟</x:v>
      </x:c>
      <x:c r="T36" s="13" t="str">
        <x:v>S001；S002；S003；S004；S005；S006；S007；S008；S009；S010；S011；S012；S013；S014；S015；S016；S017；S018；S019；S020；S021；S022；S023；S024；S025；S026；S027；S028；S029；S030；S031；S032；S033；S034；S035；S036；S037；S038；S039；S040；S041；S042；S043；S044；S045；S046；S047；S048；S049；S050；S051；S052；S053；S054；S055；S056；S057；S058；S059；S060；S061；S062；S063；S065；S066；S067；S068；S069；S070；S071；S072</x:v>
      </x:c>
      <x:c r="U36" s="13" t="str">
        <x:v>帆装</x:v>
      </x:c>
      <x:c r="V36" s="27" t="n">
        <x:v>1</x:v>
      </x:c>
      <x:c r="W36" s="36" t="b">
        <x:v>0</x:v>
      </x:c>
      <x:c r="X36" s="13" t="str">
        <x:v>cost 为现金工费，materials 为另交原料；不重复把材料基础价值计入工费。</x:v>
      </x:c>
      <x:c r="Y36" s="13" t="str">
        <x:v>原创游戏改造；效果与代价为游戏初值。</x:v>
      </x:c>
      <x:c r="Z36" s="13" t="str">
        <x:v>FC07</x:v>
      </x:c>
    </x:row>
    <x:row r="37" ht="102" customHeight="1">
      <x:c r="A37" s="15" t="str">
        <x:v>M032</x:v>
      </x:c>
      <x:c r="B37" s="15" t="str">
        <x:v>双铃采珠绞盘</x:v>
      </x:c>
      <x:c r="C37" s="15" t="str">
        <x:v>探索装置</x:v>
      </x:c>
      <x:c r="D37" s="15" t="str">
        <x:v>甲板</x:v>
      </x:c>
      <x:c r="E37" s="15" t="str">
        <x:v>波斯湾</x:v>
      </x:c>
      <x:c r="F37" s="15" t="str">
        <x:v>巴士拉</x:v>
      </x:c>
      <x:c r="G37" s="30" t="n">
        <x:v>2</x:v>
      </x:c>
      <x:c r="H37" s="30" t="n">
        <x:v>0</x:v>
      </x:c>
      <x:c r="I37" s="30" t="n">
        <x:v>12500</x:v>
      </x:c>
      <x:c r="J37" s="30" t="n">
        <x:v>3</x:v>
      </x:c>
      <x:c r="K37" s="15" t="str">
        <x:v>名称：铁锭；数量（以单位字段为准）：4；计量单位：标准贸易单位；商品 ID：G058；材料基础货值（银币）：480；材料用途：工坊加工原料。；名称：麻布；数量（以单位字段为准）：5；计量单位：标准贸易单位；商品 ID：G044；材料基础货值（银币）：725；材料用途：工坊加工原料。</x:v>
      </x:c>
      <x:c r="L37" s="30" t="n">
        <x:v>1205</x:v>
      </x:c>
      <x:c r="M37" s="15" t="str">
        <x:v>同时派出两队潜水者，并按绳铃分别回收。</x:v>
      </x:c>
      <x:c r="N37" s="15" t="str">
        <x:v>潜水队数量增减（队）：1；潜水员召回时间增减（秒）：-3</x:v>
      </x:c>
      <x:c r="O37" s="15" t="str">
        <x:v>占用 1 处甲板器械位置。</x:v>
      </x:c>
      <x:c r="P37" s="15" t="str">
        <x:v>甲板武器位增减（个）：-1</x:v>
      </x:c>
      <x:c r="Q37" s="15" t="str">
        <x:v>两台铜铃木绞盘，绳索通向两侧低平台。</x:v>
      </x:c>
      <x:c r="R37" s="15" t="str">
        <x:v>完成“第一颗月光珠”。</x:v>
      </x:c>
      <x:c r="S37" s="15" t="str">
        <x:v>全部</x:v>
      </x:c>
      <x:c r="T37" s="15" t="str">
        <x:v>S001；S002；S003；S004；S005；S006；S007；S008；S009；S010；S011；S012；S013；S014；S015；S016；S017；S018；S019；S020；S021；S022；S023；S024；S025；S026；S027；S028；S029；S030；S031；S032；S033；S034；S035；S036；S037；S038；S039；S040；S041；S042；S043；S044；S045；S046；S047；S048；S049；S050；S051；S052；S053；S054；S055；S056；S057；S058；S059；S060；S061；S062；S063；S064；S065；S066；S067；S068；S069；S070；S071；S072</x:v>
      </x:c>
      <x:c r="U37" s="15" t="str">
        <x:v>甲板</x:v>
      </x:c>
      <x:c r="V37" s="30" t="n">
        <x:v>1</x:v>
      </x:c>
      <x:c r="W37" s="45" t="b">
        <x:v>0</x:v>
      </x:c>
      <x:c r="X37" s="15" t="str">
        <x:v>cost 为现金工费，materials 为另交原料；不重复把材料基础价值计入工费。</x:v>
      </x:c>
      <x:c r="Y37" s="15" t="str">
        <x:v>原创游戏改造；效果与代价为游戏初值。</x:v>
      </x:c>
      <x:c r="Z37" s="15" t="str">
        <x:v>FC08</x:v>
      </x:c>
    </x:row>
    <x:row r="38" ht="102" customHeight="1">
      <x:c r="A38" s="13" t="str">
        <x:v>M033</x:v>
      </x:c>
      <x:c r="B38" s="13" t="str">
        <x:v>风塔通气舱</x:v>
      </x:c>
      <x:c r="C38" s="13" t="str">
        <x:v>船员设施</x:v>
      </x:c>
      <x:c r="D38" s="13" t="str">
        <x:v>货舱</x:v>
      </x:c>
      <x:c r="E38" s="13" t="str">
        <x:v>波斯湾</x:v>
      </x:c>
      <x:c r="F38" s="13" t="str">
        <x:v>阿巴斯港</x:v>
      </x:c>
      <x:c r="G38" s="27" t="n">
        <x:v>3</x:v>
      </x:c>
      <x:c r="H38" s="27" t="n">
        <x:v>1</x:v>
      </x:c>
      <x:c r="I38" s="27" t="n">
        <x:v>23500</x:v>
      </x:c>
      <x:c r="J38" s="27" t="n">
        <x:v>4</x:v>
      </x:c>
      <x:c r="K38" s="13" t="str">
        <x:v>名称：柚木；数量（以单位字段为准）：12；计量单位：标准贸易单位；商品 ID：G055；材料基础货值（银币）：2160；可替代材料商品 ID：G055；G056；G057；G110；材料用途：木料；默认就近地区船材，也可使用列出的替代船材。；名称：粗陶器；数量（以单位字段为准）：6；计量单位：标准贸易单位；商品 ID：G069；材料基础货值（银币）：540；材料用途：工坊加工原料。</x:v>
      </x:c>
      <x:c r="L38" s="27" t="n">
        <x:v>2700</x:v>
      </x:c>
      <x:c r="M38" s="13" t="str">
        <x:v>通过低位风道让船员舱持续通气。</x:v>
      </x:c>
      <x:c r="N38" s="13" t="str">
        <x:v>炎热疲劳倍率：0.5；船员每日恢复值增减（点/游戏日）：5</x:v>
      </x:c>
      <x:c r="O38" s="13" t="str">
        <x:v>占 25 舱位，不能再安装其他货舱布局。</x:v>
      </x:c>
      <x:c r="P38" s="13" t="str">
        <x:v>载货量增减（舱容单位）：-25</x:v>
      </x:c>
      <x:c r="Q38" s="13" t="str">
        <x:v>小型风塔状通气口，青蓝釉片镶边。</x:v>
      </x:c>
      <x:c r="R38" s="13" t="str">
        <x:v>阿巴斯港发展 D3。</x:v>
      </x:c>
      <x:c r="S38" s="13" t="str">
        <x:v>全部</x:v>
      </x:c>
      <x:c r="T38" s="13" t="str">
        <x:v>S001；S002；S003；S004；S005；S006；S007；S008；S009；S010；S011；S012；S013；S014；S015；S016；S017；S018；S019；S020；S021；S022；S023；S024；S025；S026；S027；S028；S029；S030；S031；S032；S033；S034；S035；S036；S037；S038；S039；S040；S041；S042；S043；S044；S045；S046；S047；S048；S049；S050；S051；S052；S053；S054；S055；S056；S057；S058；S059；S060；S061；S062；S063；S064；S065；S066；S067；S068；S069；S070；S071；S072</x:v>
      </x:c>
      <x:c r="U38" s="13" t="str">
        <x:v>货舱</x:v>
      </x:c>
      <x:c r="V38" s="27" t="n">
        <x:v>1</x:v>
      </x:c>
      <x:c r="W38" s="36" t="b">
        <x:v>0</x:v>
      </x:c>
      <x:c r="X38" s="13" t="str">
        <x:v>cost 为现金工费，materials 为另交原料；不重复把材料基础价值计入工费。</x:v>
      </x:c>
      <x:c r="Y38" s="13" t="str">
        <x:v>原创游戏改造；效果与代价为游戏初值。</x:v>
      </x:c>
      <x:c r="Z38" s="13" t="str">
        <x:v>FC00</x:v>
      </x:c>
    </x:row>
    <x:row r="39" ht="102" customHeight="1">
      <x:c r="A39" s="15" t="str">
        <x:v>M034</x:v>
      </x:c>
      <x:c r="B39" s="15" t="str">
        <x:v>雕花瞭望艉廊</x:v>
      </x:c>
      <x:c r="C39" s="15" t="str">
        <x:v>指挥装置</x:v>
      </x:c>
      <x:c r="D39" s="15" t="str">
        <x:v>船艉</x:v>
      </x:c>
      <x:c r="E39" s="15" t="str">
        <x:v>阿曼</x:v>
      </x:c>
      <x:c r="F39" s="15" t="str">
        <x:v>马斯喀特</x:v>
      </x:c>
      <x:c r="G39" s="30" t="n">
        <x:v>3</x:v>
      </x:c>
      <x:c r="H39" s="30" t="n">
        <x:v>2</x:v>
      </x:c>
      <x:c r="I39" s="30" t="n">
        <x:v>26000</x:v>
      </x:c>
      <x:c r="J39" s="30" t="n">
        <x:v>4</x:v>
      </x:c>
      <x:c r="K39" s="15" t="str">
        <x:v>名称：柚木；数量（以单位字段为准）：14；计量单位：标准贸易单位；商品 ID：G055；材料基础货值（银币）：2520；可替代材料商品 ID：G055；G056；G057；G110；材料用途：木料；默认就近地区船材，也可使用列出的替代船材。；名称：玻璃器皿；数量（以单位字段为准）：5；计量单位：标准贸易单位；商品 ID：G071；材料基础货值（银币）：1550；材料用途：工坊加工原料。</x:v>
      </x:c>
      <x:c r="L39" s="30" t="n">
        <x:v>4070</x:v>
      </x:c>
      <x:c r="M39" s="15" t="str">
        <x:v>船后方威胁更早被发现，适合保护满载商队。</x:v>
      </x:c>
      <x:c r="N39" s="15" t="str">
        <x:v>后方侦测距离增减（米）：300；舰队集结半径增减（米）：150</x:v>
      </x:c>
      <x:c r="O39" s="15" t="str">
        <x:v>艉部受弹面积 +15%。</x:v>
      </x:c>
      <x:c r="P39" s="15" t="str">
        <x:v>船艉可命中面积倍率：1.15</x:v>
      </x:c>
      <x:c r="Q39" s="15" t="str">
        <x:v>木雕格栅与细长凸出阳台，夜间呈温暖琥珀色。</x:v>
      </x:c>
      <x:c r="R39" s="15" t="str">
        <x:v>获得海湾工匠的“七窗之艉”图纸。</x:v>
      </x:c>
      <x:c r="S39" s="15" t="str">
        <x:v>全部</x:v>
      </x:c>
      <x:c r="T39" s="15" t="str">
        <x:v>S001；S002；S003；S004；S005；S006；S007；S008；S009；S010；S011；S012；S013；S014；S015；S016；S017；S018；S019；S020；S021；S022；S023；S024；S025；S026；S027；S028；S029；S030；S031；S032；S033；S034；S035；S036；S037；S038；S039；S040；S041；S042；S043；S044；S045；S046；S047；S048；S049；S050；S051；S052；S053；S054；S055；S056；S057；S058；S059；S060；S061；S062；S063；S064；S065；S066；S067；S068；S069；S070；S071；S072</x:v>
      </x:c>
      <x:c r="U39" s="15" t="str">
        <x:v>船艉</x:v>
      </x:c>
      <x:c r="V39" s="30" t="n">
        <x:v>1</x:v>
      </x:c>
      <x:c r="W39" s="45" t="b">
        <x:v>0</x:v>
      </x:c>
      <x:c r="X39" s="15" t="str">
        <x:v>cost 为现金工费，materials 为另交原料；不重复把材料基础价值计入工费。</x:v>
      </x:c>
      <x:c r="Y39" s="15" t="str">
        <x:v>原创游戏改造；效果与代价为游戏初值。</x:v>
      </x:c>
      <x:c r="Z39" s="15" t="str">
        <x:v>FC08</x:v>
      </x:c>
    </x:row>
    <x:row r="40" ht="102" customHeight="1">
      <x:c r="A40" s="13" t="str">
        <x:v>M035</x:v>
      </x:c>
      <x:c r="B40" s="13" t="str">
        <x:v>乳香陶封收藏舱</x:v>
      </x:c>
      <x:c r="C40" s="13" t="str">
        <x:v>货舱布局</x:v>
      </x:c>
      <x:c r="D40" s="13" t="str">
        <x:v>货舱</x:v>
      </x:c>
      <x:c r="E40" s="13" t="str">
        <x:v>也门</x:v>
      </x:c>
      <x:c r="F40" s="13" t="str">
        <x:v>亚丁</x:v>
      </x:c>
      <x:c r="G40" s="27" t="n">
        <x:v>4</x:v>
      </x:c>
      <x:c r="H40" s="27" t="n">
        <x:v>1</x:v>
      </x:c>
      <x:c r="I40" s="27" t="n">
        <x:v>30000</x:v>
      </x:c>
      <x:c r="J40" s="27" t="n">
        <x:v>5</x:v>
      </x:c>
      <x:c r="K40" s="13" t="str">
        <x:v>名称：粗陶器；数量（以单位字段为准）：10；计量单位：标准贸易单位；商品 ID：G069；材料基础货值（银币）：900；材料用途：工坊加工原料。；名称：柚木；数量（以单位字段为准）：12；计量单位：标准贸易单位；商品 ID：G055；材料基础货值（银币）：2160；可替代材料商品 ID：G055；G056；G057；G110；材料用途：木料；默认就近地区船材，也可使用列出的替代船材。</x:v>
      </x:c>
      <x:c r="L40" s="27" t="n">
        <x:v>3060</x:v>
      </x:c>
      <x:c r="M40" s="13" t="str">
        <x:v>收藏类探索物与易碎贸易品使用独立陶封缓冲格。</x:v>
      </x:c>
      <x:c r="N40" s="13" t="str">
        <x:v>易碎奢侈品损耗倍率：0.3；古物保存效果倍率：1.4</x:v>
      </x:c>
      <x:c r="O40" s="13" t="str">
        <x:v>占 30 舱位，装卸时间 +15%。</x:v>
      </x:c>
      <x:c r="P40" s="13" t="str">
        <x:v>载货量增减（舱容单位）：-30；港口装载时间倍率：1.15</x:v>
      </x:c>
      <x:c r="Q40" s="13" t="str">
        <x:v>甲板舱口有釉蓝铭牌，内部陶罐与软垫分格可见。</x:v>
      </x:c>
      <x:c r="R40" s="13" t="str">
        <x:v>带回一件海底藏品并完成修复委托。</x:v>
      </x:c>
      <x:c r="S40" s="13" t="str">
        <x:v>全部</x:v>
      </x:c>
      <x:c r="T40" s="13" t="str">
        <x:v>S001；S002；S003；S004；S005；S006；S007；S008；S009；S010；S011；S012；S013；S014；S015；S016；S017；S018；S019；S020；S021；S022；S023；S024；S025；S026；S027；S028；S029；S030；S031；S032；S033；S034；S035；S036；S037；S038；S039；S040；S041；S042；S043；S044；S045；S046；S047；S048；S049；S050；S051；S052；S053；S054；S055；S056；S057；S058；S059；S060；S061；S062；S063；S064；S065；S066；S067；S068；S069；S070；S071；S072</x:v>
      </x:c>
      <x:c r="U40" s="13" t="str">
        <x:v>货舱</x:v>
      </x:c>
      <x:c r="V40" s="27" t="n">
        <x:v>1</x:v>
      </x:c>
      <x:c r="W40" s="36" t="b">
        <x:v>0</x:v>
      </x:c>
      <x:c r="X40" s="13" t="str">
        <x:v>cost 为现金工费，materials 为另交原料；不重复把材料基础价值计入工费。</x:v>
      </x:c>
      <x:c r="Y40" s="13" t="str">
        <x:v>原创游戏改造；效果与代价为游戏初值。</x:v>
      </x:c>
      <x:c r="Z40" s="13" t="str">
        <x:v>FC00</x:v>
      </x:c>
    </x:row>
    <x:row r="41" ht="102" customHeight="1">
      <x:c r="A41" s="15" t="str">
        <x:v>M036</x:v>
      </x:c>
      <x:c r="B41" s="15" t="str">
        <x:v>海峡双锚阵</x:v>
      </x:c>
      <x:c r="C41" s="15" t="str">
        <x:v>锚泊机械</x:v>
      </x:c>
      <x:c r="D41" s="15" t="str">
        <x:v>船艏</x:v>
      </x:c>
      <x:c r="E41" s="15" t="str">
        <x:v>霍尔木兹</x:v>
      </x:c>
      <x:c r="F41" s="15" t="str">
        <x:v>霍尔木兹</x:v>
      </x:c>
      <x:c r="G41" s="30" t="n">
        <x:v>3</x:v>
      </x:c>
      <x:c r="H41" s="30" t="n">
        <x:v>3</x:v>
      </x:c>
      <x:c r="I41" s="30" t="n">
        <x:v>28500</x:v>
      </x:c>
      <x:c r="J41" s="30" t="n">
        <x:v>4</x:v>
      </x:c>
      <x:c r="K41" s="15" t="str">
        <x:v>名称：铁锭；数量（以单位字段为准）：12；计量单位：标准贸易单位；商品 ID：G058；材料基础货值（银币）：1440；材料用途：工坊加工原料。；名称：麻布；数量（以单位字段为准）：5；计量单位：标准贸易单位；商品 ID：G044；材料基础货值（银币）：725；材料用途：工坊加工原料。</x:v>
      </x:c>
      <x:c r="L41" s="30" t="n">
        <x:v>2165</x:v>
      </x:c>
      <x:c r="M41" s="15" t="str">
        <x:v>双锚锁住漂移，仍可在 70° 扇区缓慢转动艏炮。</x:v>
      </x:c>
      <x:c r="N41" s="15" t="str">
        <x:v>锚泊漂移倍率：0.2；锚泊回转角度（度）：70</x:v>
      </x:c>
      <x:c r="O41" s="15" t="str">
        <x:v>起锚多 5 s、占 14 舱位。</x:v>
      </x:c>
      <x:c r="P41" s="15" t="str">
        <x:v>起锚时间增减（秒）：5；载货量增减（舱容单位）：-14</x:v>
      </x:c>
      <x:c r="Q41" s="15" t="str">
        <x:v>艏两侧各一根粗锚缆，铜色锚链导轮。</x:v>
      </x:c>
      <x:c r="R41" s="15" t="str">
        <x:v>守住一次海峡入口。</x:v>
      </x:c>
      <x:c r="S41" s="15" t="str">
        <x:v>有炮位船</x:v>
      </x:c>
      <x:c r="T41" s="15" t="str">
        <x:v>S001；S002；S003；S004；S005；S006；S007；S008；S009；S010；S011；S012；S013；S014；S015；S016；S017；S018；S020；S021；S022；S023；S024；S025；S026；S027；S028；S029；S030；S031；S032；S033；S034；S035；S036；S037；S038；S039；S040；S041；S042；S043；S044；S045；S046；S047；S048；S049；S050；S051；S052；S053；S054；S055；S056；S057；S058；S059；S060；S061；S062；S063；S065；S066；S067；S069；S070；S071；S072</x:v>
      </x:c>
      <x:c r="U41" s="15" t="str">
        <x:v>船艏</x:v>
      </x:c>
      <x:c r="V41" s="30" t="n">
        <x:v>1</x:v>
      </x:c>
      <x:c r="W41" s="45" t="b">
        <x:v>0</x:v>
      </x:c>
      <x:c r="X41" s="15" t="str">
        <x:v>cost 为现金工费，materials 为另交原料；不重复把材料基础价值计入工费。</x:v>
      </x:c>
      <x:c r="Y41" s="15" t="str">
        <x:v>原创游戏改造；效果与代价为游戏初值。</x:v>
      </x:c>
      <x:c r="Z41" s="15" t="str">
        <x:v>FC00</x:v>
      </x:c>
    </x:row>
    <x:row r="42" ht="102" customHeight="1">
      <x:c r="A42" s="13" t="str">
        <x:v>M037</x:v>
      </x:c>
      <x:c r="B42" s="13" t="str">
        <x:v>柚木重肋架</x:v>
      </x:c>
      <x:c r="C42" s="13" t="str">
        <x:v>船体工艺</x:v>
      </x:c>
      <x:c r="D42" s="13" t="str">
        <x:v>结构</x:v>
      </x:c>
      <x:c r="E42" s="13" t="str">
        <x:v>印度船厂</x:v>
      </x:c>
      <x:c r="F42" s="13" t="str">
        <x:v>苏拉特</x:v>
      </x:c>
      <x:c r="G42" s="27" t="n">
        <x:v>4</x:v>
      </x:c>
      <x:c r="H42" s="27" t="n">
        <x:v>3</x:v>
      </x:c>
      <x:c r="I42" s="27" t="n">
        <x:v>43000</x:v>
      </x:c>
      <x:c r="J42" s="27" t="n">
        <x:v>5</x:v>
      </x:c>
      <x:c r="K42" s="13" t="str">
        <x:v>名称：柚木；数量（以单位字段为准）：20；计量单位：标准贸易单位；商品 ID：G055；材料基础货值（银币）：3600；材料用途：工坊加工原料。；名称：铁锭；数量（以单位字段为准）：8；计量单位：标准贸易单位；商品 ID：G058；材料基础货值（银币）：960；材料用途：工坊加工原料。</x:v>
      </x:c>
      <x:c r="L42" s="27" t="n">
        <x:v>4560</x:v>
      </x:c>
      <x:c r="M42" s="13" t="str">
        <x:v>提高船体耐久并减少碎板导致的船员损失。</x:v>
      </x:c>
      <x:c r="N42" s="13" t="str">
        <x:v>船体耐久倍率：1.22；飞溅木片造成船员伤害倍率：0.6</x:v>
      </x:c>
      <x:c r="O42" s="13" t="str">
        <x:v>速度 -0.4 节、货舱 -24。</x:v>
      </x:c>
      <x:c r="P42" s="13" t="str">
        <x:v>航速增减（节）：-0.4；载货量增减（舱容单位）：-24</x:v>
      </x:c>
      <x:c r="Q42" s="13" t="str">
        <x:v>新加粗的深金色弧形船骨在炮廊可见。</x:v>
      </x:c>
      <x:c r="R42" s="13" t="str">
        <x:v>完成“百日不散的骨架”试航。</x:v>
      </x:c>
      <x:c r="S42" s="13" t="str">
        <x:v>全部</x:v>
      </x:c>
      <x:c r="T42" s="13" t="str">
        <x:v>S001；S002；S003；S004；S005；S006；S007；S008；S009；S010；S011；S012；S013；S014；S015；S016；S017；S018；S019；S020；S021；S022；S023；S024；S025；S026；S027；S028；S029；S030；S031；S032；S033；S034；S035；S036；S037；S038；S039；S040；S041；S042；S043；S044；S045；S046；S047；S048；S049；S050；S051；S052；S053；S054；S055；S056；S057；S058；S059；S060；S061；S062；S063；S064；S065；S066；S067；S068；S069；S070；S071；S072</x:v>
      </x:c>
      <x:c r="U42" s="13" t="str">
        <x:v>结构</x:v>
      </x:c>
      <x:c r="V42" s="27" t="n">
        <x:v>1</x:v>
      </x:c>
      <x:c r="W42" s="36" t="b">
        <x:v>0</x:v>
      </x:c>
      <x:c r="X42" s="13" t="str">
        <x:v>cost 为现金工费，materials 为另交原料；不重复把材料基础价值计入工费。</x:v>
      </x:c>
      <x:c r="Y42" s="13" t="str">
        <x:v>原创游戏改造；效果与代价为游戏初值。</x:v>
      </x:c>
      <x:c r="Z42" s="13" t="str">
        <x:v>FC07</x:v>
      </x:c>
    </x:row>
    <x:row r="43" ht="102" customHeight="1">
      <x:c r="A43" s="15" t="str">
        <x:v>M038</x:v>
      </x:c>
      <x:c r="B43" s="15" t="str">
        <x:v>古吉拉特轻棉帆</x:v>
      </x:c>
      <x:c r="C43" s="15" t="str">
        <x:v>帆装工艺</x:v>
      </x:c>
      <x:c r="D43" s="15" t="str">
        <x:v>帆装</x:v>
      </x:c>
      <x:c r="E43" s="15" t="str">
        <x:v>古吉拉特</x:v>
      </x:c>
      <x:c r="F43" s="15" t="str">
        <x:v>苏拉特</x:v>
      </x:c>
      <x:c r="G43" s="30" t="n">
        <x:v>3</x:v>
      </x:c>
      <x:c r="H43" s="30" t="n">
        <x:v>1</x:v>
      </x:c>
      <x:c r="I43" s="30" t="n">
        <x:v>22000</x:v>
      </x:c>
      <x:c r="J43" s="30" t="n">
        <x:v>4</x:v>
      </x:c>
      <x:c r="K43" s="15" t="str">
        <x:v>名称：棉布；数量（以单位字段为准）：14；计量单位：标准贸易单位；商品 ID：G043；材料基础货值（银币）：2240；材料用途：工坊加工原料。；名称：麻布；数量（以单位字段为准）：3；计量单位：标准贸易单位；商品 ID：G044；材料基础货值（银币）：435；材料用途：工坊加工原料。</x:v>
      </x:c>
      <x:c r="L43" s="30" t="n">
        <x:v>2675</x:v>
      </x:c>
      <x:c r="M43" s="15" t="str">
        <x:v>微风时更早鼓帆，快速起航。</x:v>
      </x:c>
      <x:c r="N43" s="15" t="str">
        <x:v>微风航速倍率：1.2；升帆时间倍率：0.75</x:v>
      </x:c>
      <x:c r="O43" s="15" t="str">
        <x:v>帆装火焰伤害 +20%。</x:v>
      </x:c>
      <x:c r="P43" s="15" t="str">
        <x:v>火焰造成帆具伤害倍率：1.2</x:v>
      </x:c>
      <x:c r="Q43" s="15" t="str">
        <x:v>洁白细织棉帆透出柔光，细靛纹沿缝线延伸。</x:v>
      </x:c>
      <x:c r="R43" s="15" t="str">
        <x:v>完成棉布商会的双港订单。</x:v>
      </x:c>
      <x:c r="S43" s="15" t="str">
        <x:v>全部</x:v>
      </x:c>
      <x:c r="T43" s="15" t="str">
        <x:v>S001；S002；S003；S004；S005；S006；S007；S008；S009；S010；S011；S012；S013；S014；S015；S016；S017；S018；S019；S020；S021；S022；S023；S024；S025；S026；S027；S028；S029；S030；S031；S032；S033；S034；S035；S036；S037；S038；S039；S040；S041；S042；S043；S044；S045；S046；S047；S048；S049；S050；S051；S052；S053；S054；S055；S056；S057；S058；S059；S060；S061；S062；S063；S064；S065；S066；S067；S068；S069；S070；S071；S072</x:v>
      </x:c>
      <x:c r="U43" s="15" t="str">
        <x:v>帆装</x:v>
      </x:c>
      <x:c r="V43" s="30" t="n">
        <x:v>1</x:v>
      </x:c>
      <x:c r="W43" s="45" t="b">
        <x:v>0</x:v>
      </x:c>
      <x:c r="X43" s="15" t="str">
        <x:v>cost 为现金工费，materials 为另交原料；不重复把材料基础价值计入工费。</x:v>
      </x:c>
      <x:c r="Y43" s="15" t="str">
        <x:v>原创游戏改造；效果与代价为游戏初值。</x:v>
      </x:c>
      <x:c r="Z43" s="15" t="str">
        <x:v>FC00</x:v>
      </x:c>
    </x:row>
    <x:row r="44" ht="102" customHeight="1">
      <x:c r="A44" s="13" t="str">
        <x:v>M039</x:v>
      </x:c>
      <x:c r="B44" s="13" t="str">
        <x:v>格拉布长艏炮廊</x:v>
      </x:c>
      <x:c r="C44" s="13" t="str">
        <x:v>武器平台</x:v>
      </x:c>
      <x:c r="D44" s="13" t="str">
        <x:v>船艏</x:v>
      </x:c>
      <x:c r="E44" s="13" t="str">
        <x:v>康坎海岸</x:v>
      </x:c>
      <x:c r="F44" s="13" t="str">
        <x:v>果阿</x:v>
      </x:c>
      <x:c r="G44" s="27" t="n">
        <x:v>4</x:v>
      </x:c>
      <x:c r="H44" s="27" t="n">
        <x:v>3</x:v>
      </x:c>
      <x:c r="I44" s="27" t="n">
        <x:v>36500</x:v>
      </x:c>
      <x:c r="J44" s="27" t="n">
        <x:v>5</x:v>
      </x:c>
      <x:c r="K44" s="13" t="str">
        <x:v>名称：柚木；数量（以单位字段为准）：18；计量单位：标准贸易单位；商品 ID：G055；材料基础货值（银币）：3240；可替代材料商品 ID：G055；G056；G057；G110；材料用途：木料；默认就近地区船材，也可使用列出的替代船材。；名称：铁锭；数量（以单位字段为准）：9；计量单位：标准贸易单位；商品 ID：G058；材料基础货值（银币）：1080；材料用途：工坊加工原料。</x:v>
      </x:c>
      <x:c r="L44" s="27" t="n">
        <x:v>4320</x:v>
      </x:c>
      <x:c r="M44" s="13" t="str">
        <x:v>艏炮可分两组交错射击，适合迎敌逼近。</x:v>
      </x:c>
      <x:c r="N44" s="13" t="str">
        <x:v>船艏武器位增减（个）：2；艏炮后坐影响下命中率倍率：0.8</x:v>
      </x:c>
      <x:c r="O44" s="13" t="str">
        <x:v>转向 -9；迎浪艏损伤 +15%。</x:v>
      </x:c>
      <x:c r="P44" s="13" t="str">
        <x:v>转向评级增减（点）：-9；船艏受浪伤害倍率：1.15</x:v>
      </x:c>
      <x:c r="Q44" s="13" t="str">
        <x:v>艏平台前伸并降低，炮口穿过后部横隔板射向前方。</x:v>
      </x:c>
      <x:c r="R44" s="13" t="str">
        <x:v>获得格拉布造船师图纸。</x:v>
      </x:c>
      <x:c r="S44" s="13" t="str">
        <x:v>有炮位船</x:v>
      </x:c>
      <x:c r="T44" s="13" t="str">
        <x:v>S001；S002；S003；S004；S005；S006；S007；S008；S009；S010；S011；S012；S013；S014；S015；S016；S017；S018；S020；S021；S022；S023；S024；S025；S026；S027；S028；S029；S030；S031；S032；S033；S034；S035；S036；S037；S038；S039；S040；S041；S042；S043；S044；S045；S046；S047；S048；S049；S050；S051；S052；S053；S054；S055；S056；S057；S058；S059；S060；S061；S062；S063；S065；S066；S067；S069；S070；S071；S072</x:v>
      </x:c>
      <x:c r="U44" s="13" t="str">
        <x:v>船艏</x:v>
      </x:c>
      <x:c r="V44" s="27" t="n">
        <x:v>1</x:v>
      </x:c>
      <x:c r="W44" s="36" t="b">
        <x:v>0</x:v>
      </x:c>
      <x:c r="X44" s="13" t="str">
        <x:v>cost 为现金工费，materials 为另交原料；不重复把材料基础价值计入工费。</x:v>
      </x:c>
      <x:c r="Y44" s="13" t="str">
        <x:v>原创游戏改造；效果与代价为游戏初值。</x:v>
      </x:c>
      <x:c r="Z44" s="13" t="str">
        <x:v>FC18</x:v>
      </x:c>
    </x:row>
    <x:row r="45" ht="102" customHeight="1">
      <x:c r="A45" s="15" t="str">
        <x:v>M040</x:v>
      </x:c>
      <x:c r="B45" s="15" t="str">
        <x:v>季雨炮廊遮板</x:v>
      </x:c>
      <x:c r="C45" s="15" t="str">
        <x:v>甲板工艺</x:v>
      </x:c>
      <x:c r="D45" s="15" t="str">
        <x:v>甲板</x:v>
      </x:c>
      <x:c r="E45" s="15" t="str">
        <x:v>马拉巴尔</x:v>
      </x:c>
      <x:c r="F45" s="15" t="str">
        <x:v>柯钦</x:v>
      </x:c>
      <x:c r="G45" s="30" t="n">
        <x:v>3</x:v>
      </x:c>
      <x:c r="H45" s="30" t="n">
        <x:v>2</x:v>
      </x:c>
      <x:c r="I45" s="30" t="n">
        <x:v>18500</x:v>
      </x:c>
      <x:c r="J45" s="30" t="n">
        <x:v>4</x:v>
      </x:c>
      <x:c r="K45" s="15" t="str">
        <x:v>名称：柚木；数量（以单位字段为准）：9；计量单位：标准贸易单位；商品 ID：G055；材料基础货值（银币）：1620；可替代材料商品 ID：G055；G056；G057；G110；材料用途：木料；默认就近地区船材，也可使用列出的替代船材。；名称：棉布；数量（以单位字段为准）：6；计量单位：标准贸易单位；商品 ID：G043；材料基础货值（银币）：960；材料用途：工坊加工原料。</x:v>
      </x:c>
      <x:c r="L45" s="30" t="n">
        <x:v>2580</x:v>
      </x:c>
      <x:c r="M45" s="15" t="str">
        <x:v>雨中收下遮板，炮手能维持稳定装填。</x:v>
      </x:c>
      <x:c r="N45" s="15" t="str">
        <x:v>雨天装填惩罚倍率：0.25；甲板滑倒风险倍率：0.7</x:v>
      </x:c>
      <x:c r="O45" s="15" t="str">
        <x:v>侧舷炮上下射界各收窄 5°。</x:v>
      </x:c>
      <x:c r="P45" s="15" t="str">
        <x:v>舰炮射界增减（度）：-5</x:v>
      </x:c>
      <x:c r="Q45" s="15" t="str">
        <x:v>舷侧炮口上方增加折叠百叶小檐。</x:v>
      </x:c>
      <x:c r="R45" s="15" t="str">
        <x:v>完成雨中炮术试射。</x:v>
      </x:c>
      <x:c r="S45" s="15" t="str">
        <x:v>有炮位船</x:v>
      </x:c>
      <x:c r="T45" s="15" t="str">
        <x:v>S001；S002；S003；S004；S005；S006；S007；S008；S009；S010；S011；S012；S013；S014；S015；S016；S017；S018；S020；S021；S022；S023；S024；S025；S026；S027；S028；S029；S030；S031；S032；S033；S034；S035；S036；S037；S038；S039；S040；S041；S042；S043；S044；S045；S046；S047；S048；S049；S050；S051；S052；S053；S054；S055；S056；S057；S058；S059；S060；S061；S062；S063；S065；S066；S067；S069；S070；S071；S072</x:v>
      </x:c>
      <x:c r="U45" s="15" t="str">
        <x:v>甲板</x:v>
      </x:c>
      <x:c r="V45" s="30" t="n">
        <x:v>1</x:v>
      </x:c>
      <x:c r="W45" s="45" t="b">
        <x:v>0</x:v>
      </x:c>
      <x:c r="X45" s="15" t="str">
        <x:v>cost 为现金工费，materials 为另交原料；不重复把材料基础价值计入工费。</x:v>
      </x:c>
      <x:c r="Y45" s="15" t="str">
        <x:v>原创游戏改造；效果与代价为游戏初值。</x:v>
      </x:c>
      <x:c r="Z45" s="15" t="str">
        <x:v>FC00</x:v>
      </x:c>
    </x:row>
    <x:row r="46" ht="102" customHeight="1">
      <x:c r="A46" s="13" t="str">
        <x:v>M041</x:v>
      </x:c>
      <x:c r="B46" s="13" t="str">
        <x:v>孟加拉粮仓抽屉</x:v>
      </x:c>
      <x:c r="C46" s="13" t="str">
        <x:v>货舱布局</x:v>
      </x:c>
      <x:c r="D46" s="13" t="str">
        <x:v>货舱</x:v>
      </x:c>
      <x:c r="E46" s="13" t="str">
        <x:v>孟加拉</x:v>
      </x:c>
      <x:c r="F46" s="13" t="str">
        <x:v>吉大港</x:v>
      </x:c>
      <x:c r="G46" s="27" t="n">
        <x:v>3</x:v>
      </x:c>
      <x:c r="H46" s="27" t="n">
        <x:v>1</x:v>
      </x:c>
      <x:c r="I46" s="27" t="n">
        <x:v>21000</x:v>
      </x:c>
      <x:c r="J46" s="27" t="n">
        <x:v>4</x:v>
      </x:c>
      <x:c r="K46" s="13" t="str">
        <x:v>名称：柚木；数量（以单位字段为准）：15；计量单位：标准贸易单位；商品 ID：G055；材料基础货值（银币）：2700；可替代材料商品 ID：G055；G056；G057；G110；材料用途：木料；默认就近地区船材，也可使用列出的替代船材。；名称：棉布；数量（以单位字段为准）：5；计量单位：标准贸易单位；商品 ID：G043；材料基础货值（银币）：800；材料用途：工坊加工原料。</x:v>
      </x:c>
      <x:c r="L46" s="27" t="n">
        <x:v>3500</x:v>
      </x:c>
      <x:c r="M46" s="13" t="str">
        <x:v>仅谷物获得额外 60 舱位与防潮收益。</x:v>
      </x:c>
      <x:c r="N46" s="13" t="str">
        <x:v>谷物载货量增减（舱容单位）：60；谷物腐败倍率：0.55</x:v>
      </x:c>
      <x:c r="O46" s="13" t="str">
        <x:v>换装其他货物时反而少 30 舱位。</x:v>
      </x:c>
      <x:c r="P46" s="13" t="str">
        <x:v>非谷物载货量增减（舱容单位）：-30</x:v>
      </x:c>
      <x:c r="Q46" s="13" t="str">
        <x:v>低货舱分成整齐抽屉状木格，白色米袋一眼可读。</x:v>
      </x:c>
      <x:c r="R46" s="13" t="str">
        <x:v>交付一次饥荒港救济粮。</x:v>
      </x:c>
      <x:c r="S46" s="13" t="str">
        <x:v>全部</x:v>
      </x:c>
      <x:c r="T46" s="13" t="str">
        <x:v>S001；S002；S003；S004；S005；S006；S007；S008；S009；S010；S011；S012；S013；S014；S015；S016；S017；S018；S019；S020；S021；S022；S023；S024；S025；S026；S027；S028；S029；S030；S031；S032；S033；S034；S035；S036；S037；S038；S039；S040；S041；S042；S043；S044；S045；S046；S047；S048；S049；S050；S051；S052；S053；S054；S055；S056；S057；S058；S059；S060；S061；S062；S063；S064；S065；S066；S067；S068；S069；S070；S071；S072</x:v>
      </x:c>
      <x:c r="U46" s="13" t="str">
        <x:v>货舱</x:v>
      </x:c>
      <x:c r="V46" s="27" t="n">
        <x:v>1</x:v>
      </x:c>
      <x:c r="W46" s="36" t="b">
        <x:v>0</x:v>
      </x:c>
      <x:c r="X46" s="13" t="str">
        <x:v>cost 为现金工费，materials 为另交原料；不重复把材料基础价值计入工费。</x:v>
      </x:c>
      <x:c r="Y46" s="13" t="str">
        <x:v>原创游戏改造；效果与代价为游戏初值。</x:v>
      </x:c>
      <x:c r="Z46" s="13" t="str">
        <x:v>FC00</x:v>
      </x:c>
    </x:row>
    <x:row r="47" ht="102" customHeight="1">
      <x:c r="A47" s="15" t="str">
        <x:v>M042</x:v>
      </x:c>
      <x:c r="B47" s="15" t="str">
        <x:v>莲瓣柔舵</x:v>
      </x:c>
      <x:c r="C47" s="15" t="str">
        <x:v>操纵工艺</x:v>
      </x:c>
      <x:c r="D47" s="15" t="str">
        <x:v>船艉</x:v>
      </x:c>
      <x:c r="E47" s="15" t="str">
        <x:v>孟加拉湾</x:v>
      </x:c>
      <x:c r="F47" s="15" t="str">
        <x:v>马苏利帕特南</x:v>
      </x:c>
      <x:c r="G47" s="30" t="n">
        <x:v>3</x:v>
      </x:c>
      <x:c r="H47" s="30" t="n">
        <x:v>2</x:v>
      </x:c>
      <x:c r="I47" s="30" t="n">
        <x:v>19500</x:v>
      </x:c>
      <x:c r="J47" s="30" t="n">
        <x:v>4</x:v>
      </x:c>
      <x:c r="K47" s="15" t="str">
        <x:v>名称：柚木；数量（以单位字段为准）：11；计量单位：标准贸易单位；商品 ID：G055；材料基础货值（银币）：1980；可替代材料商品 ID：G055；G056；G057；G110；材料用途：木料；默认就近地区船材，也可使用列出的替代船材。；名称：铁锭；数量（以单位字段为准）：3；计量单位：标准贸易单位；商品 ID：G058；材料基础货值（银币）：360；材料用途：工坊加工原料。</x:v>
      </x:c>
      <x:c r="L47" s="30" t="n">
        <x:v>2340</x:v>
      </x:c>
      <x:c r="M47" s="15" t="str">
        <x:v>宽叶片舵提供慢速回转与河道转向。</x:v>
      </x:c>
      <x:c r="N47" s="15" t="str">
        <x:v>转向评级增减（点）：13；河流中转向惩罚倍率：0.5</x:v>
      </x:c>
      <x:c r="O47" s="15" t="str">
        <x:v>速度 -0.35 节；舵耐久 -10%。</x:v>
      </x:c>
      <x:c r="P47" s="15" t="str">
        <x:v>航速增减（节）：-0.35；舵耐久倍率：0.9</x:v>
      </x:c>
      <x:c r="Q47" s="15" t="str">
        <x:v>船艉宽舵如一瓣深褐莲叶。</x:v>
      </x:c>
      <x:c r="R47" s="15" t="str">
        <x:v>完成河口三弯测深。</x:v>
      </x:c>
      <x:c r="S47" s="15" t="str">
        <x:v>帆船非筏舟</x:v>
      </x:c>
      <x:c r="T47" s="15" t="str">
        <x:v>S001；S002；S003；S004；S005；S006；S007；S008；S009；S010；S011；S012；S013；S014；S015；S016；S017；S018；S019；S020；S021；S022；S023；S024；S025；S026；S027；S028；S029；S030；S031；S032；S033；S034；S035；S036；S037；S038；S039；S040；S041；S042；S043；S044；S045；S046；S047；S048；S049；S050；S051；S052；S053；S054；S055；S056；S057；S058；S059；S060；S061；S062；S063；S065；S066；S067；S068；S069；S070；S071；S072</x:v>
      </x:c>
      <x:c r="U47" s="15" t="str">
        <x:v>船艉</x:v>
      </x:c>
      <x:c r="V47" s="30" t="n">
        <x:v>1</x:v>
      </x:c>
      <x:c r="W47" s="45" t="b">
        <x:v>0</x:v>
      </x:c>
      <x:c r="X47" s="15" t="str">
        <x:v>cost 为现金工费，materials 为另交原料；不重复把材料基础价值计入工费。</x:v>
      </x:c>
      <x:c r="Y47" s="15" t="str">
        <x:v>原创游戏改造；效果与代价为游戏初值。</x:v>
      </x:c>
      <x:c r="Z47" s="15" t="str">
        <x:v>FC00</x:v>
      </x:c>
    </x:row>
    <x:row r="48" ht="102" customHeight="1">
      <x:c r="A48" s="13" t="str">
        <x:v>M043</x:v>
      </x:c>
      <x:c r="B48" s="13" t="str">
        <x:v>丹惹折翼帆</x:v>
      </x:c>
      <x:c r="C48" s="13" t="str">
        <x:v>帆装工艺</x:v>
      </x:c>
      <x:c r="D48" s="13" t="str">
        <x:v>帆装</x:v>
      </x:c>
      <x:c r="E48" s="13" t="str">
        <x:v>爪哇</x:v>
      </x:c>
      <x:c r="F48" s="13" t="str">
        <x:v>万丹</x:v>
      </x:c>
      <x:c r="G48" s="27" t="n">
        <x:v>2</x:v>
      </x:c>
      <x:c r="H48" s="27" t="n">
        <x:v>1</x:v>
      </x:c>
      <x:c r="I48" s="27" t="n">
        <x:v>16500</x:v>
      </x:c>
      <x:c r="J48" s="27" t="n">
        <x:v>3</x:v>
      </x:c>
      <x:c r="K48" s="13" t="str">
        <x:v>名称：棉布；数量（以单位字段为准）：10；计量单位：标准贸易单位；商品 ID：G043；材料基础货值（银币）：1600；材料用途：工坊加工原料。；名称：硬木；数量（以单位字段为准）：6；计量单位：标准贸易单位；商品 ID：G110；材料基础货值（银币）：810；可替代材料商品 ID：G055；G056；G057；G110；材料用途：木料；默认就近地区船材，也可使用列出的替代船材。</x:v>
      </x:c>
      <x:c r="L48" s="27" t="n">
        <x:v>2410</x:v>
      </x:c>
      <x:c r="M48" s="13" t="str">
        <x:v>可旋转倾斜矩帆，在横风中保持大受风面。</x:v>
      </x:c>
      <x:c r="N48" s="13" t="str">
        <x:v>帆面转动时间（秒）：5；正横风航速倍率：1.18</x:v>
      </x:c>
      <x:c r="O48" s="13" t="str">
        <x:v>贴近正逆风时航速 -10%。</x:v>
      </x:c>
      <x:c r="P48" s="13" t="str">
        <x:v>逆风航速倍率：0.9</x:v>
      </x:c>
      <x:c r="Q48" s="13" t="str">
        <x:v>大块倾斜矩形帆如折叠屏风。</x:v>
      </x:c>
      <x:c r="R48" s="13" t="str">
        <x:v>获得爪哇帆匠图纸。</x:v>
      </x:c>
      <x:c r="S48" s="13" t="str">
        <x:v>帆船非筏舟</x:v>
      </x:c>
      <x:c r="T48" s="13" t="str">
        <x:v>S001；S002；S003；S004；S005；S006；S007；S008；S009；S010；S011；S012；S013；S014；S015；S016；S017；S018；S019；S020；S021；S022；S023；S024；S025；S026；S027；S028；S029；S030；S031；S032；S033；S034；S035；S036；S037；S038；S039；S040；S041；S042；S043；S044；S045；S046；S047；S048；S049；S050；S051；S052；S053；S054；S055；S056；S057；S058；S059；S060；S061；S062；S063；S065；S066；S067；S068；S069；S070；S071；S072</x:v>
      </x:c>
      <x:c r="U48" s="13" t="str">
        <x:v>帆装</x:v>
      </x:c>
      <x:c r="V48" s="27" t="n">
        <x:v>1</x:v>
      </x:c>
      <x:c r="W48" s="36" t="b">
        <x:v>0</x:v>
      </x:c>
      <x:c r="X48" s="13" t="str">
        <x:v>cost 为现金工费，materials 为另交原料；不重复把材料基础价值计入工费。</x:v>
      </x:c>
      <x:c r="Y48" s="13" t="str">
        <x:v>原创游戏改造；效果与代价为游戏初值。</x:v>
      </x:c>
      <x:c r="Z48" s="13" t="str">
        <x:v>FC09</x:v>
      </x:c>
    </x:row>
    <x:row r="49" ht="72" customHeight="1">
      <x:c r="A49" s="15" t="str">
        <x:v>M044</x:v>
      </x:c>
      <x:c r="B49" s="15" t="str">
        <x:v>双竹支架</x:v>
      </x:c>
      <x:c r="C49" s="15" t="str">
        <x:v>船体工艺</x:v>
      </x:c>
      <x:c r="D49" s="15" t="str">
        <x:v>结构</x:v>
      </x:c>
      <x:c r="E49" s="15" t="str">
        <x:v>南岛群岛</x:v>
      </x:c>
      <x:c r="F49" s="15" t="str">
        <x:v>马尼拉</x:v>
      </x:c>
      <x:c r="G49" s="30" t="n">
        <x:v>2</x:v>
      </x:c>
      <x:c r="H49" s="30" t="n">
        <x:v>1</x:v>
      </x:c>
      <x:c r="I49" s="30" t="n">
        <x:v>17500</x:v>
      </x:c>
      <x:c r="J49" s="30" t="n">
        <x:v>3</x:v>
      </x:c>
      <x:c r="K49" s="15" t="str">
        <x:v>名称：硬木；数量（以单位字段为准）：12；计量单位：标准贸易单位；商品 ID：G110；材料基础货值（银币）：1620；可替代材料商品 ID：G055；G056；G057；G110；材料用途：木料；默认就近地区船材，也可使用列出的替代船材。；名称：麻布；数量（以单位字段为准）：7；计量单位：标准贸易单位；商品 ID：G044；材料基础货值（银币）：1015；材料用途：工坊加工原料。</x:v>
      </x:c>
      <x:c r="L49" s="30" t="n">
        <x:v>2635</x:v>
      </x:c>
      <x:c r="M49" s="15" t="str">
        <x:v>轻船获得稳定外伸浮架，可以更积极走浅礁。</x:v>
      </x:c>
      <x:c r="N49" s="15" t="str">
        <x:v>横摇幅度倍率：0.55；横风航速倍率：1.12；浅水转向评级增减（点）：8</x:v>
      </x:c>
      <x:c r="O49" s="15" t="str">
        <x:v>船宽 +65%；不可装重炮。</x:v>
      </x:c>
      <x:c r="P49" s="15" t="str">
        <x:v>队形宽度倍率：1.65；是否允许安装重炮：False</x:v>
      </x:c>
      <x:c r="Q49" s="15" t="str">
        <x:v>两侧竹质浮架延伸成舒展弧线。</x:v>
      </x:c>
      <x:c r="R49" s="15" t="str">
        <x:v>完成“海燕不翻身”群岛试航。</x:v>
      </x:c>
      <x:c r="S49" s="15" t="str">
        <x:v>单体小船</x:v>
      </x:c>
      <x:c r="T49" s="15" t="str">
        <x:v>S001；S002；S004；S005；S007；S008；S011；S013；S014；S015；S016；S017；S019；S020；S021；S024；S025；S027；S029；S030；S035；S036；S037；S041；S048；S053；S054；S055；S056；S059；S060；S065</x:v>
      </x:c>
      <x:c r="U49" s="15" t="str">
        <x:v>结构</x:v>
      </x:c>
      <x:c r="V49" s="30" t="n">
        <x:v>1</x:v>
      </x:c>
      <x:c r="W49" s="45" t="b">
        <x:v>0</x:v>
      </x:c>
      <x:c r="X49" s="15" t="str">
        <x:v>cost 为现金工费，materials 为另交原料；不重复把材料基础价值计入工费。</x:v>
      </x:c>
      <x:c r="Y49" s="15" t="str">
        <x:v>原创游戏改造；效果与代价为游戏初值。</x:v>
      </x:c>
      <x:c r="Z49" s="15" t="str">
        <x:v>FC15</x:v>
      </x:c>
    </x:row>
    <x:row r="50" ht="72" customHeight="1">
      <x:c r="A50" s="13" t="str">
        <x:v>M045</x:v>
      </x:c>
      <x:c r="B50" s="13" t="str">
        <x:v>荣克木销重壳</x:v>
      </x:c>
      <x:c r="C50" s="13" t="str">
        <x:v>船体工艺</x:v>
      </x:c>
      <x:c r="D50" s="13" t="str">
        <x:v>结构</x:v>
      </x:c>
      <x:c r="E50" s="13" t="str">
        <x:v>爪哇</x:v>
      </x:c>
      <x:c r="F50" s="13" t="str">
        <x:v>万丹</x:v>
      </x:c>
      <x:c r="G50" s="27" t="n">
        <x:v>4</x:v>
      </x:c>
      <x:c r="H50" s="27" t="n">
        <x:v>3</x:v>
      </x:c>
      <x:c r="I50" s="27" t="n">
        <x:v>37000</x:v>
      </x:c>
      <x:c r="J50" s="27" t="n">
        <x:v>5</x:v>
      </x:c>
      <x:c r="K50" s="13" t="str">
        <x:v>名称：硬木；数量（以单位字段为准）：25；计量单位：标准贸易单位；商品 ID：G110；材料基础货值（银币）：3375；可替代材料商品 ID：G055；G056；G057；G110；材料用途：木料；默认就近地区船材，也可使用列出的替代船材。；名称：树脂；数量（以单位字段为准）：4；计量单位：标准贸易单位；商品 ID：G090；材料基础货值（银币）：380；材料用途：工坊加工原料。</x:v>
      </x:c>
      <x:c r="L50" s="27" t="n">
        <x:v>3755</x:v>
      </x:c>
      <x:c r="M50" s="13" t="str">
        <x:v>加厚壳板，适合大货舱被命中后继续航行。</x:v>
      </x:c>
      <x:c r="N50" s="13" t="str">
        <x:v>船体耐久倍率：1.2；进水增长倍率：0.75</x:v>
      </x:c>
      <x:c r="O50" s="13" t="str">
        <x:v>速度 -0.6 节、转向 -6。</x:v>
      </x:c>
      <x:c r="P50" s="13" t="str">
        <x:v>航速增减（节）：-0.6；转向评级增减（点）：-6</x:v>
      </x:c>
      <x:c r="Q50" s="13" t="str">
        <x:v>船身板层加厚，木销一排排形成细小装饰点。</x:v>
      </x:c>
      <x:c r="R50" s="13" t="str">
        <x:v>Jong 船厂关系 40。</x:v>
      </x:c>
      <x:c r="S50" s="13" t="str">
        <x:v>重型船</x:v>
      </x:c>
      <x:c r="T50" s="13" t="str">
        <x:v>S005；S006；S010；S011；S012；S017；S018；S022；S023；S028；S032；S033；S034；S038；S039；S040；S045；S046；S047；S052；S054；S055；S056；S057；S058；S061；S062；S063；S066；S067；S072</x:v>
      </x:c>
      <x:c r="U50" s="13" t="str">
        <x:v>结构</x:v>
      </x:c>
      <x:c r="V50" s="27" t="n">
        <x:v>1</x:v>
      </x:c>
      <x:c r="W50" s="36" t="b">
        <x:v>0</x:v>
      </x:c>
      <x:c r="X50" s="13" t="str">
        <x:v>cost 为现金工费，materials 为另交原料；不重复把材料基础价值计入工费。</x:v>
      </x:c>
      <x:c r="Y50" s="13" t="str">
        <x:v>原创游戏改造；效果与代价为游戏初值。</x:v>
      </x:c>
      <x:c r="Z50" s="13" t="str">
        <x:v>FC09</x:v>
      </x:c>
    </x:row>
    <x:row r="51" ht="102" customHeight="1">
      <x:c r="A51" s="15" t="str">
        <x:v>M046</x:v>
      </x:c>
      <x:c r="B51" s="15" t="str">
        <x:v>七帆分令系统</x:v>
      </x:c>
      <x:c r="C51" s="15" t="str">
        <x:v>帆装工艺</x:v>
      </x:c>
      <x:c r="D51" s="15" t="str">
        <x:v>帆装</x:v>
      </x:c>
      <x:c r="E51" s="15" t="str">
        <x:v>南苏拉威西</x:v>
      </x:c>
      <x:c r="F51" s="15" t="str">
        <x:v>望加锡</x:v>
      </x:c>
      <x:c r="G51" s="30" t="n">
        <x:v>5</x:v>
      </x:c>
      <x:c r="H51" s="30" t="n">
        <x:v>4</x:v>
      </x:c>
      <x:c r="I51" s="30" t="n">
        <x:v>49000</x:v>
      </x:c>
      <x:c r="J51" s="30" t="n">
        <x:v>6</x:v>
      </x:c>
      <x:c r="K51" s="15" t="str">
        <x:v>名称：棉布；数量（以单位字段为准）：18；计量单位：标准贸易单位；商品 ID：G043；材料基础货值（银币）：2880；材料用途：工坊加工原料。；名称：硬木；数量（以单位字段为准）：10；计量单位：标准贸易单位；商品 ID：G110；材料基础货值（银币）：1350；可替代材料商品 ID：G055；G056；G057；G110；材料用途：木料；默认就近地区船材，也可使用列出的替代船材。；名称：麻布；数量（以单位字段为准）：8；计量单位：标准贸易单位；商品 ID：G044；材料基础货值（银币）：1160；材料用途：工坊加工原料。</x:v>
      </x:c>
      <x:c r="L51" s="30" t="n">
        <x:v>5390</x:v>
      </x:c>
      <x:c r="M51" s="15" t="str">
        <x:v>开放三组预设帆位；帆缆长可排队一次换档而不打断航线。</x:v>
      </x:c>
      <x:c r="N51" s="15" t="str">
        <x:v>操帆预设增减（套）：2；操帆状态切换时间（秒）：5；阵风航速倍率：1.18</x:v>
      </x:c>
      <x:c r="O51" s="15" t="str">
        <x:v>最低船员 +8、索具维修费用 +20%。</x:v>
      </x:c>
      <x:c r="P51" s="15" t="str">
        <x:v>最低船员人数增减（人）：8；帆具修理费用倍率：1.2</x:v>
      </x:c>
      <x:c r="Q51" s="15" t="str">
        <x:v>高处增加整齐七帆与红蓝两组控制绳。</x:v>
      </x:c>
      <x:c r="R51" s="15" t="str">
        <x:v>完成 Pinisi 文化图纸委托。</x:v>
      </x:c>
      <x:c r="S51" s="15" t="str">
        <x:v>帆船非筏舟</x:v>
      </x:c>
      <x:c r="T51" s="15" t="str">
        <x:v>S001；S002；S003；S004；S005；S006；S007；S008；S009；S010；S011；S012；S013；S014；S015；S016；S017；S018；S019；S020；S021；S022；S023；S024；S025；S026；S027；S028；S029；S030；S031；S032；S033；S034；S035；S036；S037；S038；S039；S040；S041；S042；S043；S044；S045；S046；S047；S048；S049；S050；S051；S052；S053；S054；S055；S056；S057；S058；S059；S060；S061；S062；S063；S065；S066；S067；S068；S069；S070；S071；S072</x:v>
      </x:c>
      <x:c r="U51" s="15" t="str">
        <x:v>帆装</x:v>
      </x:c>
      <x:c r="V51" s="30" t="n">
        <x:v>1</x:v>
      </x:c>
      <x:c r="W51" s="45" t="b">
        <x:v>0</x:v>
      </x:c>
      <x:c r="X51" s="15" t="str">
        <x:v>cost 为现金工费，materials 为另交原料；不重复把材料基础价值计入工费。</x:v>
      </x:c>
      <x:c r="Y51" s="15" t="str">
        <x:v>参考 Pinisi 帆装艺术的跨年代原创系统。</x:v>
      </x:c>
      <x:c r="Z51" s="15" t="str">
        <x:v>FC09</x:v>
      </x:c>
    </x:row>
    <x:row r="52" ht="102" customHeight="1">
      <x:c r="A52" s="13" t="str">
        <x:v>M047</x:v>
      </x:c>
      <x:c r="B52" s="13" t="str">
        <x:v>群岛接驳连桥</x:v>
      </x:c>
      <x:c r="C52" s="13" t="str">
        <x:v>贸易设施</x:v>
      </x:c>
      <x:c r="D52" s="13" t="str">
        <x:v>甲板</x:v>
      </x:c>
      <x:c r="E52" s="13" t="str">
        <x:v>马来—布吉</x:v>
      </x:c>
      <x:c r="F52" s="13" t="str">
        <x:v>马六甲</x:v>
      </x:c>
      <x:c r="G52" s="27" t="n">
        <x:v>4</x:v>
      </x:c>
      <x:c r="H52" s="27" t="n">
        <x:v>2</x:v>
      </x:c>
      <x:c r="I52" s="27" t="n">
        <x:v>31500</x:v>
      </x:c>
      <x:c r="J52" s="27" t="n">
        <x:v>5</x:v>
      </x:c>
      <x:c r="K52" s="13" t="str">
        <x:v>名称：硬木；数量（以单位字段为准）：18；计量单位：标准贸易单位；商品 ID：G110；材料基础货值（银币）：2430；可替代材料商品 ID：G055；G056；G057；G110；材料用途：木料；默认就近地区船材，也可使用列出的替代船材。；名称：铁锭；数量（以单位字段为准）：5；计量单位：标准贸易单位；商品 ID：G058；材料基础货值（银币）：600；材料用途：工坊加工原料。</x:v>
      </x:c>
      <x:c r="L52" s="27" t="n">
        <x:v>3030</x:v>
      </x:c>
      <x:c r="M52" s="13" t="str">
        <x:v>小舟可两侧同时靠接，访问尚无完整码头的岛屿货源。</x:v>
      </x:c>
      <x:c r="N52" s="13" t="str">
        <x:v>驳船转运量（舱容单位）：25；未建港锚地交易槽（个）：2</x:v>
      </x:c>
      <x:c r="O52" s="13" t="str">
        <x:v>占 18 舱位、速度 -0.25 节。</x:v>
      </x:c>
      <x:c r="P52" s="13" t="str">
        <x:v>载货量增减（舱容单位）：-18；航速增减（节）：-0.25</x:v>
      </x:c>
      <x:c r="Q52" s="13" t="str">
        <x:v>舷侧轻木连桥向两边展开，挂小片松石色遮篷。</x:v>
      </x:c>
      <x:c r="R52" s="13" t="str">
        <x:v>达成三个群岛锚地友好关系。</x:v>
      </x:c>
      <x:c r="S52" s="13" t="str">
        <x:v>全部</x:v>
      </x:c>
      <x:c r="T52" s="13" t="str">
        <x:v>S001；S002；S003；S004；S005；S006；S007；S008；S009；S010；S011；S012；S013；S014；S015；S016；S017；S018；S019；S020；S021；S022；S023；S024；S025；S026；S027；S028；S029；S030；S031；S032；S033；S034；S035；S036；S037；S038；S039；S040；S041；S042；S043；S044；S045；S046；S047；S048；S049；S050；S051；S052；S053；S054；S055；S056；S057；S058；S059；S060；S061；S062；S063；S064；S065；S066；S067；S068；S069；S070；S071；S072</x:v>
      </x:c>
      <x:c r="U52" s="13" t="str">
        <x:v>甲板</x:v>
      </x:c>
      <x:c r="V52" s="27" t="n">
        <x:v>1</x:v>
      </x:c>
      <x:c r="W52" s="36" t="b">
        <x:v>0</x:v>
      </x:c>
      <x:c r="X52" s="13" t="str">
        <x:v>cost 为现金工费，materials 为另交原料；不重复把材料基础价值计入工费。</x:v>
      </x:c>
      <x:c r="Y52" s="13" t="str">
        <x:v>原创游戏改造；效果与代价为游戏初值。</x:v>
      </x:c>
      <x:c r="Z52" s="13" t="str">
        <x:v>FC00</x:v>
      </x:c>
    </x:row>
    <x:row r="53" ht="102" customHeight="1">
      <x:c r="A53" s="15" t="str">
        <x:v>M048</x:v>
      </x:c>
      <x:c r="B53" s="15" t="str">
        <x:v>铜鱼探深绳盘</x:v>
      </x:c>
      <x:c r="C53" s="15" t="str">
        <x:v>探索装置</x:v>
      </x:c>
      <x:c r="D53" s="15" t="str">
        <x:v>通用</x:v>
      </x:c>
      <x:c r="E53" s="15" t="str">
        <x:v>海峡领航师</x:v>
      </x:c>
      <x:c r="F53" s="15" t="str">
        <x:v>亚齐</x:v>
      </x:c>
      <x:c r="G53" s="30" t="n">
        <x:v>2</x:v>
      </x:c>
      <x:c r="H53" s="30" t="n">
        <x:v>0</x:v>
      </x:c>
      <x:c r="I53" s="30" t="n">
        <x:v>8800</x:v>
      </x:c>
      <x:c r="J53" s="30" t="n">
        <x:v>3</x:v>
      </x:c>
      <x:c r="K53" s="15" t="str">
        <x:v>名称：铜锭；数量（以单位字段为准）：4；计量单位：标准贸易单位；商品 ID：G059；材料基础货值（银币）：740；材料用途：工坊加工原料。；名称：麻布；数量（以单位字段为准）：5；计量单位：标准贸易单位；商品 ID：G044；材料基础货值（银币）：725；材料用途：工坊加工原料。</x:v>
      </x:c>
      <x:c r="L53" s="30" t="n">
        <x:v>1465</x:v>
      </x:c>
      <x:c r="M53" s="15" t="str">
        <x:v>点击前方水面投出测深坠，提前描出一条局部等深线。</x:v>
      </x:c>
      <x:c r="N53" s="15" t="str">
        <x:v>测深作用范围（米）：160；测深时间（秒）：3</x:v>
      </x:c>
      <x:c r="O53" s="15" t="str">
        <x:v>需要 1 名水手操作。</x:v>
      </x:c>
      <x:c r="P53" s="15" t="str">
        <x:v>岗位所需船员增减（人）：1</x:v>
      </x:c>
      <x:c r="Q53" s="15" t="str">
        <x:v>铜鱼形测深坠与深红绳盘挂在艏侧。</x:v>
      </x:c>
      <x:c r="R53" s="15" t="str">
        <x:v>记录五处新礁线。</x:v>
      </x:c>
      <x:c r="S53" s="15" t="str">
        <x:v>全部</x:v>
      </x:c>
      <x:c r="T53" s="15" t="str">
        <x:v>S001；S002；S003；S004；S005；S006；S007；S008；S009；S010；S011；S012；S013；S014；S015；S016；S017；S018；S019；S020；S021；S022；S023；S024；S025；S026；S027；S028；S029；S030；S031；S032；S033；S034；S035；S036；S037；S038；S039；S040；S041；S042；S043；S044；S045；S046；S047；S048；S049；S050；S051；S052；S053；S054；S055；S056；S057；S058；S059；S060；S061；S062；S063；S064；S065；S066；S067；S068；S069；S070；S071；S072</x:v>
      </x:c>
      <x:c r="U53" s="15" t="str">
        <x:v>同名改造</x:v>
      </x:c>
      <x:c r="V53" s="30" t="n">
        <x:v>1</x:v>
      </x:c>
      <x:c r="W53" s="45" t="b">
        <x:v>0</x:v>
      </x:c>
      <x:c r="X53" s="15" t="str">
        <x:v>cost 为现金工费，materials 为另交原料；不重复把材料基础价值计入工费。</x:v>
      </x:c>
      <x:c r="Y53" s="15" t="str">
        <x:v>原创游戏改造；效果与代价为游戏初值。</x:v>
      </x:c>
      <x:c r="Z53" s="15" t="str">
        <x:v>FC00</x:v>
      </x:c>
    </x:row>
    <x:row r="54" ht="102" customHeight="1">
      <x:c r="A54" s="13" t="str">
        <x:v>M049</x:v>
      </x:c>
      <x:c r="B54" s="13" t="str">
        <x:v>福船水密隔舱</x:v>
      </x:c>
      <x:c r="C54" s="13" t="str">
        <x:v>船体工艺</x:v>
      </x:c>
      <x:c r="D54" s="13" t="str">
        <x:v>结构</x:v>
      </x:c>
      <x:c r="E54" s="13" t="str">
        <x:v>福建</x:v>
      </x:c>
      <x:c r="F54" s="13" t="str">
        <x:v>泉州</x:v>
      </x:c>
      <x:c r="G54" s="27" t="n">
        <x:v>3</x:v>
      </x:c>
      <x:c r="H54" s="27" t="n">
        <x:v>2</x:v>
      </x:c>
      <x:c r="I54" s="27" t="n">
        <x:v>34000</x:v>
      </x:c>
      <x:c r="J54" s="27" t="n">
        <x:v>4</x:v>
      </x:c>
      <x:c r="K54" s="13" t="str">
        <x:v>名称：松木；数量（以单位字段为准）：22；计量单位：标准贸易单位；商品 ID：G057；材料基础货值（银币）：1540；可替代材料商品 ID：G055；G056；G057；G110；材料用途：木料；默认就近地区船材，也可使用列出的替代船材。；名称：树脂；数量（以单位字段为准）：5；计量单位：标准贸易单位；商品 ID：G090；材料基础货值（银币）：475；材料用途：工坊加工原料。</x:v>
      </x:c>
      <x:c r="L54" s="27" t="n">
        <x:v>2015</x:v>
      </x:c>
      <x:c r="M54" s="13" t="str">
        <x:v>进水按舱区控制，玩家可关掉受损区，保住其他舱室。</x:v>
      </x:c>
      <x:c r="N54" s="13" t="str">
        <x:v>进水最多蔓延分区（区）：1；隔舱止水时间（秒）：4；船体耐久倍率：1.1</x:v>
      </x:c>
      <x:c r="O54" s="13" t="str">
        <x:v>占 32 舱位、装卸时间 +10%。</x:v>
      </x:c>
      <x:c r="P54" s="13" t="str">
        <x:v>载货量增减（舱容单位）：-32；港口装载时间倍率：1.1</x:v>
      </x:c>
      <x:c r="Q54" s="13" t="str">
        <x:v>船体剖面可见一组厚横隔板，外侧水线新增白色分舱刻度。</x:v>
      </x:c>
      <x:c r="R54" s="13" t="str">
        <x:v>获得泉州水密隔舱图纸。</x:v>
      </x:c>
      <x:c r="S54" s="13" t="str">
        <x:v>全部</x:v>
      </x:c>
      <x:c r="T54" s="13" t="str">
        <x:v>S001；S002；S003；S004；S005；S006；S007；S008；S009；S010；S011；S012；S013；S014；S015；S016；S017；S018；S019；S020；S021；S022；S023；S024；S025；S026；S027；S028；S029；S030；S031；S032；S033；S034；S035；S036；S037；S038；S039；S040；S041；S042；S043；S044；S045；S046；S047；S048；S049；S050；S051；S052；S053；S054；S055；S056；S057；S058；S059；S060；S061；S062；S063；S064；S065；S066；S067；S068；S069；S070；S071；S072</x:v>
      </x:c>
      <x:c r="U54" s="13" t="str">
        <x:v>结构</x:v>
      </x:c>
      <x:c r="V54" s="27" t="n">
        <x:v>1</x:v>
      </x:c>
      <x:c r="W54" s="36" t="b">
        <x:v>0</x:v>
      </x:c>
      <x:c r="X54" s="13" t="str">
        <x:v>cost 为现金工费，materials 为另交原料；不重复把材料基础价值计入工费。</x:v>
      </x:c>
      <x:c r="Y54" s="13" t="str">
        <x:v>原创游戏改造；效果与代价为游戏初值。</x:v>
      </x:c>
      <x:c r="Z54" s="13" t="str">
        <x:v>FC11</x:v>
      </x:c>
    </x:row>
    <x:row r="55" ht="102" customHeight="1">
      <x:c r="A55" s="15" t="str">
        <x:v>M050</x:v>
      </x:c>
      <x:c r="B55" s="15" t="str">
        <x:v>竹骨分片硬帆</x:v>
      </x:c>
      <x:c r="C55" s="15" t="str">
        <x:v>帆装工艺</x:v>
      </x:c>
      <x:c r="D55" s="15" t="str">
        <x:v>帆装</x:v>
      </x:c>
      <x:c r="E55" s="15" t="str">
        <x:v>东亚</x:v>
      </x:c>
      <x:c r="F55" s="15" t="str">
        <x:v>福州</x:v>
      </x:c>
      <x:c r="G55" s="30" t="n">
        <x:v>3</x:v>
      </x:c>
      <x:c r="H55" s="30" t="n">
        <x:v>2</x:v>
      </x:c>
      <x:c r="I55" s="30" t="n">
        <x:v>24500</x:v>
      </x:c>
      <x:c r="J55" s="30" t="n">
        <x:v>4</x:v>
      </x:c>
      <x:c r="K55" s="15" t="str">
        <x:v>名称：棉布；数量（以单位字段为准）：12；计量单位：标准贸易单位；商品 ID：G043；材料基础货值（银币）：1920；材料用途：工坊加工原料。；名称：松木；数量（以单位字段为准）：10；计量单位：标准贸易单位；商品 ID：G057；材料基础货值（银币）：700；可替代材料商品 ID：G055；G056；G057；G110；材料用途：木料；默认就近地区船材，也可使用列出的替代船材。</x:v>
      </x:c>
      <x:c r="L55" s="30" t="n">
        <x:v>2620</x:v>
      </x:c>
      <x:c r="M55" s="15" t="str">
        <x:v>单片帆受损时其他帆片继续工作；缩帆非常直观。</x:v>
      </x:c>
      <x:c r="N55" s="15" t="str">
        <x:v>缩帆时间（秒）：3；帆具局部受损航速损失倍率：0.55</x:v>
      </x:c>
      <x:c r="O55" s="15" t="str">
        <x:v>大顺风极速 -8%。</x:v>
      </x:c>
      <x:c r="P55" s="15" t="str">
        <x:v>顺风航速倍率：0.92</x:v>
      </x:c>
      <x:c r="Q55" s="15" t="str">
        <x:v>半透明帆面被整齐深色竹骨切分，缩起后如折扇。</x:v>
      </x:c>
      <x:c r="R55" s="15" t="str">
        <x:v>福州发展 D3、武装 A2。</x:v>
      </x:c>
      <x:c r="S55" s="15" t="str">
        <x:v>帆船非筏舟</x:v>
      </x:c>
      <x:c r="T55" s="15" t="str">
        <x:v>S001；S002；S003；S004；S005；S006；S007；S008；S009；S010；S011；S012；S013；S014；S015；S016；S017；S018；S019；S020；S021；S022；S023；S024；S025；S026；S027；S028；S029；S030；S031；S032；S033；S034；S035；S036；S037；S038；S039；S040；S041；S042；S043；S044；S045；S046；S047；S048；S049；S050；S051；S052；S053；S054；S055；S056；S057；S058；S059；S060；S061；S062；S063；S065；S066；S067；S068；S069；S070；S071；S072</x:v>
      </x:c>
      <x:c r="U55" s="15" t="str">
        <x:v>帆装</x:v>
      </x:c>
      <x:c r="V55" s="30" t="n">
        <x:v>1</x:v>
      </x:c>
      <x:c r="W55" s="45" t="b">
        <x:v>0</x:v>
      </x:c>
      <x:c r="X55" s="15" t="str">
        <x:v>cost 为现金工费，materials 为另交原料；不重复把材料基础价值计入工费。</x:v>
      </x:c>
      <x:c r="Y55" s="15" t="str">
        <x:v>原创游戏改造；效果与代价为游戏初值。</x:v>
      </x:c>
      <x:c r="Z55" s="15" t="str">
        <x:v>FC10</x:v>
      </x:c>
    </x:row>
    <x:row r="56" ht="102" customHeight="1">
      <x:c r="A56" s="13" t="str">
        <x:v>M051</x:v>
      </x:c>
      <x:c r="B56" s="13" t="str">
        <x:v>绞升大艉舵</x:v>
      </x:c>
      <x:c r="C56" s="13" t="str">
        <x:v>操纵工艺</x:v>
      </x:c>
      <x:c r="D56" s="13" t="str">
        <x:v>船艉</x:v>
      </x:c>
      <x:c r="E56" s="13" t="str">
        <x:v>中国沿海</x:v>
      </x:c>
      <x:c r="F56" s="13" t="str">
        <x:v>广州</x:v>
      </x:c>
      <x:c r="G56" s="27" t="n">
        <x:v>3</x:v>
      </x:c>
      <x:c r="H56" s="27" t="n">
        <x:v>2</x:v>
      </x:c>
      <x:c r="I56" s="27" t="n">
        <x:v>25000</x:v>
      </x:c>
      <x:c r="J56" s="27" t="n">
        <x:v>4</x:v>
      </x:c>
      <x:c r="K56" s="13" t="str">
        <x:v>名称：松木；数量（以单位字段为准）：15；计量单位：标准贸易单位；商品 ID：G057；材料基础货值（银币）：1050；可替代材料商品 ID：G055；G056；G057；G110；材料用途：木料；默认就近地区船材，也可使用列出的替代船材。；名称：铁锭；数量（以单位字段为准）：5；计量单位：标准贸易单位；商品 ID：G058；材料基础货值（银币）：600；材料用途：工坊加工原料。</x:v>
      </x:c>
      <x:c r="L56" s="27" t="n">
        <x:v>1650</x:v>
      </x:c>
      <x:c r="M56" s="13" t="str">
        <x:v>正常航行用大舵，入浅滩抬舵；舵手能快速切换。</x:v>
      </x:c>
      <x:c r="N56" s="13" t="str">
        <x:v>舵损坏修复时间（秒）：8；浅水状态吃水增减（米）：-0.3；转向评级增减（点）：6</x:v>
      </x:c>
      <x:c r="O56" s="13" t="str">
        <x:v>抬起后转向 -18。</x:v>
      </x:c>
      <x:c r="P56" s="13" t="str">
        <x:v>收起机构后转向评级增减（点）：-18</x:v>
      </x:c>
      <x:c r="Q56" s="13" t="str">
        <x:v>一面高大的黑色艉舵由两条粗绳悬挂。</x:v>
      </x:c>
      <x:c r="R56" s="13" t="str">
        <x:v>完成一次从深港进入浅江的货运。</x:v>
      </x:c>
      <x:c r="S56" s="13" t="str">
        <x:v>帆船非筏舟</x:v>
      </x:c>
      <x:c r="T56" s="13" t="str">
        <x:v>S001；S002；S003；S004；S005；S006；S007；S008；S009；S010；S011；S012；S013；S014；S015；S016；S017；S018；S019；S020；S021；S022；S023；S024；S025；S026；S027；S028；S029；S030；S031；S032；S033；S034；S035；S036；S037；S038；S039；S040；S041；S042；S043；S044；S045；S046；S047；S048；S049；S050；S051；S052；S053；S054；S055；S056；S057；S058；S059；S060；S061；S062；S063；S065；S066；S067；S068；S069；S070；S071；S072</x:v>
      </x:c>
      <x:c r="U56" s="13" t="str">
        <x:v>船艉</x:v>
      </x:c>
      <x:c r="V56" s="27" t="n">
        <x:v>1</x:v>
      </x:c>
      <x:c r="W56" s="36" t="b">
        <x:v>0</x:v>
      </x:c>
      <x:c r="X56" s="13" t="str">
        <x:v>cost 为现金工费，materials 为另交原料；不重复把材料基础价值计入工费。</x:v>
      </x:c>
      <x:c r="Y56" s="13" t="str">
        <x:v>原创游戏改造；效果与代价为游戏初值。</x:v>
      </x:c>
      <x:c r="Z56" s="13" t="str">
        <x:v>FC10</x:v>
      </x:c>
    </x:row>
    <x:row r="57" ht="102" customHeight="1">
      <x:c r="A57" s="15" t="str">
        <x:v>M052</x:v>
      </x:c>
      <x:c r="B57" s="15" t="str">
        <x:v>黑漆可折屏橹</x:v>
      </x:c>
      <x:c r="C57" s="15" t="str">
        <x:v>甲板工艺</x:v>
      </x:c>
      <x:c r="D57" s="15" t="str">
        <x:v>甲板</x:v>
      </x:c>
      <x:c r="E57" s="15" t="str">
        <x:v>日本</x:v>
      </x:c>
      <x:c r="F57" s="15" t="str">
        <x:v>堺</x:v>
      </x:c>
      <x:c r="G57" s="30" t="n">
        <x:v>3</x:v>
      </x:c>
      <x:c r="H57" s="30" t="n">
        <x:v>3</x:v>
      </x:c>
      <x:c r="I57" s="30" t="n">
        <x:v>29500</x:v>
      </x:c>
      <x:c r="J57" s="30" t="n">
        <x:v>4</x:v>
      </x:c>
      <x:c r="K57" s="15" t="str">
        <x:v>名称：松木；数量（以单位字段为准）：16；计量单位：标准贸易单位；商品 ID：G057；材料基础货值（银币）：1120；可替代材料商品 ID：G055；G056；G057；G110；材料用途：木料；默认就近地区船材，也可使用列出的替代船材。；名称：漆器；数量（以单位字段为准）：4；计量单位：标准贸易单位；商品 ID：G072；材料基础货值（银币）：1920；材料用途：工坊加工原料。</x:v>
      </x:c>
      <x:c r="L57" s="30" t="n">
        <x:v>3040</x:v>
      </x:c>
      <x:c r="M57" s="15" t="str">
        <x:v>展开屏板保护突击队，准备完毕后收板放人登船。</x:v>
      </x:c>
      <x:c r="N57" s="15" t="str">
        <x:v>船员受到远程伤害倍率：0.6；登船队集结时间增减（秒）：-3</x:v>
      </x:c>
      <x:c r="O57" s="15" t="str">
        <x:v>屏板展开时射界缩窄；收板需 2 s。</x:v>
      </x:c>
      <x:c r="P57" s="15" t="str">
        <x:v>甲板炮射界增减（度）：-15；展开后己方登船时间增减（秒）：2</x:v>
      </x:c>
      <x:c r="Q57" s="15" t="str">
        <x:v>黑漆屏板与白幕一开一合，朱红框架清晰。</x:v>
      </x:c>
      <x:c r="R57" s="15" t="str">
        <x:v>完成“水上屏风”水军委托。</x:v>
      </x:c>
      <x:c r="S57" s="15" t="str">
        <x:v>有炮位船</x:v>
      </x:c>
      <x:c r="T57" s="15" t="str">
        <x:v>S001；S002；S003；S004；S005；S006；S007；S008；S009；S010；S011；S012；S013；S014；S015；S016；S017；S018；S020；S021；S022；S023；S024；S025；S026；S027；S028；S029；S030；S031；S032；S033；S034；S035；S036；S037；S038；S039；S040；S041；S042；S043；S044；S045；S046；S047；S048；S049；S050；S051；S052；S053；S054；S055；S056；S057；S058；S059；S060；S061；S062；S063；S065；S066；S067；S069；S070；S071；S072</x:v>
      </x:c>
      <x:c r="U57" s="15" t="str">
        <x:v>甲板</x:v>
      </x:c>
      <x:c r="V57" s="30" t="n">
        <x:v>1</x:v>
      </x:c>
      <x:c r="W57" s="45" t="b">
        <x:v>0</x:v>
      </x:c>
      <x:c r="X57" s="15" t="str">
        <x:v>cost 为现金工费，materials 为另交原料；不重复把材料基础价值计入工费。</x:v>
      </x:c>
      <x:c r="Y57" s="15" t="str">
        <x:v>原创游戏改造；效果与代价为游戏初值。</x:v>
      </x:c>
      <x:c r="Z57" s="15" t="str">
        <x:v>FC13</x:v>
      </x:c>
    </x:row>
    <x:row r="58" ht="72" customHeight="1">
      <x:c r="A58" s="13" t="str">
        <x:v>M053</x:v>
      </x:c>
      <x:c r="B58" s="13" t="str">
        <x:v>玄甲拒登棚</x:v>
      </x:c>
      <x:c r="C58" s="13" t="str">
        <x:v>甲板工艺</x:v>
      </x:c>
      <x:c r="D58" s="13" t="str">
        <x:v>甲板</x:v>
      </x:c>
      <x:c r="E58" s="13" t="str">
        <x:v>朝鲜</x:v>
      </x:c>
      <x:c r="F58" s="13" t="str">
        <x:v>釜山</x:v>
      </x:c>
      <x:c r="G58" s="27" t="n">
        <x:v>4</x:v>
      </x:c>
      <x:c r="H58" s="27" t="n">
        <x:v>4</x:v>
      </x:c>
      <x:c r="I58" s="27" t="n">
        <x:v>52000</x:v>
      </x:c>
      <x:c r="J58" s="27" t="n">
        <x:v>5</x:v>
      </x:c>
      <x:c r="K58" s="13" t="str">
        <x:v>名称：松木；数量（以单位字段为准）：24；计量单位：标准贸易单位；商品 ID：G057；材料基础货值（银币）：1680；可替代材料商品 ID：G055；G056；G057；G110；材料用途：木料；默认就近地区船材，也可使用列出的替代船材。；名称：铁锭；数量（以单位字段为准）：10；计量单位：标准贸易单位；商品 ID：G058；材料基础货值（银币）：1200；材料用途：工坊加工原料。</x:v>
      </x:c>
      <x:c r="L58" s="27" t="n">
        <x:v>2880</x:v>
      </x:c>
      <x:c r="M58" s="13" t="str">
        <x:v>覆盖甲板让敌人无法直接接舷，适合驶入密集敌船。</x:v>
      </x:c>
      <x:c r="N58" s="13" t="str">
        <x:v>是否允许敌方登船：False；甲板船员受到伤害倍率：0.55</x:v>
      </x:c>
      <x:c r="O58" s="13" t="str">
        <x:v>己方也不能发起登舷；视野 -18%、货舱 -35。</x:v>
      </x:c>
      <x:c r="P58" s="13" t="str">
        <x:v>是否允许己方登船：False；瞭望范围倍率：0.82；载货量增减（舱容单位）：-35</x:v>
      </x:c>
      <x:c r="Q58" s="13" t="str">
        <x:v>拱形深色木甲上覆少量金属护条，拒绝全船不明材质闪光。</x:v>
      </x:c>
      <x:c r="R58" s="13" t="str">
        <x:v>完成龟船工艺传授。</x:v>
      </x:c>
      <x:c r="S58" s="13" t="str">
        <x:v>桨帆船</x:v>
      </x:c>
      <x:c r="T58" s="13" t="str">
        <x:v>S004；S014；S015；S016；S017；S019；S020；S027；S035；S037；S038；S041；S042；S053；S054；S055；S056；S065；S068；S070；S071；S072</x:v>
      </x:c>
      <x:c r="U58" s="13" t="str">
        <x:v>甲板</x:v>
      </x:c>
      <x:c r="V58" s="27" t="n">
        <x:v>1</x:v>
      </x:c>
      <x:c r="W58" s="36" t="b">
        <x:v>0</x:v>
      </x:c>
      <x:c r="X58" s="13" t="str">
        <x:v>cost 为现金工费，materials 为另交原料；不重复把材料基础价值计入工费。</x:v>
      </x:c>
      <x:c r="Y58" s="13" t="str">
        <x:v>龟背覆盖船形为参考；本设计不主张历史龟船为全铁甲船。</x:v>
      </x:c>
      <x:c r="Z58" s="13" t="str">
        <x:v>FC14</x:v>
      </x:c>
    </x:row>
    <x:row r="59" ht="102" customHeight="1">
      <x:c r="A59" s="15" t="str">
        <x:v>M054</x:v>
      </x:c>
      <x:c r="B59" s="15" t="str">
        <x:v>万国礼货柜</x:v>
      </x:c>
      <x:c r="C59" s="15" t="str">
        <x:v>货舱布局</x:v>
      </x:c>
      <x:c r="D59" s="15" t="str">
        <x:v>货舱</x:v>
      </x:c>
      <x:c r="E59" s="15" t="str">
        <x:v>琉球</x:v>
      </x:c>
      <x:c r="F59" s="15" t="str">
        <x:v>那霸</x:v>
      </x:c>
      <x:c r="G59" s="30" t="n">
        <x:v>4</x:v>
      </x:c>
      <x:c r="H59" s="30" t="n">
        <x:v>1</x:v>
      </x:c>
      <x:c r="I59" s="30" t="n">
        <x:v>23500</x:v>
      </x:c>
      <x:c r="J59" s="30" t="n">
        <x:v>5</x:v>
      </x:c>
      <x:c r="K59" s="15" t="str">
        <x:v>名称：松木；数量（以单位字段为准）：10；计量单位：标准贸易单位；商品 ID：G057；材料基础货值（银币）：700；可替代材料商品 ID：G055；G056；G057；G110；材料用途：木料；默认就近地区船材，也可使用列出的替代船材。；名称：漆器；数量（以单位字段为准）：6；计量单位：标准贸易单位；商品 ID：G072；材料基础货值（银币）：2880；材料用途：工坊加工原料。；名称：丝绸；数量（以单位字段为准）：3；计量单位：标准贸易单位；商品 ID：G046；材料基础货值（银币）：1860；材料用途：工坊加工原料。</x:v>
      </x:c>
      <x:c r="L59" s="30" t="n">
        <x:v>5440</x:v>
      </x:c>
      <x:c r="M59" s="15" t="str">
        <x:v>三组礼货独立封签，可在拜港剧情中直接挑选赠礼。</x:v>
      </x:c>
      <x:c r="N59" s="15" t="str">
        <x:v>外交礼物槽增减（个）：3；赠礼关系加成（点）：2；易碎货物受损倍率：0.7</x:v>
      </x:c>
      <x:c r="O59" s="15" t="str">
        <x:v>占 20 舱位，不能拿来额外扩张普通仓储。</x:v>
      </x:c>
      <x:c r="P59" s="15" t="str">
        <x:v>载货量增减（舱容单位）：-20</x:v>
      </x:c>
      <x:c r="Q59" s="15" t="str">
        <x:v>朱漆抽柜与白瓷封签，船舱多出一座小型屏风。</x:v>
      </x:c>
      <x:c r="R59" s="15" t="str">
        <x:v>完成三个文化港口的正式访问。</x:v>
      </x:c>
      <x:c r="S59" s="15" t="str">
        <x:v>全部</x:v>
      </x:c>
      <x:c r="T59" s="15" t="str">
        <x:v>S001；S002；S003；S004；S005；S006；S007；S008；S009；S010；S011；S012；S013；S014；S015；S016；S017；S018；S019；S020；S021；S022；S023；S024；S025；S026；S027；S028；S029；S030；S031；S032；S033；S034；S035；S036；S037；S038；S039；S040；S041；S042；S043；S044；S045；S046；S047；S048；S049；S050；S051；S052；S053；S054；S055；S056；S057；S058；S059；S060；S061；S062；S063；S064；S065；S066；S067；S068；S069；S070；S071；S072</x:v>
      </x:c>
      <x:c r="U59" s="15" t="str">
        <x:v>货舱</x:v>
      </x:c>
      <x:c r="V59" s="30" t="n">
        <x:v>1</x:v>
      </x:c>
      <x:c r="W59" s="45" t="b">
        <x:v>0</x:v>
      </x:c>
      <x:c r="X59" s="15" t="str">
        <x:v>cost 为现金工费，materials 为另交原料；不重复把材料基础价值计入工费。</x:v>
      </x:c>
      <x:c r="Y59" s="15" t="str">
        <x:v>原创游戏改造；效果与代价为游戏初值。</x:v>
      </x:c>
      <x:c r="Z59" s="15" t="str">
        <x:v>FC13</x:v>
      </x:c>
    </x:row>
    <x:row r="60" ht="102" customHeight="1">
      <x:c r="A60" s="13" t="str">
        <x:v>M055</x:v>
      </x:c>
      <x:c r="B60" s="13" t="str">
        <x:v>百慕大后倾桅</x:v>
      </x:c>
      <x:c r="C60" s="13" t="str">
        <x:v>帆装工艺</x:v>
      </x:c>
      <x:c r="D60" s="13" t="str">
        <x:v>帆装</x:v>
      </x:c>
      <x:c r="E60" s="13" t="str">
        <x:v>北美—加勒比</x:v>
      </x:c>
      <x:c r="F60" s="13" t="str">
        <x:v>波士顿</x:v>
      </x:c>
      <x:c r="G60" s="27" t="n">
        <x:v>4</x:v>
      </x:c>
      <x:c r="H60" s="27" t="n">
        <x:v>3</x:v>
      </x:c>
      <x:c r="I60" s="27" t="n">
        <x:v>33000</x:v>
      </x:c>
      <x:c r="J60" s="27" t="n">
        <x:v>5</x:v>
      </x:c>
      <x:c r="K60" s="13" t="str">
        <x:v>名称：硬木；数量（以单位字段为准）：12；计量单位：标准贸易单位；商品 ID：G110；材料基础货值（银币）：1620；可替代材料商品 ID：G055；G056；G057；G110；材料用途：木料；默认就近地区船材，也可使用列出的替代船材。；名称：棉布；数量（以单位字段为准）：14；计量单位：标准贸易单位；商品 ID：G043；材料基础货值（银币）：2240；材料用途：工坊加工原料。</x:v>
      </x:c>
      <x:c r="L60" s="27" t="n">
        <x:v>3860</x:v>
      </x:c>
      <x:c r="M60" s="13" t="str">
        <x:v>纵帆迎风角与机动同时改善，适合追击和逃跑。</x:v>
      </x:c>
      <x:c r="N60" s="13" t="str">
        <x:v>将逆风禁航半角设为（度）：40；转向评级增减（点）：8；最大航速增减（节）：0.5</x:v>
      </x:c>
      <x:c r="O60" s="13" t="str">
        <x:v>索具耐久 -12%、最低船员 +4。</x:v>
      </x:c>
      <x:c r="P60" s="13" t="str">
        <x:v>帆具耐久倍率：0.88；最低船员人数增减（人）：4</x:v>
      </x:c>
      <x:c r="Q60" s="13" t="str">
        <x:v>两根桅杆明显向后倾，长帆张力形成漂亮斜线。</x:v>
      </x:c>
      <x:c r="R60" s="13" t="str">
        <x:v>完成沿岸逆风竞航。</x:v>
      </x:c>
      <x:c r="S60" s="13" t="str">
        <x:v>帆船非筏舟</x:v>
      </x:c>
      <x:c r="T60" s="13" t="str">
        <x:v>S001；S002；S003；S004；S005；S006；S007；S008；S009；S010；S011；S012；S013；S014；S015；S016；S017；S018；S019；S020；S021；S022；S023；S024；S025；S026；S027；S028；S029；S030；S031；S032；S033；S034；S035；S036；S037；S038；S039；S040；S041；S042；S043；S044；S045；S046；S047；S048；S049；S050；S051；S052；S053；S054；S055；S056；S057；S058；S059；S060；S061；S062；S063；S065；S066；S067；S068；S069；S070；S071；S072</x:v>
      </x:c>
      <x:c r="U60" s="13" t="str">
        <x:v>帆装</x:v>
      </x:c>
      <x:c r="V60" s="27" t="n">
        <x:v>1</x:v>
      </x:c>
      <x:c r="W60" s="36" t="b">
        <x:v>0</x:v>
      </x:c>
      <x:c r="X60" s="13" t="str">
        <x:v>cost 为现金工费，materials 为另交原料；不重复把材料基础价值计入工费。</x:v>
      </x:c>
      <x:c r="Y60" s="13" t="str">
        <x:v>原创游戏改造；效果与代价为游戏初值。</x:v>
      </x:c>
      <x:c r="Z60" s="13" t="str">
        <x:v>FC01</x:v>
      </x:c>
    </x:row>
    <x:row r="61" ht="102" customHeight="1">
      <x:c r="A61" s="15" t="str">
        <x:v>M056</x:v>
      </x:c>
      <x:c r="B61" s="15" t="str">
        <x:v>短重炮滑轨</x:v>
      </x:c>
      <x:c r="C61" s="15" t="str">
        <x:v>武器平台</x:v>
      </x:c>
      <x:c r="D61" s="15" t="str">
        <x:v>甲板</x:v>
      </x:c>
      <x:c r="E61" s="15" t="str">
        <x:v>加勒比军港</x:v>
      </x:c>
      <x:c r="F61" s="15" t="str">
        <x:v>罗亚尔港</x:v>
      </x:c>
      <x:c r="G61" s="30" t="n">
        <x:v>5</x:v>
      </x:c>
      <x:c r="H61" s="30" t="n">
        <x:v>4</x:v>
      </x:c>
      <x:c r="I61" s="30" t="n">
        <x:v>46000</x:v>
      </x:c>
      <x:c r="J61" s="30" t="n">
        <x:v>6</x:v>
      </x:c>
      <x:c r="K61" s="15" t="str">
        <x:v>名称：铁锭；数量（以单位字段为准）：15；计量单位：标准贸易单位；商品 ID：G058；材料基础货值（银币）：1800；材料用途：工坊加工原料。；名称：硬木；数量（以单位字段为准）：8；计量单位：标准贸易单位；商品 ID：G110；材料基础货值（银币）：1080；可替代材料商品 ID：G055；G056；G057；G110；材料用途：木料；默认就近地区船材，也可使用列出的替代船材。</x:v>
      </x:c>
      <x:c r="L61" s="30" t="n">
        <x:v>2880</x:v>
      </x:c>
      <x:c r="M61" s="15" t="str">
        <x:v>短重炮在近距离扇形区重新瞄准更快。</x:v>
      </x:c>
      <x:c r="N61" s="15" t="str">
        <x:v>短重炮装填时间倍率：0.78；短重炮横向射界增减（度）：20</x:v>
      </x:c>
      <x:c r="O61" s="15" t="str">
        <x:v>长炮装填 +10%，占 20 舱位。</x:v>
      </x:c>
      <x:c r="P61" s="15" t="str">
        <x:v>长炮装填时间倍率：1.1；载货量增减（舱容单位）：-20</x:v>
      </x:c>
      <x:c r="Q61" s="15" t="str">
        <x:v>粗短炮坐在低矮木滑轨上，铜色转轴醒目。</x:v>
      </x:c>
      <x:c r="R61" s="15" t="str">
        <x:v>获得后期短重炮工坊图纸。</x:v>
      </x:c>
      <x:c r="S61" s="15" t="str">
        <x:v>有炮位船</x:v>
      </x:c>
      <x:c r="T61" s="15" t="str">
        <x:v>S001；S002；S003；S004；S005；S006；S007；S008；S009；S010；S011；S012；S013；S014；S015；S016；S017；S018；S020；S021；S022；S023；S024；S025；S026；S027；S028；S029；S030；S031；S032；S033；S034；S035；S036；S037；S038；S039；S040；S041；S042；S043；S044；S045；S046；S047；S048；S049；S050；S051；S052；S053；S054；S055；S056；S057；S058；S059；S060；S061；S062；S063；S065；S066；S067；S069；S070；S071；S072</x:v>
      </x:c>
      <x:c r="U61" s="15" t="str">
        <x:v>甲板</x:v>
      </x:c>
      <x:c r="V61" s="30" t="n">
        <x:v>1</x:v>
      </x:c>
      <x:c r="W61" s="45" t="b">
        <x:v>0</x:v>
      </x:c>
      <x:c r="X61" s="15" t="str">
        <x:v>cost 为现金工费，materials 为另交原料；不重复把材料基础价值计入工费。</x:v>
      </x:c>
      <x:c r="Y61" s="15" t="str">
        <x:v>短重炮属于 18 世纪后期器型；是明确标记的后期解锁。</x:v>
      </x:c>
      <x:c r="Z61" s="15" t="str">
        <x:v>FC21</x:v>
      </x:c>
    </x:row>
    <x:row r="62" ht="102" customHeight="1">
      <x:c r="A62" s="13" t="str">
        <x:v>M057</x:v>
      </x:c>
      <x:c r="B62" s="13" t="str">
        <x:v>双底密货格</x:v>
      </x:c>
      <x:c r="C62" s="13" t="str">
        <x:v>货舱布局</x:v>
      </x:c>
      <x:c r="D62" s="13" t="str">
        <x:v>货舱</x:v>
      </x:c>
      <x:c r="E62" s="13" t="str">
        <x:v>加勒比自由港</x:v>
      </x:c>
      <x:c r="F62" s="13" t="str">
        <x:v>托尔图加</x:v>
      </x:c>
      <x:c r="G62" s="27" t="n">
        <x:v>3</x:v>
      </x:c>
      <x:c r="H62" s="27" t="n">
        <x:v>1</x:v>
      </x:c>
      <x:c r="I62" s="27" t="n">
        <x:v>23000</x:v>
      </x:c>
      <x:c r="J62" s="27" t="n">
        <x:v>4</x:v>
      </x:c>
      <x:c r="K62" s="13" t="str">
        <x:v>名称：硬木；数量（以单位字段为准）：14；计量单位：标准贸易单位；商品 ID：G110；材料基础货值（银币）：1890；可替代材料商品 ID：G055；G056；G057；G110；材料用途：木料；默认就近地区船材，也可使用列出的替代船材。；名称：铁锭；数量（以单位字段为准）：4；计量单位：标准贸易单位；商品 ID：G058；材料基础货值（银币）：480；材料用途：工坊加工原料。</x:v>
      </x:c>
      <x:c r="L62" s="27" t="n">
        <x:v>2370</x:v>
      </x:c>
      <x:c r="M62" s="13" t="str">
        <x:v>把指定 40 舱位货物放入暗格；检查界面会显示被搜出的风险。</x:v>
      </x:c>
      <x:c r="N62" s="13" t="str">
        <x:v>隐蔽货舱容量（舱容单位）：40；搜检发现概率倍率：0.55</x:v>
      </x:c>
      <x:c r="O62" s="13" t="str">
        <x:v>普通货位 -55；实际换来 40 暗格，装卸更慢。</x:v>
      </x:c>
      <x:c r="P62" s="13" t="str">
        <x:v>普通货物载货量增减（舱容单位）：-55；装载时间倍率：1.15</x:v>
      </x:c>
      <x:c r="Q62" s="13" t="str">
        <x:v>可见甲板外形不变，舱内地板出现巧妙假拼缝。</x:v>
      </x:c>
      <x:c r="R62" s="13" t="str">
        <x:v>完成自由港商人的货柜谜题。</x:v>
      </x:c>
      <x:c r="S62" s="13" t="str">
        <x:v>全部</x:v>
      </x:c>
      <x:c r="T62" s="13" t="str">
        <x:v>S001；S002；S003；S004；S005；S006；S007；S008；S009；S010；S011；S012；S013；S014；S015；S016；S017；S018；S019；S020；S021；S022；S023；S024；S025；S026；S027；S028；S029；S030；S031；S032；S033；S034；S035；S036；S037；S038；S039；S040；S041；S042；S043；S044；S045；S046；S047；S048；S049；S050；S051；S052；S053；S054；S055；S056；S057；S058；S059；S060；S061；S062；S063；S064；S065；S066；S067；S068；S069；S070；S071；S072</x:v>
      </x:c>
      <x:c r="U62" s="13" t="str">
        <x:v>货舱</x:v>
      </x:c>
      <x:c r="V62" s="27" t="n">
        <x:v>1</x:v>
      </x:c>
      <x:c r="W62" s="36" t="b">
        <x:v>0</x:v>
      </x:c>
      <x:c r="X62" s="13" t="str">
        <x:v>cost 为现金工费，materials 为另交原料；不重复把材料基础价值计入工费。</x:v>
      </x:c>
      <x:c r="Y62" s="13" t="str">
        <x:v>原创游戏改造；效果与代价为游戏初值。</x:v>
      </x:c>
      <x:c r="Z62" s="13" t="str">
        <x:v>FC00</x:v>
      </x:c>
    </x:row>
    <x:row r="63" ht="102" customHeight="1">
      <x:c r="A63" s="15" t="str">
        <x:v>M058</x:v>
      </x:c>
      <x:c r="B63" s="15" t="str">
        <x:v>桶装冷风货道</x:v>
      </x:c>
      <x:c r="C63" s="15" t="str">
        <x:v>货舱布局</x:v>
      </x:c>
      <x:c r="D63" s="15" t="str">
        <x:v>货舱</x:v>
      </x:c>
      <x:c r="E63" s="15" t="str">
        <x:v>加勒比</x:v>
      </x:c>
      <x:c r="F63" s="15" t="str">
        <x:v>哈瓦那</x:v>
      </x:c>
      <x:c r="G63" s="30" t="n">
        <x:v>3</x:v>
      </x:c>
      <x:c r="H63" s="30" t="n">
        <x:v>1</x:v>
      </x:c>
      <x:c r="I63" s="30" t="n">
        <x:v>24000</x:v>
      </x:c>
      <x:c r="J63" s="30" t="n">
        <x:v>4</x:v>
      </x:c>
      <x:c r="K63" s="15" t="str">
        <x:v>名称：硬木；数量（以单位字段为准）：13；计量单位：标准贸易单位；商品 ID：G110；材料基础货值（银币）：1755；可替代材料商品 ID：G055；G056；G057；G110；材料用途：木料；默认就近地区船材，也可使用列出的替代船材。；名称：盐；数量（以单位字段为准）：5；计量单位：标准贸易单位；商品 ID：G009；材料基础货值（银币）：140；材料用途：工坊加工原料。</x:v>
      </x:c>
      <x:c r="L63" s="30" t="n">
        <x:v>1895</x:v>
      </x:c>
      <x:c r="M63" s="15" t="str">
        <x:v>桶货装卸更快，糖与酒在热海航程更稳定。</x:v>
      </x:c>
      <x:c r="N63" s="15" t="str">
        <x:v>朗姆酒货损倍率：0.4；糖类损耗倍率：0.65；桶装货装载时间倍率：0.7</x:v>
      </x:c>
      <x:c r="O63" s="15" t="str">
        <x:v>其他货物少 22 舱位。</x:v>
      </x:c>
      <x:c r="P63" s="15" t="str">
        <x:v>非桶装货载货量增减（舱容单位）：-22</x:v>
      </x:c>
      <x:c r="Q63" s="15" t="str">
        <x:v>圆桶沿通风木轨成两列摆放，舱口有一圈黄铜扣。</x:v>
      </x:c>
      <x:c r="R63" s="15" t="str">
        <x:v>完成一笔跨洋糖酒订单。</x:v>
      </x:c>
      <x:c r="S63" s="15" t="str">
        <x:v>全部</x:v>
      </x:c>
      <x:c r="T63" s="15" t="str">
        <x:v>S001；S002；S003；S004；S005；S006；S007；S008；S009；S010；S011；S012；S013；S014；S015；S016；S017；S018；S019；S020；S021；S022；S023；S024；S025；S026；S027；S028；S029；S030；S031；S032；S033；S034；S035；S036；S037；S038；S039；S040；S041；S042；S043；S044；S045；S046；S047；S048；S049；S050；S051；S052；S053；S054；S055；S056；S057；S058；S059；S060；S061；S062；S063；S064；S065；S066；S067；S068；S069；S070；S071；S072</x:v>
      </x:c>
      <x:c r="U63" s="15" t="str">
        <x:v>货舱</x:v>
      </x:c>
      <x:c r="V63" s="30" t="n">
        <x:v>1</x:v>
      </x:c>
      <x:c r="W63" s="45" t="b">
        <x:v>0</x:v>
      </x:c>
      <x:c r="X63" s="15" t="str">
        <x:v>cost 为现金工费，materials 为另交原料；不重复把材料基础价值计入工费。</x:v>
      </x:c>
      <x:c r="Y63" s="15" t="str">
        <x:v>原创游戏改造；效果与代价为游戏初值。</x:v>
      </x:c>
      <x:c r="Z63" s="15" t="str">
        <x:v>FC00</x:v>
      </x:c>
    </x:row>
    <x:row r="64" ht="102" customHeight="1">
      <x:c r="A64" s="13" t="str">
        <x:v>M059</x:v>
      </x:c>
      <x:c r="B64" s="13" t="str">
        <x:v>假灯与真旗</x:v>
      </x:c>
      <x:c r="C64" s="13" t="str">
        <x:v>指挥装置</x:v>
      </x:c>
      <x:c r="D64" s="13" t="str">
        <x:v>船艉</x:v>
      </x:c>
      <x:c r="E64" s="13" t="str">
        <x:v>自由港船匠</x:v>
      </x:c>
      <x:c r="F64" s="13" t="str">
        <x:v>罗亚尔港</x:v>
      </x:c>
      <x:c r="G64" s="27" t="n">
        <x:v>4</x:v>
      </x:c>
      <x:c r="H64" s="27" t="n">
        <x:v>2</x:v>
      </x:c>
      <x:c r="I64" s="27" t="n">
        <x:v>19000</x:v>
      </x:c>
      <x:c r="J64" s="27" t="n">
        <x:v>5</x:v>
      </x:c>
      <x:c r="K64" s="13" t="str">
        <x:v>名称：玻璃器皿；数量（以单位字段为准）：8；计量单位：标准贸易单位；商品 ID：G071；材料基础货值（银币）：2480；材料用途：工坊加工原料。；名称：棉布；数量（以单位字段为准）：4；计量单位：标准贸易单位；商品 ID：G043；材料基础货值（银币）：640；材料用途：工坊加工原料。</x:v>
      </x:c>
      <x:c r="L64" s="27" t="n">
        <x:v>3120</x:v>
      </x:c>
      <x:c r="M64" s="13" t="str">
        <x:v>夜里抛下漂浮假灯，敌船可能沿旧航向追 7 s，玩家可借黑暗转向。</x:v>
      </x:c>
      <x:c r="N64" s="13" t="str">
        <x:v>每战诱饵灯使用次数（次）：2；敌方锁定目标延迟（秒）：7</x:v>
      </x:c>
      <x:c r="O64" s="13" t="str">
        <x:v>自身旗语指令距离 -15%。</x:v>
      </x:c>
      <x:c r="P64" s="13" t="str">
        <x:v>己方信号半径倍率：0.85</x:v>
      </x:c>
      <x:c r="Q64" s="13" t="str">
        <x:v>艉部三盏可卸木灯，主旗杆被压得更低。</x:v>
      </x:c>
      <x:c r="R64" s="13" t="str">
        <x:v>完成“在月光里丢掉影子”。</x:v>
      </x:c>
      <x:c r="S64" s="13" t="str">
        <x:v>全部</x:v>
      </x:c>
      <x:c r="T64" s="13" t="str">
        <x:v>S001；S002；S003；S004；S005；S006；S007；S008；S009；S010；S011；S012；S013；S014；S015；S016；S017；S018；S019；S020；S021；S022；S023；S024；S025；S026；S027；S028；S029；S030；S031；S032；S033；S034；S035；S036；S037；S038；S039；S040；S041；S042；S043；S044；S045；S046；S047；S048；S049；S050；S051；S052；S053；S054；S055；S056；S057；S058；S059；S060；S061；S062；S063；S064；S065；S066；S067；S068；S069；S070；S071；S072</x:v>
      </x:c>
      <x:c r="U64" s="13" t="str">
        <x:v>船艉</x:v>
      </x:c>
      <x:c r="V64" s="27" t="n">
        <x:v>1</x:v>
      </x:c>
      <x:c r="W64" s="36" t="b">
        <x:v>0</x:v>
      </x:c>
      <x:c r="X64" s="13" t="str">
        <x:v>cost 为现金工费，materials 为另交原料；不重复把材料基础价值计入工费。</x:v>
      </x:c>
      <x:c r="Y64" s="13" t="str">
        <x:v>原创游戏改造；效果与代价为游戏初值。</x:v>
      </x:c>
      <x:c r="Z64" s="13" t="str">
        <x:v>FC00</x:v>
      </x:c>
    </x:row>
    <x:row r="65" ht="102" customHeight="1">
      <x:c r="A65" s="15" t="str">
        <x:v>M060</x:v>
      </x:c>
      <x:c r="B65" s="15" t="str">
        <x:v>珊瑚湾浅鳍龙骨</x:v>
      </x:c>
      <x:c r="C65" s="15" t="str">
        <x:v>船体工艺</x:v>
      </x:c>
      <x:c r="D65" s="15" t="str">
        <x:v>结构</x:v>
      </x:c>
      <x:c r="E65" s="15" t="str">
        <x:v>加勒比</x:v>
      </x:c>
      <x:c r="F65" s="15" t="str">
        <x:v>圣胡安</x:v>
      </x:c>
      <x:c r="G65" s="30" t="n">
        <x:v>3</x:v>
      </x:c>
      <x:c r="H65" s="30" t="n">
        <x:v>2</x:v>
      </x:c>
      <x:c r="I65" s="30" t="n">
        <x:v>26500</x:v>
      </x:c>
      <x:c r="J65" s="30" t="n">
        <x:v>4</x:v>
      </x:c>
      <x:c r="K65" s="15" t="str">
        <x:v>名称：硬木；数量（以单位字段为准）：18；计量单位：标准贸易单位；商品 ID：G110；材料基础货值（银币）：2430；可替代材料商品 ID：G055；G056；G057；G110；材料用途：木料；默认就近地区船材，也可使用列出的替代船材。；名称：铁锭；数量（以单位字段为准）：4；计量单位：标准贸易单位；商品 ID：G058；材料基础货值（银币）：480；材料用途：工坊加工原料。</x:v>
      </x:c>
      <x:c r="L65" s="30" t="n">
        <x:v>2910</x:v>
      </x:c>
      <x:c r="M65" s="15" t="str">
        <x:v>允许更多船型借浅湾绕过重舰。</x:v>
      </x:c>
      <x:c r="N65" s="15" t="str">
        <x:v>吃水增减（米）：-0.45；浅水转向评级增减（点）：12</x:v>
      </x:c>
      <x:c r="O65" s="15" t="str">
        <x:v>横摇 +20%；开阔海极速 -4%。</x:v>
      </x:c>
      <x:c r="P65" s="15" t="str">
        <x:v>横摇幅度倍率：1.2；远洋航速倍率：0.96</x:v>
      </x:c>
      <x:c r="Q65" s="15" t="str">
        <x:v>水下龙骨缩短变宽，船侧新增白色吃水记号。</x:v>
      </x:c>
      <x:c r="R65" s="15" t="str">
        <x:v>测完一组珊瑚湾内航道。</x:v>
      </x:c>
      <x:c r="S65" s="15" t="str">
        <x:v>帆船非筏舟</x:v>
      </x:c>
      <x:c r="T65" s="15" t="str">
        <x:v>S001；S002；S003；S004；S005；S006；S007；S008；S009；S010；S011；S012；S013；S014；S015；S016；S017；S018；S019；S020；S021；S022；S023；S024；S025；S026；S027；S028；S029；S030；S031；S032；S033；S034；S035；S036；S037；S038；S039；S040；S041；S042；S043；S044；S045；S046；S047；S048；S049；S050；S051；S052；S053；S054；S055；S056；S057；S058；S059；S060；S061；S062；S063；S065；S066；S067；S068；S069；S070；S071；S072</x:v>
      </x:c>
      <x:c r="U65" s="15" t="str">
        <x:v>结构</x:v>
      </x:c>
      <x:c r="V65" s="30" t="n">
        <x:v>1</x:v>
      </x:c>
      <x:c r="W65" s="45" t="b">
        <x:v>0</x:v>
      </x:c>
      <x:c r="X65" s="15" t="str">
        <x:v>cost 为现金工费，materials 为另交原料；不重复把材料基础价值计入工费。</x:v>
      </x:c>
      <x:c r="Y65" s="15" t="str">
        <x:v>原创游戏改造；效果与代价为游戏初值。</x:v>
      </x:c>
      <x:c r="Z65" s="15" t="str">
        <x:v>FC00</x:v>
      </x:c>
    </x:row>
    <x:row r="66" ht="72" customHeight="1">
      <x:c r="A66" s="13" t="str">
        <x:v>M061</x:v>
      </x:c>
      <x:c r="B66" s="13" t="str">
        <x:v>安第斯插板舵阵</x:v>
      </x:c>
      <x:c r="C66" s="13" t="str">
        <x:v>操纵工艺</x:v>
      </x:c>
      <x:c r="D66" s="13" t="str">
        <x:v>船艉</x:v>
      </x:c>
      <x:c r="E66" s="13" t="str">
        <x:v>安第斯海岸</x:v>
      </x:c>
      <x:c r="F66" s="13" t="str">
        <x:v>卡亚俄</x:v>
      </x:c>
      <x:c r="G66" s="27" t="n">
        <x:v>2</x:v>
      </x:c>
      <x:c r="H66" s="27" t="n">
        <x:v>0</x:v>
      </x:c>
      <x:c r="I66" s="27" t="n">
        <x:v>12000</x:v>
      </x:c>
      <x:c r="J66" s="27" t="n">
        <x:v>3</x:v>
      </x:c>
      <x:c r="K66" s="13" t="str">
        <x:v>名称：硬木；数量（以单位字段为准）：9；计量单位：标准贸易单位；商品 ID：G110；材料基础货值（银币）：1215；可替代材料商品 ID：G055；G056；G057；G110；材料用途：木料；默认就近地区船材，也可使用列出的替代船材。；名称：麻布；数量（以单位字段为准）：3；计量单位：标准贸易单位；商品 ID：G044；材料基础货值（银币）：435；材料用途：工坊加工原料。</x:v>
      </x:c>
      <x:c r="L66" s="27" t="n">
        <x:v>1650</x:v>
      </x:c>
      <x:c r="M66" s="13" t="str">
        <x:v>前后插板控制漂移角度，使筏船和轻船能斜过洋流。</x:v>
      </x:c>
      <x:c r="N66" s="13" t="str">
        <x:v>洋流中航向控制加成（比例值）：0.35；横向漂移速度（米/秒）：1.5</x:v>
      </x:c>
      <x:c r="O66" s="13" t="str">
        <x:v>自由帆速 -0.2 节。</x:v>
      </x:c>
      <x:c r="P66" s="13" t="str">
        <x:v>航速增减（节）：-0.2</x:v>
      </x:c>
      <x:c r="Q66" s="13" t="str">
        <x:v>船身两侧伸出数片深色垂直插板。</x:v>
      </x:c>
      <x:c r="R66" s="13" t="str">
        <x:v>完成“不是随波逐流”航行。</x:v>
      </x:c>
      <x:c r="S66" s="13" t="str">
        <x:v>小型船</x:v>
      </x:c>
      <x:c r="T66" s="13" t="str">
        <x:v>S001；S002；S004；S005；S007；S008；S011；S013；S014；S015；S016；S017；S019；S020；S021；S024；S025；S027；S029；S030；S035；S036；S037；S041；S042；S048；S053；S054；S055；S056；S059；S060；S064；S065；S068；S069</x:v>
      </x:c>
      <x:c r="U66" s="13" t="str">
        <x:v>船艉</x:v>
      </x:c>
      <x:c r="V66" s="27" t="n">
        <x:v>1</x:v>
      </x:c>
      <x:c r="W66" s="36" t="b">
        <x:v>0</x:v>
      </x:c>
      <x:c r="X66" s="13" t="str">
        <x:v>cost 为现金工费，materials 为另交原料；不重复把材料基础价值计入工费。</x:v>
      </x:c>
      <x:c r="Y66" s="13" t="str">
        <x:v>原创游戏改造；效果与代价为游戏初值。</x:v>
      </x:c>
      <x:c r="Z66" s="13" t="str">
        <x:v>FC17</x:v>
      </x:c>
    </x:row>
    <x:row r="67" ht="102" customHeight="1">
      <x:c r="A67" s="15" t="str">
        <x:v>M062</x:v>
      </x:c>
      <x:c r="B67" s="15" t="str">
        <x:v>赤木深梁</x:v>
      </x:c>
      <x:c r="C67" s="15" t="str">
        <x:v>船体工艺</x:v>
      </x:c>
      <x:c r="D67" s="15" t="str">
        <x:v>结构</x:v>
      </x:c>
      <x:c r="E67" s="15" t="str">
        <x:v>南美船厂</x:v>
      </x:c>
      <x:c r="F67" s="15" t="str">
        <x:v>萨尔瓦多</x:v>
      </x:c>
      <x:c r="G67" s="30" t="n">
        <x:v>4</x:v>
      </x:c>
      <x:c r="H67" s="30" t="n">
        <x:v>3</x:v>
      </x:c>
      <x:c r="I67" s="30" t="n">
        <x:v>42000</x:v>
      </x:c>
      <x:c r="J67" s="30" t="n">
        <x:v>5</x:v>
      </x:c>
      <x:c r="K67" s="15" t="str">
        <x:v>名称：硬木；数量（以单位字段为准）：26；计量单位：标准贸易单位；商品 ID：G110；材料基础货值（银币）：3510；可替代材料商品 ID：G055；G056；G057；G110；材料用途：木料；默认就近地区船材，也可使用列出的替代船材。；名称：铁锭；数量（以单位字段为准）：7；计量单位：标准贸易单位；商品 ID：G058；材料基础货值（银币）：840；材料用途：工坊加工原料。</x:v>
      </x:c>
      <x:c r="L67" s="30" t="n">
        <x:v>4350</x:v>
      </x:c>
      <x:c r="M67" s="15" t="str">
        <x:v>重载木矿时更能保持航速。</x:v>
      </x:c>
      <x:c r="N67" s="15" t="str">
        <x:v>重载航速惩罚倍率：0.55；船体耐久倍率：1.15</x:v>
      </x:c>
      <x:c r="O67" s="15" t="str">
        <x:v>吃水 +0.3 m，转向 -5。</x:v>
      </x:c>
      <x:c r="P67" s="15" t="str">
        <x:v>吃水增减（米）：0.3；转向评级增减（点）：-5</x:v>
      </x:c>
      <x:c r="Q67" s="15" t="str">
        <x:v>深红木梁强化水线，船腹有清楚的金褐木纹。</x:v>
      </x:c>
      <x:c r="R67" s="15" t="str">
        <x:v>完成两次矿木跨洋交货。</x:v>
      </x:c>
      <x:c r="S67" s="15" t="str">
        <x:v>全部</x:v>
      </x:c>
      <x:c r="T67" s="15" t="str">
        <x:v>S001；S002；S003；S004；S005；S006；S007；S008；S009；S010；S011；S012；S013；S014；S015；S016；S017；S018；S019；S020；S021；S022；S023；S024；S025；S026；S027；S028；S029；S030；S031；S032；S033；S034；S035；S036；S037；S038；S039；S040；S041；S042；S043；S044；S045；S046；S047；S048；S049；S050；S051；S052；S053；S054；S055；S056；S057；S058；S059；S060；S061；S062；S063；S064；S065；S066；S067；S068；S069；S070；S071；S072</x:v>
      </x:c>
      <x:c r="U67" s="15" t="str">
        <x:v>结构</x:v>
      </x:c>
      <x:c r="V67" s="30" t="n">
        <x:v>1</x:v>
      </x:c>
      <x:c r="W67" s="45" t="b">
        <x:v>0</x:v>
      </x:c>
      <x:c r="X67" s="15" t="str">
        <x:v>cost 为现金工费，materials 为另交原料；不重复把材料基础价值计入工费。</x:v>
      </x:c>
      <x:c r="Y67" s="15" t="str">
        <x:v>原创游戏改造；效果与代价为游戏初值。</x:v>
      </x:c>
      <x:c r="Z67" s="15" t="str">
        <x:v>FC00</x:v>
      </x:c>
    </x:row>
    <x:row r="68" ht="102" customHeight="1">
      <x:c r="A68" s="13" t="str">
        <x:v>M063</x:v>
      </x:c>
      <x:c r="B68" s="13" t="str">
        <x:v>热带药草风干阁</x:v>
      </x:c>
      <x:c r="C68" s="13" t="str">
        <x:v>货舱布局</x:v>
      </x:c>
      <x:c r="D68" s="13" t="str">
        <x:v>货舱</x:v>
      </x:c>
      <x:c r="E68" s="13" t="str">
        <x:v>亚马孙河口</x:v>
      </x:c>
      <x:c r="F68" s="13" t="str">
        <x:v>贝伦</x:v>
      </x:c>
      <x:c r="G68" s="27" t="n">
        <x:v>3</x:v>
      </x:c>
      <x:c r="H68" s="27" t="n">
        <x:v>1</x:v>
      </x:c>
      <x:c r="I68" s="27" t="n">
        <x:v>22000</x:v>
      </x:c>
      <x:c r="J68" s="27" t="n">
        <x:v>4</x:v>
      </x:c>
      <x:c r="K68" s="13" t="str">
        <x:v>名称：硬木；数量（以单位字段为准）：12；计量单位：标准贸易单位；商品 ID：G110；材料基础货值（银币）：1620；可替代材料商品 ID：G055；G056；G057；G110；材料用途：木料；默认就近地区船材，也可使用列出的替代船材。；名称：棉布；数量（以单位字段为准）：6；计量单位：标准贸易单位；商品 ID：G043；材料基础货值（银币）：960；材料用途：工坊加工原料。</x:v>
      </x:c>
      <x:c r="L68" s="27" t="n">
        <x:v>2580</x:v>
      </x:c>
      <x:c r="M68" s="13" t="str">
        <x:v>药草风干后可供船医消耗，并保持作为商品出售。</x:v>
      </x:c>
      <x:c r="N68" s="13" t="str">
        <x:v>药草腐败倍率：0.4；医疗用品每日补入量（份/游戏日）：1；水果腐败倍率：0.75</x:v>
      </x:c>
      <x:c r="O68" s="13" t="str">
        <x:v>占 24 舱位；不能与粮仓同槽。</x:v>
      </x:c>
      <x:c r="P68" s="13" t="str">
        <x:v>载货量增减（舱容单位）：-24</x:v>
      </x:c>
      <x:c r="Q68" s="13" t="str">
        <x:v>船尾小货阁悬挂草束与细网架，淡绿布帘透光。</x:v>
      </x:c>
      <x:c r="R68" s="13" t="str">
        <x:v>收集三种本地药草并带回。</x:v>
      </x:c>
      <x:c r="S68" s="13" t="str">
        <x:v>全部</x:v>
      </x:c>
      <x:c r="T68" s="13" t="str">
        <x:v>S001；S002；S003；S004；S005；S006；S007；S008；S009；S010；S011；S012；S013；S014；S015；S016；S017；S018；S019；S020；S021；S022；S023；S024；S025；S026；S027；S028；S029；S030；S031；S032；S033；S034；S035；S036；S037；S038；S039；S040；S041；S042；S043；S044；S045；S046；S047；S048；S049；S050；S051；S052；S053；S054；S055；S056；S057；S058；S059；S060；S061；S062；S063；S064；S065；S066；S067；S068；S069；S070；S071；S072</x:v>
      </x:c>
      <x:c r="U68" s="13" t="str">
        <x:v>货舱</x:v>
      </x:c>
      <x:c r="V68" s="27" t="n">
        <x:v>1</x:v>
      </x:c>
      <x:c r="W68" s="36" t="b">
        <x:v>0</x:v>
      </x:c>
      <x:c r="X68" s="13" t="str">
        <x:v>cost 为现金工费，materials 为另交原料；不重复把材料基础价值计入工费。</x:v>
      </x:c>
      <x:c r="Y68" s="13" t="str">
        <x:v>原创游戏改造；效果与代价为游戏初值。</x:v>
      </x:c>
      <x:c r="Z68" s="13" t="str">
        <x:v>FC00</x:v>
      </x:c>
    </x:row>
    <x:row r="69" ht="102" customHeight="1">
      <x:c r="A69" s="15" t="str">
        <x:v>M064</x:v>
      </x:c>
      <x:c r="B69" s="15" t="str">
        <x:v>合恩折片风暴帆</x:v>
      </x:c>
      <x:c r="C69" s="15" t="str">
        <x:v>帆装工艺</x:v>
      </x:c>
      <x:c r="D69" s="15" t="str">
        <x:v>帆装</x:v>
      </x:c>
      <x:c r="E69" s="15" t="str">
        <x:v>南方海域船匠</x:v>
      </x:c>
      <x:c r="F69" s="15" t="str">
        <x:v>瓦尔帕莱索</x:v>
      </x:c>
      <x:c r="G69" s="30" t="n">
        <x:v>4</x:v>
      </x:c>
      <x:c r="H69" s="30" t="n">
        <x:v>3</x:v>
      </x:c>
      <x:c r="I69" s="30" t="n">
        <x:v>39500</x:v>
      </x:c>
      <x:c r="J69" s="30" t="n">
        <x:v>5</x:v>
      </x:c>
      <x:c r="K69" s="15" t="str">
        <x:v>名称：麻布；数量（以单位字段为准）：18；计量单位：标准贸易单位；商品 ID：G044；材料基础货值（银币）：2610；材料用途：工坊加工原料。；名称：硬木；数量（以单位字段为准）：8；计量单位：标准贸易单位；商品 ID：G110；材料基础货值（银币）：1080；可替代材料商品 ID：G055；G056；G057；G110；材料用途：木料；默认就近地区船材，也可使用列出的替代船材。</x:v>
      </x:c>
      <x:c r="L69" s="30" t="n">
        <x:v>3690</x:v>
      </x:c>
      <x:c r="M69" s="15" t="str">
        <x:v>风暴中可保留一组低位帆，维持最低操船速度。</x:v>
      </x:c>
      <x:c r="N69" s="15" t="str">
        <x:v>风暴帆具伤害倍率：0.4；风暴中航向保持效果倍率：1.3</x:v>
      </x:c>
      <x:c r="O69" s="15" t="str">
        <x:v>平稳天气极速 -10%。</x:v>
      </x:c>
      <x:c r="P69" s="15" t="str">
        <x:v>无风天气航速倍率：0.9</x:v>
      </x:c>
      <x:c r="Q69" s="15" t="str">
        <x:v>低桅分片灰白小帆，厚绳构成清楚几何网格。</x:v>
      </x:c>
      <x:c r="R69" s="15" t="str">
        <x:v>完成“灰翼越岬”探索航程。</x:v>
      </x:c>
      <x:c r="S69" s="15" t="str">
        <x:v>全部</x:v>
      </x:c>
      <x:c r="T69" s="15" t="str">
        <x:v>S001；S002；S003；S004；S005；S006；S007；S008；S009；S010；S011；S012；S013；S014；S015；S016；S017；S018；S019；S020；S021；S022；S023；S024；S025；S026；S027；S028；S029；S030；S031；S032；S033；S034；S035；S036；S037；S038；S039；S040；S041；S042；S043；S044；S045；S046；S047；S048；S049；S050；S051；S052；S053；S054；S055；S056；S057；S058；S059；S060；S061；S062；S063；S064；S065；S066；S067；S068；S069；S070；S071；S072</x:v>
      </x:c>
      <x:c r="U69" s="15" t="str">
        <x:v>帆装</x:v>
      </x:c>
      <x:c r="V69" s="30" t="n">
        <x:v>1</x:v>
      </x:c>
      <x:c r="W69" s="45" t="b">
        <x:v>0</x:v>
      </x:c>
      <x:c r="X69" s="15" t="str">
        <x:v>cost 为现金工费，materials 为另交原料；不重复把材料基础价值计入工费。</x:v>
      </x:c>
      <x:c r="Y69" s="15" t="str">
        <x:v>原创游戏改造；效果与代价为游戏初值。</x:v>
      </x:c>
      <x:c r="Z69" s="15" t="str">
        <x:v>FC01</x:v>
      </x:c>
    </x:row>
    <x:row r="70" ht="102" customHeight="1">
      <x:c r="A70" s="13" t="str">
        <x:v>M065</x:v>
      </x:c>
      <x:c r="B70" s="13" t="str">
        <x:v>南岬护浪艏</x:v>
      </x:c>
      <x:c r="C70" s="13" t="str">
        <x:v>船艏工艺</x:v>
      </x:c>
      <x:c r="D70" s="13" t="str">
        <x:v>船艏</x:v>
      </x:c>
      <x:c r="E70" s="13" t="str">
        <x:v>太平洋南岸</x:v>
      </x:c>
      <x:c r="F70" s="13" t="str">
        <x:v>瓦尔帕莱索</x:v>
      </x:c>
      <x:c r="G70" s="27" t="n">
        <x:v>4</x:v>
      </x:c>
      <x:c r="H70" s="27" t="n">
        <x:v>3</x:v>
      </x:c>
      <x:c r="I70" s="27" t="n">
        <x:v>31500</x:v>
      </x:c>
      <x:c r="J70" s="27" t="n">
        <x:v>5</x:v>
      </x:c>
      <x:c r="K70" s="13" t="str">
        <x:v>名称：硬木；数量（以单位字段为准）：16；计量单位：标准贸易单位；商品 ID：G110；材料基础货值（银币）：2160；可替代材料商品 ID：G055；G056；G057；G110；材料用途：木料；默认就近地区船材，也可使用列出的替代船材。；名称：铁锭；数量（以单位字段为准）：5；计量单位：标准贸易单位；商品 ID：G058；材料基础货值（银币）：600；材料用途：工坊加工原料。</x:v>
      </x:c>
      <x:c r="L70" s="27" t="n">
        <x:v>2760</x:v>
      </x:c>
      <x:c r="M70" s="13" t="str">
        <x:v>抬高破浪前缘，顶浪时甲板少灌水。</x:v>
      </x:c>
      <x:c r="N70" s="13" t="str">
        <x:v>上浪造成甲板伤害倍率：0.4；顶浪航速惩罚倍率：0.8</x:v>
      </x:c>
      <x:c r="O70" s="13" t="str">
        <x:v>艏炮射界 -10°、占 14 舱位。</x:v>
      </x:c>
      <x:c r="P70" s="13" t="str">
        <x:v>艏炮射界增减（度）：-10；载货量增减（舱容单位）：-14</x:v>
      </x:c>
      <x:c r="Q70" s="13" t="str">
        <x:v>高起的灰色浪板沿舰艏弧线翻起，像海鸟胸脯。</x:v>
      </x:c>
      <x:c r="R70" s="13" t="str">
        <x:v>在南方风暴中保持船队完整。</x:v>
      </x:c>
      <x:c r="S70" s="13" t="str">
        <x:v>帆船非筏舟</x:v>
      </x:c>
      <x:c r="T70" s="13" t="str">
        <x:v>S001；S002；S003；S004；S005；S006；S007；S008；S009；S010；S011；S012；S013；S014；S015；S016；S017；S018；S019；S020；S021；S022；S023；S024；S025；S026；S027；S028；S029；S030；S031；S032；S033；S034；S035；S036；S037；S038；S039；S040；S041；S042；S043；S044；S045；S046；S047；S048；S049；S050；S051；S052；S053；S054；S055；S056；S057；S058；S059；S060；S061；S062；S063；S065；S066；S067；S068；S069；S070；S071；S072</x:v>
      </x:c>
      <x:c r="U70" s="13" t="str">
        <x:v>船艏</x:v>
      </x:c>
      <x:c r="V70" s="27" t="n">
        <x:v>1</x:v>
      </x:c>
      <x:c r="W70" s="36" t="b">
        <x:v>0</x:v>
      </x:c>
      <x:c r="X70" s="13" t="str">
        <x:v>cost 为现金工费，materials 为另交原料；不重复把材料基础价值计入工费。</x:v>
      </x:c>
      <x:c r="Y70" s="13" t="str">
        <x:v>原创游戏改造；效果与代价为游戏初值。</x:v>
      </x:c>
      <x:c r="Z70" s="13" t="str">
        <x:v>FC00</x:v>
      </x:c>
    </x:row>
    <x:row r="71" ht="102" customHeight="1">
      <x:c r="A71" s="15" t="str">
        <x:v>M066</x:v>
      </x:c>
      <x:c r="B71" s="15" t="str">
        <x:v>岸上勘察舱</x:v>
      </x:c>
      <x:c r="C71" s="15" t="str">
        <x:v>探索设施</x:v>
      </x:c>
      <x:c r="D71" s="15" t="str">
        <x:v>甲板</x:v>
      </x:c>
      <x:c r="E71" s="15" t="str">
        <x:v>南美—环球探险工匠</x:v>
      </x:c>
      <x:c r="F71" s="15" t="str">
        <x:v>卡亚俄</x:v>
      </x:c>
      <x:c r="G71" s="30" t="n">
        <x:v>4</x:v>
      </x:c>
      <x:c r="H71" s="30" t="n">
        <x:v>2</x:v>
      </x:c>
      <x:c r="I71" s="30" t="n">
        <x:v>34000</x:v>
      </x:c>
      <x:c r="J71" s="30" t="n">
        <x:v>5</x:v>
      </x:c>
      <x:c r="K71" s="15" t="str">
        <x:v>名称：硬木；数量（以单位字段为准）：15；计量单位：标准贸易单位；商品 ID：G110；材料基础货值（银币）：2025；可替代材料商品 ID：G055；G056；G057；G110；材料用途：木料；默认就近地区船材，也可使用列出的替代船材。；名称：棉布；数量（以单位字段为准）：8；计量单位：标准贸易单位；商品 ID：G043；材料基础货值（银币）：1280；材料用途：工坊加工原料。；名称：书籍；数量（以单位字段为准）：5；计量单位：标准贸易单位；商品 ID：G098；材料基础货值（银币）：1400；材料用途：作为施工与观测参考的图样书册。</x:v>
      </x:c>
      <x:c r="L71" s="30" t="n">
        <x:v>4705</x:v>
      </x:c>
      <x:c r="M71" s="15" t="str">
        <x:v>装载植物箱、测绘架和帐篷；登陆准备时多三个明确装备格。</x:v>
      </x:c>
      <x:c r="N71" s="15" t="str">
        <x:v>登陆探险装备槽增减（个）：3；岸营搭建时间增减（游戏日）：-1</x:v>
      </x:c>
      <x:c r="O71" s="15" t="str">
        <x:v>占 28 舱位与 1 处甲板器械位。</x:v>
      </x:c>
      <x:c r="P71" s="15" t="str">
        <x:v>载货量增减（舱容单位）：-28；甲板武器位增减（个）：-1</x:v>
      </x:c>
      <x:c r="Q71" s="15" t="str">
        <x:v>艏后货棚里有植物箱、红白测量杆和折叠帐篷。</x:v>
      </x:c>
      <x:c r="R71" s="15" t="str">
        <x:v>发现五处陆地探索点。</x:v>
      </x:c>
      <x:c r="S71" s="15" t="str">
        <x:v>全部</x:v>
      </x:c>
      <x:c r="T71" s="15" t="str">
        <x:v>S001；S002；S003；S004；S005；S006；S007；S008；S009；S010；S011；S012；S013；S014；S015；S016；S017；S018；S019；S020；S021；S022；S023；S024；S025；S026；S027；S028；S029；S030；S031；S032；S033；S034；S035；S036；S037；S038；S039；S040；S041；S042；S043；S044；S045；S046；S047；S048；S049；S050；S051；S052；S053；S054；S055；S056；S057；S058；S059；S060；S061；S062；S063；S064；S065；S066；S067；S068；S069；S070；S071；S072</x:v>
      </x:c>
      <x:c r="U71" s="15" t="str">
        <x:v>甲板</x:v>
      </x:c>
      <x:c r="V71" s="30" t="n">
        <x:v>1</x:v>
      </x:c>
      <x:c r="W71" s="45" t="b">
        <x:v>0</x:v>
      </x:c>
      <x:c r="X71" s="15" t="str">
        <x:v>cost 为现金工费，materials 为另交原料；不重复把材料基础价值计入工费。</x:v>
      </x:c>
      <x:c r="Y71" s="15" t="str">
        <x:v>原创游戏改造；效果与代价为游戏初值。</x:v>
      </x:c>
      <x:c r="Z71" s="15" t="str">
        <x:v>FC00</x:v>
      </x:c>
    </x:row>
    <x:row r="72" ht="102" customHeight="1">
      <x:c r="A72" s="13" t="str">
        <x:v>M067</x:v>
      </x:c>
      <x:c r="B72" s="13" t="str">
        <x:v>月爪编帆</x:v>
      </x:c>
      <x:c r="C72" s="13" t="str">
        <x:v>帆装工艺</x:v>
      </x:c>
      <x:c r="D72" s="13" t="str">
        <x:v>帆装</x:v>
      </x:c>
      <x:c r="E72" s="13" t="str">
        <x:v>太平洋航海师</x:v>
      </x:c>
      <x:c r="F72" s="13" t="str">
        <x:v>马塔瓦伊湾</x:v>
      </x:c>
      <x:c r="G72" s="27" t="n">
        <x:v>3</x:v>
      </x:c>
      <x:c r="H72" s="27" t="n">
        <x:v>1</x:v>
      </x:c>
      <x:c r="I72" s="27" t="n">
        <x:v>23000</x:v>
      </x:c>
      <x:c r="J72" s="27" t="n">
        <x:v>4</x:v>
      </x:c>
      <x:c r="K72" s="13" t="str">
        <x:v>名称：棉布；数量（以单位字段为准）：12；计量单位：标准贸易单位；商品 ID：G043；材料基础货值（银币）：1920；材料用途：工坊加工原料。；名称：硬木；数量（以单位字段为准）：8；计量单位：标准贸易单位；商品 ID：G110；材料基础货值（银币）：1080；可替代材料商品 ID：G055；G056；G057；G110；材料用途：木料；默认就近地区船材，也可使用列出的替代船材。</x:v>
      </x:c>
      <x:c r="L72" s="27" t="n">
        <x:v>3000</x:v>
      </x:c>
      <x:c r="M72" s="13" t="str">
        <x:v>横风展开蟹爪帆，轻体船能以长弧跨越开阔海。</x:v>
      </x:c>
      <x:c r="N72" s="13" t="str">
        <x:v>正横风航速倍率：1.25；微风航速倍率：1.12</x:v>
      </x:c>
      <x:c r="O72" s="13" t="str">
        <x:v>正顺风最好走折线；帆装火焰伤害 +15%。</x:v>
      </x:c>
      <x:c r="P72" s="13" t="str">
        <x:v>顺风换舷所需操作次数（次）：1；帆具受到火焰伤害倍率：1.15</x:v>
      </x:c>
      <x:c r="Q72" s="13" t="str">
        <x:v>珠白蟹爪帆像弯月，边缘编有红蓝细纹。</x:v>
      </x:c>
      <x:c r="R72" s="13" t="str">
        <x:v>完成传统帆匠的“托起海鸟”委托。</x:v>
      </x:c>
      <x:c r="S72" s="13" t="str">
        <x:v>帆船非筏舟</x:v>
      </x:c>
      <x:c r="T72" s="13" t="str">
        <x:v>S001；S002；S003；S004；S005；S006；S007；S008；S009；S010；S011；S012；S013；S014；S015；S016；S017；S018；S019；S020；S021；S022；S023；S024；S025；S026；S027；S028；S029；S030；S031；S032；S033；S034；S035；S036；S037；S038；S039；S040；S041；S042；S043；S044；S045；S046；S047；S048；S049；S050；S051；S052；S053；S054；S055；S056；S057；S058；S059；S060；S061；S062；S063；S065；S066；S067；S068；S069；S070；S071；S072</x:v>
      </x:c>
      <x:c r="U72" s="13" t="str">
        <x:v>帆装</x:v>
      </x:c>
      <x:c r="V72" s="27" t="n">
        <x:v>1</x:v>
      </x:c>
      <x:c r="W72" s="36" t="b">
        <x:v>0</x:v>
      </x:c>
      <x:c r="X72" s="13" t="str">
        <x:v>cost 为现金工费，materials 为另交原料；不重复把材料基础价值计入工费。</x:v>
      </x:c>
      <x:c r="Y72" s="13" t="str">
        <x:v>原创游戏改造；效果与代价为游戏初值。</x:v>
      </x:c>
      <x:c r="Z72" s="13" t="str">
        <x:v>FC15；FC16</x:v>
      </x:c>
    </x:row>
    <x:row r="73" ht="72" customHeight="1">
      <x:c r="A73" s="15" t="str">
        <x:v>M068</x:v>
      </x:c>
      <x:c r="B73" s="15" t="str">
        <x:v>韧索连桥梁</x:v>
      </x:c>
      <x:c r="C73" s="15" t="str">
        <x:v>船体工艺</x:v>
      </x:c>
      <x:c r="D73" s="15" t="str">
        <x:v>结构</x:v>
      </x:c>
      <x:c r="E73" s="15" t="str">
        <x:v>南岛双体船工匠</x:v>
      </x:c>
      <x:c r="F73" s="15" t="str">
        <x:v>科乌港</x:v>
      </x:c>
      <x:c r="G73" s="30" t="n">
        <x:v>3</x:v>
      </x:c>
      <x:c r="H73" s="30" t="n">
        <x:v>2</x:v>
      </x:c>
      <x:c r="I73" s="30" t="n">
        <x:v>27500</x:v>
      </x:c>
      <x:c r="J73" s="30" t="n">
        <x:v>4</x:v>
      </x:c>
      <x:c r="K73" s="15" t="str">
        <x:v>名称：硬木；数量（以单位字段为准）：15；计量单位：标准贸易单位；商品 ID：G110；材料基础货值（银币）：2025；可替代材料商品 ID：G055；G056；G057；G110；材料用途：木料；默认就近地区船材，也可使用列出的替代船材。；名称：麻布；数量（以单位字段为准）：12；计量单位：标准贸易单位；商品 ID：G044；材料基础货值（银币）：1740；材料用途：工坊加工原料。</x:v>
      </x:c>
      <x:c r="L73" s="30" t="n">
        <x:v>3765</x:v>
      </x:c>
      <x:c r="M73" s="15" t="str">
        <x:v>双体连接梁以韧索承受错向浪，扩大中间货台。</x:v>
      </x:c>
      <x:c r="N73" s="15" t="str">
        <x:v>横梁受浪伤害倍率：0.45；货运平台载货量增减（舱容单位）：35</x:v>
      </x:c>
      <x:c r="O73" s="15" t="str">
        <x:v>增加 2 名桥梁维护水手。</x:v>
      </x:c>
      <x:c r="P73" s="15" t="str">
        <x:v>修理岗位所需船员增减（人）：2</x:v>
      </x:c>
      <x:c r="Q73" s="15" t="str">
        <x:v>粗编绳交叉缠绕横梁，木结构保留柔和间隙。</x:v>
      </x:c>
      <x:c r="R73" s="15" t="str">
        <x:v>完成“双船同心”工艺传授。</x:v>
      </x:c>
      <x:c r="S73" s="15" t="str">
        <x:v>双体与支架船</x:v>
      </x:c>
      <x:c r="T73" s="15" t="str">
        <x:v>S042；S068；S069；S070；S071；S072</x:v>
      </x:c>
      <x:c r="U73" s="15" t="str">
        <x:v>结构</x:v>
      </x:c>
      <x:c r="V73" s="30" t="n">
        <x:v>1</x:v>
      </x:c>
      <x:c r="W73" s="45" t="b">
        <x:v>0</x:v>
      </x:c>
      <x:c r="X73" s="15" t="str">
        <x:v>cost 为现金工费，materials 为另交原料；不重复把材料基础价值计入工费。</x:v>
      </x:c>
      <x:c r="Y73" s="15" t="str">
        <x:v>原创游戏改造；效果与代价为游戏初值。</x:v>
      </x:c>
      <x:c r="Z73" s="15" t="str">
        <x:v>FC15；FC16</x:v>
      </x:c>
    </x:row>
    <x:row r="74" ht="72" customHeight="1">
      <x:c r="A74" s="13" t="str">
        <x:v>M069</x:v>
      </x:c>
      <x:c r="B74" s="13" t="str">
        <x:v>双端換舵组</x:v>
      </x:c>
      <x:c r="C74" s="13" t="str">
        <x:v>操纵工艺</x:v>
      </x:c>
      <x:c r="D74" s="13" t="str">
        <x:v>船艉</x:v>
      </x:c>
      <x:c r="E74" s="13" t="str">
        <x:v>密克罗尼西亚</x:v>
      </x:c>
      <x:c r="F74" s="13" t="str">
        <x:v>哈加特纳</x:v>
      </x:c>
      <x:c r="G74" s="27" t="n">
        <x:v>3</x:v>
      </x:c>
      <x:c r="H74" s="27" t="n">
        <x:v>2</x:v>
      </x:c>
      <x:c r="I74" s="27" t="n">
        <x:v>23500</x:v>
      </x:c>
      <x:c r="J74" s="27" t="n">
        <x:v>4</x:v>
      </x:c>
      <x:c r="K74" s="13" t="str">
        <x:v>名称：硬木；数量（以单位字段为准）：12；计量单位：标准贸易单位；商品 ID：G110；材料基础货值（银币）：1620；可替代材料商品 ID：G055；G056；G057；G110；材料用途：木料；默认就近地区船材，也可使用列出的替代船材。；名称：麻布；数量（以单位字段为准）：8；计量单位：标准贸易单位；商品 ID：G044；材料基础货值（银币）：1160；材料用途：工坊加工原料。</x:v>
      </x:c>
      <x:c r="L74" s="27" t="n">
        <x:v>2780</x:v>
      </x:c>
      <x:c r="M74" s="13" t="str">
        <x:v>换端后帆船沿相反方向航行，省去传统掉头圆弧。</x:v>
      </x:c>
      <x:c r="N74" s="13" t="str">
        <x:v>换艏时间（秒）：4；是否允许不转弯换艏：1</x:v>
      </x:c>
      <x:c r="O74" s="13" t="str">
        <x:v>换端时仅保留 35% 航速，占用 1 艉炮位。</x:v>
      </x:c>
      <x:c r="P74" s="13" t="str">
        <x:v>改变航向后航速保留比例：0.35；船艉武器位增减（个）：-1</x:v>
      </x:c>
      <x:c r="Q74" s="13" t="str">
        <x:v>船体两端都有可抬木舵，彩绳引向中央帆台。</x:v>
      </x:c>
      <x:c r="R74" s="13" t="str">
        <x:v>完成“船艏就是船艉”领航训练。</x:v>
      </x:c>
      <x:c r="S74" s="13" t="str">
        <x:v>双体与支架船</x:v>
      </x:c>
      <x:c r="T74" s="13" t="str">
        <x:v>S042；S068；S069；S070；S071；S072</x:v>
      </x:c>
      <x:c r="U74" s="13" t="str">
        <x:v>船艉</x:v>
      </x:c>
      <x:c r="V74" s="27" t="n">
        <x:v>1</x:v>
      </x:c>
      <x:c r="W74" s="36" t="b">
        <x:v>0</x:v>
      </x:c>
      <x:c r="X74" s="13" t="str">
        <x:v>cost 为现金工费，materials 为另交原料；不重复把材料基础价值计入工费。</x:v>
      </x:c>
      <x:c r="Y74" s="13" t="str">
        <x:v>原创游戏改造；效果与代价为游戏初值。</x:v>
      </x:c>
      <x:c r="Z74" s="13" t="str">
        <x:v>FC15</x:v>
      </x:c>
    </x:row>
    <x:row r="75" ht="102" customHeight="1">
      <x:c r="A75" s="15" t="str">
        <x:v>M070</x:v>
      </x:c>
      <x:c r="B75" s="15" t="str">
        <x:v>群星航位编图</x:v>
      </x:c>
      <x:c r="C75" s="15" t="str">
        <x:v>导航器具</x:v>
      </x:c>
      <x:c r="D75" s="15" t="str">
        <x:v>通用</x:v>
      </x:c>
      <x:c r="E75" s="15" t="str">
        <x:v>波利尼西亚航海师</x:v>
      </x:c>
      <x:c r="F75" s="15" t="str">
        <x:v>科乌港</x:v>
      </x:c>
      <x:c r="G75" s="30" t="n">
        <x:v>4</x:v>
      </x:c>
      <x:c r="H75" s="30" t="n">
        <x:v>0</x:v>
      </x:c>
      <x:c r="I75" s="30" t="n">
        <x:v>18000</x:v>
      </x:c>
      <x:c r="J75" s="30" t="n">
        <x:v>5</x:v>
      </x:c>
      <x:c r="K75" s="15" t="str">
        <x:v>名称：硬木；数量（以单位字段为准）：4；计量单位：标准贸易单位；商品 ID：G110；材料基础货值（银币）：540；可替代材料商品 ID：G055；G056；G057；G110；材料用途：木料；默认就近地区船材，也可使用列出的替代船材。；名称：书籍；数量（以单位字段为准）：3；计量单位：标准贸易单位；商品 ID：G098；材料基础货值（银币）：840；材料用途：作为施工与观测参考的图样书册。</x:v>
      </x:c>
      <x:c r="L75" s="30" t="n">
        <x:v>1380</x:v>
      </x:c>
      <x:c r="M75" s="15" t="str">
        <x:v>星位、涌浪和鸟路叠到同一张地图；未知海域也能计划回程。</x:v>
      </x:c>
      <x:c r="N75" s="15" t="str">
        <x:v>涌浪方向揭示半径（千米）：65；夜间航海误差倍率：0.5</x:v>
      </x:c>
      <x:c r="O75" s="15" t="str">
        <x:v>需要专职领航员 1 人。</x:v>
      </x:c>
      <x:c r="P75" s="15" t="str">
        <x:v>岗位所需船员增减（人）：1</x:v>
      </x:c>
      <x:c r="Q75" s="15" t="str">
        <x:v>木枝、贝片和绳结组成艺术化航位图；风浪方向以动态线叠加。</x:v>
      </x:c>
      <x:c r="R75" s="15" t="str">
        <x:v>完成三个相隔远海岛屿的航海师试炼。</x:v>
      </x:c>
      <x:c r="S75" s="15" t="str">
        <x:v>全部</x:v>
      </x:c>
      <x:c r="T75" s="15" t="str">
        <x:v>S001；S002；S003；S004；S005；S006；S007；S008；S009；S010；S011；S012；S013；S014；S015；S016；S017；S018；S019；S020；S021；S022；S023；S024；S025；S026；S027；S028；S029；S030；S031；S032；S033；S034；S035；S036；S037；S038；S039；S040；S041；S042；S043；S044；S045；S046；S047；S048；S049；S050；S051；S052；S053；S054；S055；S056；S057；S058；S059；S060；S061；S062；S063；S064；S065；S066；S067；S068；S069；S070；S071；S072</x:v>
      </x:c>
      <x:c r="U75" s="15" t="str">
        <x:v>同名改造</x:v>
      </x:c>
      <x:c r="V75" s="30" t="n">
        <x:v>1</x:v>
      </x:c>
      <x:c r="W75" s="45" t="b">
        <x:v>0</x:v>
      </x:c>
      <x:c r="X75" s="15" t="str">
        <x:v>cost 为现金工费，materials 为另交原料；不重复把材料基础价值计入工费。</x:v>
      </x:c>
      <x:c r="Y75" s="15" t="str">
        <x:v>原创游戏改造；效果与代价为游戏初值。</x:v>
      </x:c>
      <x:c r="Z75" s="15" t="str">
        <x:v>FC15；FC16</x:v>
      </x:c>
    </x:row>
    <x:row r="76" ht="102" customHeight="1">
      <x:c r="A76" s="13" t="str">
        <x:v>M071</x:v>
      </x:c>
      <x:c r="B76" s="13" t="str">
        <x:v>海鸟归巢架</x:v>
      </x:c>
      <x:c r="C76" s="13" t="str">
        <x:v>探索设施</x:v>
      </x:c>
      <x:c r="D76" s="13" t="str">
        <x:v>通用</x:v>
      </x:c>
      <x:c r="E76" s="13" t="str">
        <x:v>太平洋岛民</x:v>
      </x:c>
      <x:c r="F76" s="13" t="str">
        <x:v>马塔瓦伊湾</x:v>
      </x:c>
      <x:c r="G76" s="27" t="n">
        <x:v>3</x:v>
      </x:c>
      <x:c r="H76" s="27" t="n">
        <x:v>0</x:v>
      </x:c>
      <x:c r="I76" s="27" t="n">
        <x:v>14000</x:v>
      </x:c>
      <x:c r="J76" s="27" t="n">
        <x:v>4</x:v>
      </x:c>
      <x:c r="K76" s="13" t="str">
        <x:v>名称：硬木；数量（以单位字段为准）：7；计量单位：标准贸易单位；商品 ID：G110；材料基础货值（银币）：945；可替代材料商品 ID：G055；G056；G057；G110；材料用途：木料；默认就近地区船材，也可使用列出的替代船材。；名称：麻布；数量（以单位字段为准）：4；计量单位：标准贸易单位；商品 ID：G044；材料基础货值（银币）：580；材料用途：工坊加工原料。</x:v>
      </x:c>
      <x:c r="L76" s="27" t="n">
        <x:v>1525</x:v>
      </x:c>
      <x:c r="M76" s="13" t="str">
        <x:v>观察海鸟飞返方向，获得附近岛屿扇形线索而非自动揭开全图。</x:v>
      </x:c>
      <x:c r="N76" s="13" t="str">
        <x:v>岛屿线索提示半径（千米）：80；海鸟观测时间（秒）：10</x:v>
      </x:c>
      <x:c r="O76" s="13" t="str">
        <x:v>占 6 舱位；暮色与恶劣天气线索减少。</x:v>
      </x:c>
      <x:c r="P76" s="13" t="str">
        <x:v>载货量增减（舱容单位）：-6</x:v>
      </x:c>
      <x:c r="Q76" s="13" t="str">
        <x:v>一组简洁木架、可收遮网与白色鸟羽装饰。</x:v>
      </x:c>
      <x:c r="R76" s="13" t="str">
        <x:v>在不依赖港口传闻的情况下发现一座岛。</x:v>
      </x:c>
      <x:c r="S76" s="13" t="str">
        <x:v>全部</x:v>
      </x:c>
      <x:c r="T76" s="13" t="str">
        <x:v>S001；S002；S003；S004；S005；S006；S007；S008；S009；S010；S011；S012；S013；S014；S015；S016；S017；S018；S019；S020；S021；S022；S023；S024；S025；S026；S027；S028；S029；S030；S031；S032；S033；S034；S035；S036；S037；S038；S039；S040；S041；S042；S043；S044；S045；S046；S047；S048；S049；S050；S051；S052；S053；S054；S055；S056；S057；S058；S059；S060；S061；S062；S063；S064；S065；S066；S067；S068；S069；S070；S071；S072</x:v>
      </x:c>
      <x:c r="U76" s="13" t="str">
        <x:v>同名改造</x:v>
      </x:c>
      <x:c r="V76" s="27" t="n">
        <x:v>1</x:v>
      </x:c>
      <x:c r="W76" s="36" t="b">
        <x:v>0</x:v>
      </x:c>
      <x:c r="X76" s="13" t="str">
        <x:v>cost 为现金工费，materials 为另交原料；不重复把材料基础价值计入工费。</x:v>
      </x:c>
      <x:c r="Y76" s="13" t="str">
        <x:v>原创游戏改造；效果与代价为游戏初值。</x:v>
      </x:c>
      <x:c r="Z76" s="13" t="str">
        <x:v>FC16</x:v>
      </x:c>
    </x:row>
    <x:row r="77" ht="102" customHeight="1">
      <x:c r="A77" s="16" t="str">
        <x:v>M072</x:v>
      </x:c>
      <x:c r="B77" s="16" t="str">
        <x:v>航海植物园台</x:v>
      </x:c>
      <x:c r="C77" s="16" t="str">
        <x:v>补给设施</x:v>
      </x:c>
      <x:c r="D77" s="16" t="str">
        <x:v>货舱</x:v>
      </x:c>
      <x:c r="E77" s="16" t="str">
        <x:v>太平洋航海联盟</x:v>
      </x:c>
      <x:c r="F77" s="16" t="str">
        <x:v>怀特马塔湾</x:v>
      </x:c>
      <x:c r="G77" s="32" t="n">
        <x:v>5</x:v>
      </x:c>
      <x:c r="H77" s="32" t="n">
        <x:v>1</x:v>
      </x:c>
      <x:c r="I77" s="32" t="n">
        <x:v>32000</x:v>
      </x:c>
      <x:c r="J77" s="32" t="n">
        <x:v>6</x:v>
      </x:c>
      <x:c r="K77" s="16" t="str">
        <x:v>名称：硬木；数量（以单位字段为准）：14；计量单位：标准贸易单位；商品 ID：G110；材料基础货值（银币）：1890；可替代材料商品 ID：G055；G056；G057；G110；材料用途：木料；默认就近地区船材，也可使用列出的替代船材。；名称：粗陶器；数量（以单位字段为准）：9；计量单位：标准贸易单位；商品 ID：G069；材料基础货值（银币）：810；材料用途：工坊加工原料。</x:v>
      </x:c>
      <x:c r="L77" s="32" t="n">
        <x:v>2700</x:v>
      </x:c>
      <x:c r="M77" s="16" t="str">
        <x:v>种植箱每天提供 0.05 单位鲜食（15 水手日），四个植物标本格服务远方栽培委托。</x:v>
      </x:c>
      <x:c r="N77" s="16" t="str">
        <x:v>每日鲜食产量（舱容单位/游戏日）：0.05；长航程士气衰减倍率：0.6；植物运输槽（个）：4</x:v>
      </x:c>
      <x:c r="O77" s="16" t="str">
        <x:v>占 38 舱位，每天额外用 0.02 单位淡水。</x:v>
      </x:c>
      <x:c r="P77" s="16" t="str">
        <x:v>载货量增减（舱容单位）：-38；每日淡水消耗增减（舱容单位/游戏日）：0.02</x:v>
      </x:c>
      <x:c r="Q77" s="16" t="str">
        <x:v>中央平台铺着整齐绿叶种植箱，灯下像一座微型岛屿。</x:v>
      </x:c>
      <x:c r="R77" s="16" t="str">
        <x:v>完成“把家乡带上船”的植物交流任务。</x:v>
      </x:c>
      <x:c r="S77" s="16" t="str">
        <x:v>全部</x:v>
      </x:c>
      <x:c r="T77" s="16" t="str">
        <x:v>S001；S002；S003；S004；S005；S006；S007；S008；S009；S010；S011；S012；S013；S014；S015；S016；S017；S018；S019；S020；S021；S022；S023；S024；S025；S026；S027；S028；S029；S030；S031；S032；S033；S034；S035；S036；S037；S038；S039；S040；S041；S042；S043；S044；S045；S046；S047；S048；S049；S050；S051；S052；S053；S054；S055；S056；S057；S058；S059；S060；S061；S062；S063；S064；S065；S066；S067；S068；S069；S070；S071；S072</x:v>
      </x:c>
      <x:c r="U77" s="16" t="str">
        <x:v>货舱</x:v>
      </x:c>
      <x:c r="V77" s="32" t="n">
        <x:v>1</x:v>
      </x:c>
      <x:c r="W77" s="47" t="b">
        <x:v>0</x:v>
      </x:c>
      <x:c r="X77" s="16" t="str">
        <x:v>cost 为现金工费，materials 为另交原料；不重复把材料基础价值计入工费。</x:v>
      </x:c>
      <x:c r="Y77" s="16" t="str">
        <x:v>原创游戏改造；效果与代价为游戏初值。</x:v>
      </x:c>
      <x:c r="Z77" s="16" t="str">
        <x:v>FC16</x:v>
      </x:c>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sheetData>
  <x:pageMargins left="0.7" right="0.7" top="0.75" bottom="0.75" header="0.3" footer="0.3"/>
  <x:tableParts count="1">
    <x:tablePart xmlns:r="http://schemas.openxmlformats.org/officeDocument/2006/relationships" r:id="R7e28b984fb0c4734"/>
  </x:tableParts>
</x:worksheet>
</file>

<file path=xl/worksheets/sheet18.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3" hidden="0" customWidth="1"/>
    <x:col min="2" max="2" width="32" hidden="0" customWidth="1"/>
    <x:col min="3" max="3" width="32" hidden="0" customWidth="1"/>
    <x:col min="4" max="4" width="58" hidden="0" customWidth="1"/>
    <x:col min="5" max="5" width="32" hidden="0" customWidth="1"/>
    <x:col min="6" max="6" width="58" hidden="0" customWidth="1"/>
    <x:col min="7" max="7" width="16" hidden="0" customWidth="1"/>
    <x:col min="8" max="8" width="16" hidden="0" customWidth="1"/>
    <x:col min="9" max="9" width="16" hidden="0" customWidth="1"/>
    <x:col min="10" max="10" width="58" hidden="0" customWidth="1"/>
    <x:col min="11" max="11" width="16" hidden="0" customWidth="1"/>
    <x:col min="12" max="12" width="16" hidden="0" customWidth="1"/>
    <x:col min="13" max="13" width="58" hidden="0" customWidth="1"/>
    <x:col min="14" max="14" width="16" hidden="0" customWidth="1"/>
    <x:col min="15" max="15" width="16" hidden="0" customWidth="1"/>
    <x:col min="16" max="16" width="58" hidden="0" customWidth="1"/>
    <x:col min="17" max="17" width="16" hidden="0" customWidth="1"/>
    <x:col min="18" max="18" width="16" hidden="0" customWidth="1"/>
    <x:col min="19" max="19" width="16" hidden="0" customWidth="1"/>
    <x:col min="20" max="20" width="58" hidden="0" customWidth="1"/>
    <x:col min="21" max="21" width="58" hidden="0" customWidth="1"/>
    <x:col min="22" max="22" width="58" hidden="0" customWidth="1"/>
    <x:col min="23" max="23" width="58" hidden="0" customWidth="1"/>
    <x:col min="24" max="24" width="58" hidden="0" customWidth="1"/>
    <x:col min="25" max="25" width="58" hidden="0" customWidth="1"/>
    <x:col min="26" max="26" width="58" hidden="0" customWidth="1"/>
    <x:col min="27" max="27" width="58" hidden="0" customWidth="1"/>
    <x:col min="28" max="28" width="58" hidden="0" customWidth="1"/>
    <x:col min="29" max="29" width="58" hidden="0" customWidth="1"/>
    <x:col min="30" max="30" width="16" hidden="0" customWidth="1"/>
    <x:col min="31" max="31" width="58"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c r="AA1" s="2"/>
      <x:c r="AB1" s="2"/>
      <x:c r="AC1" s="2"/>
      <x:c r="AD1" s="2"/>
      <x:c r="AE1" s="2"/>
    </x:row>
    <x:row r="2" ht="28" customHeight="1">
      <x:c r="A2" s="3" t="str">
        <x:v>舰炮、弹种、甲板器械与白刃装备</x:v>
      </x:c>
      <x:c r="B2" s="2"/>
      <x:c r="C2" s="2"/>
      <x:c r="D2" s="2"/>
      <x:c r="E2" s="2"/>
      <x:c r="F2" s="2"/>
      <x:c r="G2" s="2"/>
      <x:c r="H2" s="2"/>
      <x:c r="I2" s="2"/>
      <x:c r="J2" s="2"/>
      <x:c r="K2" s="2"/>
      <x:c r="L2" s="2"/>
      <x:c r="M2" s="2"/>
      <x:c r="N2" s="2"/>
      <x:c r="O2" s="2"/>
      <x:c r="P2" s="2"/>
      <x:c r="Q2" s="2"/>
      <x:c r="R2" s="2"/>
      <x:c r="S2" s="2"/>
      <x:c r="T2" s="2"/>
      <x:c r="U2" s="2"/>
      <x:c r="V2" s="2"/>
      <x:c r="W2" s="2"/>
      <x:c r="X2" s="2"/>
      <x:c r="Y2" s="2"/>
      <x:c r="Z2" s="2"/>
      <x:c r="AA2" s="2"/>
      <x:c r="AB2" s="2"/>
      <x:c r="AC2" s="2"/>
      <x:c r="AD2" s="2"/>
      <x:c r="AE2" s="2"/>
    </x:row>
    <x:row r="3">
      <x:c r="A3" s="5" t="str">
        <x:v>舰炮与弹种分开定义；伤害和价目为游戏基值。</x:v>
      </x:c>
      <x:c r="B3" s="2"/>
      <x:c r="C3" s="2"/>
      <x:c r="D3" s="2"/>
      <x:c r="E3" s="2"/>
      <x:c r="F3" s="2"/>
      <x:c r="G3" s="2"/>
      <x:c r="H3" s="2"/>
      <x:c r="I3" s="2"/>
      <x:c r="J3" s="2"/>
      <x:c r="K3" s="2"/>
      <x:c r="L3" s="2"/>
      <x:c r="M3" s="2"/>
      <x:c r="N3" s="2"/>
      <x:c r="O3" s="2"/>
      <x:c r="P3" s="2"/>
      <x:c r="Q3" s="2"/>
      <x:c r="R3" s="2"/>
      <x:c r="S3" s="2"/>
      <x:c r="T3" s="2"/>
      <x:c r="U3" s="2"/>
      <x:c r="V3" s="2"/>
      <x:c r="W3" s="2"/>
      <x:c r="X3" s="2"/>
      <x:c r="Y3" s="2"/>
      <x:c r="Z3" s="2"/>
      <x:c r="AA3" s="2"/>
      <x:c r="AB3" s="2"/>
      <x:c r="AC3" s="2"/>
      <x:c r="AD3" s="2"/>
      <x:c r="AE3" s="2"/>
    </x:row>
    <x:row r="4">
      <x:c r="A4" s="2"/>
      <x:c r="B4" s="2"/>
      <x:c r="C4" s="2"/>
      <x:c r="D4" s="2"/>
      <x:c r="E4" s="2"/>
      <x:c r="F4" s="2"/>
      <x:c r="G4" s="2"/>
      <x:c r="H4" s="2"/>
      <x:c r="I4" s="2"/>
      <x:c r="J4" s="2"/>
      <x:c r="K4" s="2"/>
      <x:c r="L4" s="2"/>
      <x:c r="M4" s="2"/>
      <x:c r="N4" s="2"/>
      <x:c r="O4" s="2"/>
      <x:c r="P4" s="2"/>
      <x:c r="Q4" s="2"/>
      <x:c r="R4" s="2"/>
      <x:c r="S4" s="2"/>
      <x:c r="T4" s="2"/>
      <x:c r="U4" s="2"/>
      <x:c r="V4" s="2"/>
      <x:c r="W4" s="2"/>
      <x:c r="X4" s="2"/>
      <x:c r="Y4" s="2"/>
      <x:c r="Z4" s="2"/>
      <x:c r="AA4" s="2"/>
      <x:c r="AB4" s="2"/>
      <x:c r="AC4" s="2"/>
      <x:c r="AD4" s="2"/>
      <x:c r="AE4" s="2"/>
    </x:row>
    <x:row r="5" ht="34" customHeight="1">
      <x:c r="A5" s="10" t="str">
        <x:v>武器ID</x:v>
      </x:c>
      <x:c r="B5" s="10" t="str">
        <x:v>名称</x:v>
      </x:c>
      <x:c r="C5" s="10" t="str">
        <x:v>分类</x:v>
      </x:c>
      <x:c r="D5" s="10" t="str">
        <x:v>武器子类</x:v>
      </x:c>
      <x:c r="E5" s="10" t="str">
        <x:v>文化</x:v>
      </x:c>
      <x:c r="F5" s="10" t="str">
        <x:v>产地港</x:v>
      </x:c>
      <x:c r="G5" s="10" t="str">
        <x:v>D解锁等级</x:v>
      </x:c>
      <x:c r="H5" s="10" t="str">
        <x:v>A解锁等级</x:v>
      </x:c>
      <x:c r="I5" s="10" t="str">
        <x:v>价格（银币）</x:v>
      </x:c>
      <x:c r="J5" s="10" t="str">
        <x:v>购买单位</x:v>
      </x:c>
      <x:c r="K5" s="10" t="str">
        <x:v>射程（米）</x:v>
      </x:c>
      <x:c r="L5" s="10" t="str">
        <x:v>装填（秒）</x:v>
      </x:c>
      <x:c r="M5" s="10" t="str">
        <x:v>基础伤害</x:v>
      </x:c>
      <x:c r="N5" s="10" t="str">
        <x:v>穿甲值</x:v>
      </x:c>
      <x:c r="O5" s="10" t="str">
        <x:v>基础命中率（%）</x:v>
      </x:c>
      <x:c r="P5" s="10" t="str">
        <x:v>可装位置</x:v>
      </x:c>
      <x:c r="Q5" s="10" t="str">
        <x:v>占用武器位</x:v>
      </x:c>
      <x:c r="R5" s="10" t="str">
        <x:v>弹重规格（磅）</x:v>
      </x:c>
      <x:c r="S5" s="10" t="str">
        <x:v>重量（吨）</x:v>
      </x:c>
      <x:c r="T5" s="10" t="str">
        <x:v>战术用途</x:v>
      </x:c>
      <x:c r="U5" s="10" t="str">
        <x:v>弱点</x:v>
      </x:c>
      <x:c r="V5" s="10" t="str">
        <x:v>独特效果参数</x:v>
      </x:c>
      <x:c r="W5" s="10" t="str">
        <x:v>兼容弹药</x:v>
      </x:c>
      <x:c r="X5" s="10" t="str">
        <x:v>历史与设计</x:v>
      </x:c>
      <x:c r="Y5" s="10" t="str">
        <x:v>资料编号</x:v>
      </x:c>
      <x:c r="Z5" s="10" t="str">
        <x:v>参数含义</x:v>
      </x:c>
      <x:c r="AA5" s="10" t="str">
        <x:v>兼容弹药ID</x:v>
      </x:c>
      <x:c r="AB5" s="10" t="str">
        <x:v>弹药消耗规则</x:v>
      </x:c>
      <x:c r="AC5" s="10" t="str">
        <x:v>币种</x:v>
      </x:c>
      <x:c r="AD5" s="10" t="str">
        <x:v>每次购买发数</x:v>
      </x:c>
      <x:c r="AE5" s="10" t="str">
        <x:v>使用周期</x:v>
      </x:c>
    </x:row>
    <x:row r="6" ht="42" customHeight="1">
      <x:c r="A6" s="12" t="str">
        <x:v>W001</x:v>
      </x:c>
      <x:c r="B6" s="12" t="str">
        <x:v>轻铁旋回炮</x:v>
      </x:c>
      <x:c r="C6" s="12" t="str">
        <x:v>舰炮</x:v>
      </x:c>
      <x:c r="D6" s="12" t="str">
        <x:v>旋回炮</x:v>
      </x:c>
      <x:c r="E6" s="12" t="str">
        <x:v>欧洲沿岸</x:v>
      </x:c>
      <x:c r="F6" s="12" t="str">
        <x:v>里斯本</x:v>
      </x:c>
      <x:c r="G6" s="26" t="n">
        <x:v>0</x:v>
      </x:c>
      <x:c r="H6" s="26" t="n">
        <x:v>0</x:v>
      </x:c>
      <x:c r="I6" s="26" t="n">
        <x:v>650</x:v>
      </x:c>
      <x:c r="J6" s="12" t="str">
        <x:v>1 门</x:v>
      </x:c>
      <x:c r="K6" s="26" t="n">
        <x:v>180</x:v>
      </x:c>
      <x:c r="L6" s="26" t="n">
        <x:v>8</x:v>
      </x:c>
      <x:c r="M6" s="12" t="str">
        <x:v>船体伤害（HP）：8；帆具伤害（点）：3；船员失能基值（人）：2；士气（点）：2</x:v>
      </x:c>
      <x:c r="N6" s="26" t="n">
        <x:v>2</x:v>
      </x:c>
      <x:c r="O6" s="26" t="n">
        <x:v>65</x:v>
      </x:c>
      <x:c r="P6" s="12" t="str">
        <x:v>甲板</x:v>
      </x:c>
      <x:c r="Q6" s="26" t="n">
        <x:v>1</x:v>
      </x:c>
      <x:c r="R6" s="26" t="n">
        <x:v>1</x:v>
      </x:c>
      <x:c r="S6" s="26" t="n">
        <x:v>0.08</x:v>
      </x:c>
      <x:c r="T6" s="12" t="str">
        <x:v>在敌船贴近或正在登舷时压制暴露甲板。</x:v>
      </x:c>
      <x:c r="U6" s="12" t="str">
        <x:v>对厚船体几乎无效；短射程。</x:v>
      </x:c>
      <x:c r="V6" s="12" t="str">
        <x:v>武器横向回转射界（度）：220</x:v>
      </x:c>
      <x:c r="W6" s="12" t="str">
        <x:v>铁实心弹；霰弹葡萄包；警告空包</x:v>
      </x:c>
      <x:c r="X6" s="12" t="str">
        <x:v>原创游戏装备与初值；文化造型取材不等于历史复原。</x:v>
      </x:c>
      <x:c r="Y6" s="12" t="str">
        <x:v>FC20</x:v>
      </x:c>
      <x:c r="Z6" s="12" t="str">
        <x:v>游戏初值。射程为有效交战距离；装填为单炮/单组完整循环；绝非历史实测。</x:v>
      </x:c>
      <x:c r="AA6" s="12" t="str">
        <x:v>W019；W022；W027</x:v>
      </x:c>
      <x:c r="AB6" s="12" t="str">
        <x:v>舰炮每次射击消耗 1 发；甲板班每组齐射消耗 1 份；消耗按 10 发包拆分，剩余保留。</x:v>
      </x:c>
      <x:c r="AC6" s="12" t="str">
        <x:v>银币</x:v>
      </x:c>
      <x:c r="AD6" s="26" t="str"/>
      <x:c r="AE6" s="12" t="str"/>
    </x:row>
    <x:row r="7" ht="42" customHeight="1">
      <x:c r="A7" s="15" t="str">
        <x:v>W002</x:v>
      </x:c>
      <x:c r="B7" s="15" t="str">
        <x:v>青铜猎鹰炮</x:v>
      </x:c>
      <x:c r="C7" s="15" t="str">
        <x:v>舰炮</x:v>
      </x:c>
      <x:c r="D7" s="15" t="str">
        <x:v>轻型长炮</x:v>
      </x:c>
      <x:c r="E7" s="15" t="str">
        <x:v>伊比利亚</x:v>
      </x:c>
      <x:c r="F7" s="15" t="str">
        <x:v>里斯本</x:v>
      </x:c>
      <x:c r="G7" s="30" t="n">
        <x:v>1</x:v>
      </x:c>
      <x:c r="H7" s="30" t="n">
        <x:v>0</x:v>
      </x:c>
      <x:c r="I7" s="30" t="n">
        <x:v>1400</x:v>
      </x:c>
      <x:c r="J7" s="15" t="str">
        <x:v>1 门</x:v>
      </x:c>
      <x:c r="K7" s="30" t="n">
        <x:v>420</x:v>
      </x:c>
      <x:c r="L7" s="30" t="n">
        <x:v>16</x:v>
      </x:c>
      <x:c r="M7" s="15" t="str">
        <x:v>船体伤害（HP）：25；帆具伤害（点）：4；船员失能基值（人）：2；士气（点）：2</x:v>
      </x:c>
      <x:c r="N7" s="30" t="n">
        <x:v>6</x:v>
      </x:c>
      <x:c r="O7" s="30" t="n">
        <x:v>70</x:v>
      </x:c>
      <x:c r="P7" s="15" t="str">
        <x:v>侧舷；船艏；船艉</x:v>
      </x:c>
      <x:c r="Q7" s="30" t="n">
        <x:v>1</x:v>
      </x:c>
      <x:c r="R7" s="30" t="n">
        <x:v>3</x:v>
      </x:c>
      <x:c r="S7" s="30" t="n">
        <x:v>0.3</x:v>
      </x:c>
      <x:c r="T7" s="15" t="str">
        <x:v>小船能携带的基础舰炮，也能从船艉劝退追兵。</x:v>
      </x:c>
      <x:c r="U7" s="15" t="str">
        <x:v>打不穿重舰关键部位。</x:v>
      </x:c>
      <x:c r="V7" s="15" t="str"/>
      <x:c r="W7" s="15" t="str">
        <x:v>铁实心弹；杆弹；霰弹葡萄包；警告空包</x:v>
      </x:c>
      <x:c r="X7" s="15" t="str">
        <x:v>原创游戏装备与初值；文化造型取材不等于历史复原。</x:v>
      </x:c>
      <x:c r="Y7" s="15" t="str">
        <x:v>FC01</x:v>
      </x:c>
      <x:c r="Z7" s="15" t="str">
        <x:v>游戏初值。射程为有效交战距离；装填为单炮/单组完整循环；绝非历史实测。</x:v>
      </x:c>
      <x:c r="AA7" s="15" t="str">
        <x:v>W019；W021；W022；W027</x:v>
      </x:c>
      <x:c r="AB7" s="15" t="str">
        <x:v>舰炮每次射击消耗 1 发；甲板班每组齐射消耗 1 份；消耗按 10 发包拆分，剩余保留。</x:v>
      </x:c>
      <x:c r="AC7" s="15" t="str">
        <x:v>银币</x:v>
      </x:c>
      <x:c r="AD7" s="30" t="str"/>
      <x:c r="AE7" s="15" t="str"/>
    </x:row>
    <x:row r="8" ht="42" customHeight="1">
      <x:c r="A8" s="13" t="str">
        <x:v>W003</x:v>
      </x:c>
      <x:c r="B8" s="13" t="str">
        <x:v>六磅船用长炮</x:v>
      </x:c>
      <x:c r="C8" s="13" t="str">
        <x:v>舰炮</x:v>
      </x:c>
      <x:c r="D8" s="13" t="str">
        <x:v>长炮</x:v>
      </x:c>
      <x:c r="E8" s="13" t="str">
        <x:v>西欧</x:v>
      </x:c>
      <x:c r="F8" s="13" t="str">
        <x:v>伦敦</x:v>
      </x:c>
      <x:c r="G8" s="27" t="n">
        <x:v>1</x:v>
      </x:c>
      <x:c r="H8" s="27" t="n">
        <x:v>1</x:v>
      </x:c>
      <x:c r="I8" s="27" t="n">
        <x:v>2600</x:v>
      </x:c>
      <x:c r="J8" s="13" t="str">
        <x:v>1 门</x:v>
      </x:c>
      <x:c r="K8" s="27" t="n">
        <x:v>600</x:v>
      </x:c>
      <x:c r="L8" s="27" t="n">
        <x:v>24</x:v>
      </x:c>
      <x:c r="M8" s="13" t="str">
        <x:v>船体伤害（HP）：44；帆具伤害（点）：4；船员失能基值（人）：2；士气（点）：3</x:v>
      </x:c>
      <x:c r="N8" s="27" t="n">
        <x:v>8</x:v>
      </x:c>
      <x:c r="O8" s="27" t="n">
        <x:v>70</x:v>
      </x:c>
      <x:c r="P8" s="13" t="str">
        <x:v>侧舷；船艏；船艉</x:v>
      </x:c>
      <x:c r="Q8" s="27" t="n">
        <x:v>1</x:v>
      </x:c>
      <x:c r="R8" s="27" t="n">
        <x:v>6</x:v>
      </x:c>
      <x:c r="S8" s="27" t="n">
        <x:v>0.8</x:v>
      </x:c>
      <x:c r="T8" s="13" t="str">
        <x:v>中小船主力火炮，在船体、索具、甲板目标之间通用。</x:v>
      </x:c>
      <x:c r="U8" s="13" t="str">
        <x:v>对高甲重舰要靠近或打薄弱区。</x:v>
      </x:c>
      <x:c r="V8" s="13" t="str"/>
      <x:c r="W8" s="13" t="str">
        <x:v>铁实心弹；链弹；杆弹；霰弹葡萄包；烟幕罐弹；警告空包</x:v>
      </x:c>
      <x:c r="X8" s="13" t="str">
        <x:v>原创游戏装备与初值；文化造型取材不等于历史复原。</x:v>
      </x:c>
      <x:c r="Y8" s="13" t="str">
        <x:v>FC03</x:v>
      </x:c>
      <x:c r="Z8" s="13" t="str">
        <x:v>游戏初值。射程为有效交战距离；装填为单炮/单组完整循环；绝非历史实测。</x:v>
      </x:c>
      <x:c r="AA8" s="13" t="str">
        <x:v>W019；W020；W021；W022；W026；W027</x:v>
      </x:c>
      <x:c r="AB8" s="13" t="str">
        <x:v>舰炮每次射击消耗 1 发；甲板班每组齐射消耗 1 份；消耗按 10 发包拆分，剩余保留。</x:v>
      </x:c>
      <x:c r="AC8" s="13" t="str">
        <x:v>银币</x:v>
      </x:c>
      <x:c r="AD8" s="27" t="str"/>
      <x:c r="AE8" s="13" t="str"/>
    </x:row>
    <x:row r="9" ht="42" customHeight="1">
      <x:c r="A9" s="15" t="str">
        <x:v>W004</x:v>
      </x:c>
      <x:c r="B9" s="15" t="str">
        <x:v>九磅长蛇炮</x:v>
      </x:c>
      <x:c r="C9" s="15" t="str">
        <x:v>舰炮</x:v>
      </x:c>
      <x:c r="D9" s="15" t="str">
        <x:v>精确长炮</x:v>
      </x:c>
      <x:c r="E9" s="15" t="str">
        <x:v>低地—伊比利亚</x:v>
      </x:c>
      <x:c r="F9" s="15" t="str">
        <x:v>阿姆斯特丹</x:v>
      </x:c>
      <x:c r="G9" s="30" t="n">
        <x:v>2</x:v>
      </x:c>
      <x:c r="H9" s="30" t="n">
        <x:v>2</x:v>
      </x:c>
      <x:c r="I9" s="30" t="n">
        <x:v>4700</x:v>
      </x:c>
      <x:c r="J9" s="15" t="str">
        <x:v>1 门</x:v>
      </x:c>
      <x:c r="K9" s="30" t="n">
        <x:v>820</x:v>
      </x:c>
      <x:c r="L9" s="30" t="n">
        <x:v>32</x:v>
      </x:c>
      <x:c r="M9" s="15" t="str">
        <x:v>船体伤害（HP）：60；帆具伤害（点）：5；船员失能基值（人）：2；士气（点）：3</x:v>
      </x:c>
      <x:c r="N9" s="30" t="n">
        <x:v>12</x:v>
      </x:c>
      <x:c r="O9" s="30" t="n">
        <x:v>80</x:v>
      </x:c>
      <x:c r="P9" s="15" t="str">
        <x:v>侧舷；船艏；船艉</x:v>
      </x:c>
      <x:c r="Q9" s="30" t="n">
        <x:v>1</x:v>
      </x:c>
      <x:c r="R9" s="30" t="n">
        <x:v>9</x:v>
      </x:c>
      <x:c r="S9" s="30" t="n">
        <x:v>1.2</x:v>
      </x:c>
      <x:c r="T9" s="15" t="str">
        <x:v>远距拆帆与穿艉精射，适合追击舰。</x:v>
      </x:c>
      <x:c r="U9" s="15" t="str">
        <x:v>装填不快；近距爆发较低。</x:v>
      </x:c>
      <x:c r="V9" s="15" t="str"/>
      <x:c r="W9" s="15" t="str">
        <x:v>铁实心弹；链弹；杆弹；索网切断弹；警告空包</x:v>
      </x:c>
      <x:c r="X9" s="15" t="str">
        <x:v>原创游戏装备与初值；文化造型取材不等于历史复原。</x:v>
      </x:c>
      <x:c r="Y9" s="15" t="str">
        <x:v>FC24</x:v>
      </x:c>
      <x:c r="Z9" s="15" t="str">
        <x:v>游戏初值。射程为有效交战距离；装填为单炮/单组完整循环；绝非历史实测。</x:v>
      </x:c>
      <x:c r="AA9" s="15" t="str">
        <x:v>W019；W020；W021；W031；W027</x:v>
      </x:c>
      <x:c r="AB9" s="15" t="str">
        <x:v>舰炮每次射击消耗 1 发；甲板班每组齐射消耗 1 份；消耗按 10 发包拆分，剩余保留。</x:v>
      </x:c>
      <x:c r="AC9" s="15" t="str">
        <x:v>银币</x:v>
      </x:c>
      <x:c r="AD9" s="30" t="str"/>
      <x:c r="AE9" s="15" t="str"/>
    </x:row>
    <x:row r="10" ht="42" customHeight="1">
      <x:c r="A10" s="13" t="str">
        <x:v>W005</x:v>
      </x:c>
      <x:c r="B10" s="13" t="str">
        <x:v>十二磅巡航炮</x:v>
      </x:c>
      <x:c r="C10" s="13" t="str">
        <x:v>舰炮</x:v>
      </x:c>
      <x:c r="D10" s="13" t="str">
        <x:v>长炮</x:v>
      </x:c>
      <x:c r="E10" s="13" t="str">
        <x:v>英法船厂</x:v>
      </x:c>
      <x:c r="F10" s="13" t="str">
        <x:v>布雷斯特</x:v>
      </x:c>
      <x:c r="G10" s="27" t="n">
        <x:v>3</x:v>
      </x:c>
      <x:c r="H10" s="27" t="n">
        <x:v>3</x:v>
      </x:c>
      <x:c r="I10" s="27" t="n">
        <x:v>6800</x:v>
      </x:c>
      <x:c r="J10" s="13" t="str">
        <x:v>1 门</x:v>
      </x:c>
      <x:c r="K10" s="27" t="n">
        <x:v>850</x:v>
      </x:c>
      <x:c r="L10" s="27" t="n">
        <x:v>36</x:v>
      </x:c>
      <x:c r="M10" s="13" t="str">
        <x:v>船体伤害（HP）：84；帆具伤害（点）：6；船员失能基值（人）：3；士气（点）：4</x:v>
      </x:c>
      <x:c r="N10" s="27" t="n">
        <x:v>16</x:v>
      </x:c>
      <x:c r="O10" s="27" t="n">
        <x:v>77</x:v>
      </x:c>
      <x:c r="P10" s="13" t="str">
        <x:v>侧舷；船艏；船艉</x:v>
      </x:c>
      <x:c r="Q10" s="27" t="n">
        <x:v>1</x:v>
      </x:c>
      <x:c r="R10" s="27" t="n">
        <x:v>12</x:v>
      </x:c>
      <x:c r="S10" s="27" t="n">
        <x:v>1.7</x:v>
      </x:c>
      <x:c r="T10" s="13" t="str">
        <x:v>护卫舰核心武器；一次齐射可以明确损坏船体一区。</x:v>
      </x:c>
      <x:c r="U10" s="13" t="str">
        <x:v>轻船炮架承重不足。</x:v>
      </x:c>
      <x:c r="V10" s="13" t="str"/>
      <x:c r="W10" s="13" t="str">
        <x:v>铁实心弹；链弹；杆弹；霰弹葡萄包；双装实心弹；烟幕罐弹</x:v>
      </x:c>
      <x:c r="X10" s="13" t="str">
        <x:v>原创游戏装备与初值；文化造型取材不等于历史复原。</x:v>
      </x:c>
      <x:c r="Y10" s="13" t="str">
        <x:v>FC03</x:v>
      </x:c>
      <x:c r="Z10" s="13" t="str">
        <x:v>游戏初值。射程为有效交战距离；装填为单炮/单组完整循环；绝非历史实测。</x:v>
      </x:c>
      <x:c r="AA10" s="13" t="str">
        <x:v>W019；W020；W021；W022；W024；W026</x:v>
      </x:c>
      <x:c r="AB10" s="13" t="str">
        <x:v>舰炮每次射击消耗 1 发；甲板班每组齐射消耗 1 份；消耗按 10 发包拆分，剩余保留。</x:v>
      </x:c>
      <x:c r="AC10" s="13" t="str">
        <x:v>银币</x:v>
      </x:c>
      <x:c r="AD10" s="27" t="str"/>
      <x:c r="AE10" s="13" t="str"/>
    </x:row>
    <x:row r="11" ht="42" customHeight="1">
      <x:c r="A11" s="15" t="str">
        <x:v>W006</x:v>
      </x:c>
      <x:c r="B11" s="15" t="str">
        <x:v>二十四磅半加农炮</x:v>
      </x:c>
      <x:c r="C11" s="15" t="str">
        <x:v>舰炮</x:v>
      </x:c>
      <x:c r="D11" s="15" t="str">
        <x:v>重型长炮</x:v>
      </x:c>
      <x:c r="E11" s="15" t="str">
        <x:v>伊比利亚—地中海</x:v>
      </x:c>
      <x:c r="F11" s="15" t="str">
        <x:v>塞维利亚</x:v>
      </x:c>
      <x:c r="G11" s="30" t="n">
        <x:v>4</x:v>
      </x:c>
      <x:c r="H11" s="30" t="n">
        <x:v>4</x:v>
      </x:c>
      <x:c r="I11" s="30" t="n">
        <x:v>10500</x:v>
      </x:c>
      <x:c r="J11" s="15" t="str">
        <x:v>1 门</x:v>
      </x:c>
      <x:c r="K11" s="30" t="n">
        <x:v>720</x:v>
      </x:c>
      <x:c r="L11" s="30" t="n">
        <x:v>45</x:v>
      </x:c>
      <x:c r="M11" s="15" t="str">
        <x:v>船体伤害（HP）：125；帆具伤害（点）：8；船员失能基值（人）：4；士气（点）：5</x:v>
      </x:c>
      <x:c r="N11" s="30" t="n">
        <x:v>24</x:v>
      </x:c>
      <x:c r="O11" s="30" t="n">
        <x:v>69</x:v>
      </x:c>
      <x:c r="P11" s="15" t="str">
        <x:v>侧舷；船艏</x:v>
      </x:c>
      <x:c r="Q11" s="30" t="n">
        <x:v>1</x:v>
      </x:c>
      <x:c r="R11" s="30" t="n">
        <x:v>24</x:v>
      </x:c>
      <x:c r="S11" s="30" t="n">
        <x:v>2.6</x:v>
      </x:c>
      <x:c r="T11" s="15" t="str">
        <x:v>中距击穿船体，压制敌舰炮廊。</x:v>
      </x:c>
      <x:c r="U11" s="15" t="str">
        <x:v>转瞄慢；一次失射造成长空档。</x:v>
      </x:c>
      <x:c r="V11" s="15" t="str"/>
      <x:c r="W11" s="15" t="str">
        <x:v>铁实心弹；杆弹；双装实心弹；霰弹葡萄包</x:v>
      </x:c>
      <x:c r="X11" s="15" t="str">
        <x:v>原创游戏装备与初值；文化造型取材不等于历史复原。</x:v>
      </x:c>
      <x:c r="Y11" s="15" t="str">
        <x:v>FC04</x:v>
      </x:c>
      <x:c r="Z11" s="15" t="str">
        <x:v>游戏初值。射程为有效交战距离；装填为单炮/单组完整循环；绝非历史实测。</x:v>
      </x:c>
      <x:c r="AA11" s="15" t="str">
        <x:v>W019；W021；W024；W022</x:v>
      </x:c>
      <x:c r="AB11" s="15" t="str">
        <x:v>舰炮每次射击消耗 1 发；甲板班每组齐射消耗 1 份；消耗按 10 发包拆分，剩余保留。</x:v>
      </x:c>
      <x:c r="AC11" s="15" t="str">
        <x:v>银币</x:v>
      </x:c>
      <x:c r="AD11" s="30" t="str"/>
      <x:c r="AE11" s="15" t="str"/>
    </x:row>
    <x:row r="12" ht="42" customHeight="1">
      <x:c r="A12" s="13" t="str">
        <x:v>W007</x:v>
      </x:c>
      <x:c r="B12" s="13" t="str">
        <x:v>三十二磅舰列重炮</x:v>
      </x:c>
      <x:c r="C12" s="13" t="str">
        <x:v>舰炮</x:v>
      </x:c>
      <x:c r="D12" s="13" t="str">
        <x:v>重型长炮</x:v>
      </x:c>
      <x:c r="E12" s="13" t="str">
        <x:v>北海军港</x:v>
      </x:c>
      <x:c r="F12" s="13" t="str">
        <x:v>哥本哈根</x:v>
      </x:c>
      <x:c r="G12" s="27" t="n">
        <x:v>5</x:v>
      </x:c>
      <x:c r="H12" s="27" t="n">
        <x:v>5</x:v>
      </x:c>
      <x:c r="I12" s="27" t="n">
        <x:v>13800</x:v>
      </x:c>
      <x:c r="J12" s="13" t="str">
        <x:v>1 门</x:v>
      </x:c>
      <x:c r="K12" s="27" t="n">
        <x:v>700</x:v>
      </x:c>
      <x:c r="L12" s="27" t="n">
        <x:v>53</x:v>
      </x:c>
      <x:c r="M12" s="13" t="str">
        <x:v>船体伤害（HP）：155；帆具伤害（点）：8；船员失能基值（人）：5；士气（点）：5</x:v>
      </x:c>
      <x:c r="N12" s="27" t="n">
        <x:v>29</x:v>
      </x:c>
      <x:c r="O12" s="27" t="n">
        <x:v>67</x:v>
      </x:c>
      <x:c r="P12" s="13" t="str">
        <x:v>侧舷</x:v>
      </x:c>
      <x:c r="Q12" s="27" t="n">
        <x:v>1</x:v>
      </x:c>
      <x:c r="R12" s="27" t="n">
        <x:v>32</x:v>
      </x:c>
      <x:c r="S12" s="27" t="n">
        <x:v>3.3</x:v>
      </x:c>
      <x:c r="T12" s="13" t="str">
        <x:v>战列重舰的破甲核心，适合瞄准敌舰中部船骨。</x:v>
      </x:c>
      <x:c r="U12" s="13" t="str">
        <x:v>重量和装填要求高；不适合小型追击舰。</x:v>
      </x:c>
      <x:c r="V12" s="13" t="str"/>
      <x:c r="W12" s="13" t="str">
        <x:v>铁实心弹；双装实心弹；霰弹葡萄包</x:v>
      </x:c>
      <x:c r="X12" s="13" t="str">
        <x:v>原创游戏装备与初值；文化造型取材不等于历史复原。</x:v>
      </x:c>
      <x:c r="Y12" s="13" t="str">
        <x:v>FC04</x:v>
      </x:c>
      <x:c r="Z12" s="13" t="str">
        <x:v>游戏初值。射程为有效交战距离；装填为单炮/单组完整循环；绝非历史实测。</x:v>
      </x:c>
      <x:c r="AA12" s="13" t="str">
        <x:v>W019；W024；W022</x:v>
      </x:c>
      <x:c r="AB12" s="13" t="str">
        <x:v>舰炮每次射击消耗 1 发；甲板班每组齐射消耗 1 份；消耗按 10 发包拆分，剩余保留。</x:v>
      </x:c>
      <x:c r="AC12" s="13" t="str">
        <x:v>银币</x:v>
      </x:c>
      <x:c r="AD12" s="27" t="str"/>
      <x:c r="AE12" s="13" t="str"/>
    </x:row>
    <x:row r="13" ht="42" customHeight="1">
      <x:c r="A13" s="15" t="str">
        <x:v>W008</x:v>
      </x:c>
      <x:c r="B13" s="15" t="str">
        <x:v>十八磅细腰炮</x:v>
      </x:c>
      <x:c r="C13" s="15" t="str">
        <x:v>舰炮</x:v>
      </x:c>
      <x:c r="D13" s="15" t="str">
        <x:v>中重型长炮</x:v>
      </x:c>
      <x:c r="E13" s="15" t="str">
        <x:v>法国</x:v>
      </x:c>
      <x:c r="F13" s="15" t="str">
        <x:v>南特</x:v>
      </x:c>
      <x:c r="G13" s="30" t="n">
        <x:v>4</x:v>
      </x:c>
      <x:c r="H13" s="30" t="n">
        <x:v>4</x:v>
      </x:c>
      <x:c r="I13" s="30" t="n">
        <x:v>8800</x:v>
      </x:c>
      <x:c r="J13" s="15" t="str">
        <x:v>1 门</x:v>
      </x:c>
      <x:c r="K13" s="30" t="n">
        <x:v>780</x:v>
      </x:c>
      <x:c r="L13" s="30" t="n">
        <x:v>39</x:v>
      </x:c>
      <x:c r="M13" s="15" t="str">
        <x:v>船体伤害（HP）：102；帆具伤害（点）：6；船员失能基值（人）：3；士气（点）：4</x:v>
      </x:c>
      <x:c r="N13" s="30" t="n">
        <x:v>20</x:v>
      </x:c>
      <x:c r="O13" s="30" t="n">
        <x:v>74</x:v>
      </x:c>
      <x:c r="P13" s="15" t="str">
        <x:v>侧舷；船艏</x:v>
      </x:c>
      <x:c r="Q13" s="30" t="n">
        <x:v>1</x:v>
      </x:c>
      <x:c r="R13" s="30" t="n">
        <x:v>18</x:v>
      </x:c>
      <x:c r="S13" s="30" t="n">
        <x:v>2.2</x:v>
      </x:c>
      <x:c r="T13" s="15" t="str">
        <x:v>在射速与船体伤害之间提供顺手的重护卫炮。</x:v>
      </x:c>
      <x:c r="U13" s="15" t="str">
        <x:v>需要完整炮手班；射程略小于精确长炮。</x:v>
      </x:c>
      <x:c r="V13" s="15" t="str"/>
      <x:c r="W13" s="15" t="str">
        <x:v>铁实心弹；链弹；杆弹；双装实心弹</x:v>
      </x:c>
      <x:c r="X13" s="15" t="str">
        <x:v>原创游戏装备与初值；文化造型取材不等于历史复原。</x:v>
      </x:c>
      <x:c r="Y13" s="15" t="str">
        <x:v>FC03</x:v>
      </x:c>
      <x:c r="Z13" s="15" t="str">
        <x:v>游戏初值。射程为有效交战距离；装填为单炮/单组完整循环；绝非历史实测。</x:v>
      </x:c>
      <x:c r="AA13" s="15" t="str">
        <x:v>W019；W020；W021；W024</x:v>
      </x:c>
      <x:c r="AB13" s="15" t="str">
        <x:v>舰炮每次射击消耗 1 发；甲板班每组齐射消耗 1 份；消耗按 10 发包拆分，剩余保留。</x:v>
      </x:c>
      <x:c r="AC13" s="15" t="str">
        <x:v>银币</x:v>
      </x:c>
      <x:c r="AD13" s="30" t="str"/>
      <x:c r="AE13" s="15" t="str"/>
    </x:row>
    <x:row r="14" ht="42" customHeight="1">
      <x:c r="A14" s="13" t="str">
        <x:v>W009</x:v>
      </x:c>
      <x:c r="B14" s="13" t="str">
        <x:v>十八磅短重炮</x:v>
      </x:c>
      <x:c r="C14" s="13" t="str">
        <x:v>舰炮</x:v>
      </x:c>
      <x:c r="D14" s="13" t="str">
        <x:v>短重炮</x:v>
      </x:c>
      <x:c r="E14" s="13" t="str">
        <x:v>后期西欧—加勒比</x:v>
      </x:c>
      <x:c r="F14" s="13" t="str">
        <x:v>罗亚尔港</x:v>
      </x:c>
      <x:c r="G14" s="27" t="n">
        <x:v>5</x:v>
      </x:c>
      <x:c r="H14" s="27" t="n">
        <x:v>4</x:v>
      </x:c>
      <x:c r="I14" s="27" t="n">
        <x:v>7900</x:v>
      </x:c>
      <x:c r="J14" s="13" t="str">
        <x:v>1 门</x:v>
      </x:c>
      <x:c r="K14" s="27" t="n">
        <x:v>300</x:v>
      </x:c>
      <x:c r="L14" s="27" t="n">
        <x:v>25</x:v>
      </x:c>
      <x:c r="M14" s="13" t="str">
        <x:v>船体伤害（HP）：115；帆具伤害（点）：5；船员失能基值（人）：5；士气（点）：7</x:v>
      </x:c>
      <x:c r="N14" s="27" t="n">
        <x:v>14</x:v>
      </x:c>
      <x:c r="O14" s="27" t="n">
        <x:v>76</x:v>
      </x:c>
      <x:c r="P14" s="13" t="str">
        <x:v>侧舷；甲板</x:v>
      </x:c>
      <x:c r="Q14" s="27" t="n">
        <x:v>1</x:v>
      </x:c>
      <x:c r="R14" s="27" t="n">
        <x:v>18</x:v>
      </x:c>
      <x:c r="S14" s="27" t="n">
        <x:v>0.9</x:v>
      </x:c>
      <x:c r="T14" s="13" t="str">
        <x:v>突入敌舷短距爆发，能迅速压掉登舷前的士气。</x:v>
      </x:c>
      <x:c r="U14" s="13" t="str">
        <x:v>在敌长炮射程内接近时要承受先手。</x:v>
      </x:c>
      <x:c r="V14" s="13" t="str"/>
      <x:c r="W14" s="13" t="str">
        <x:v>铁实心弹；霰弹葡萄包；铁罐霰弹</x:v>
      </x:c>
      <x:c r="X14" s="13" t="str">
        <x:v>短重炮为 18 世纪后期技术融入；不属于 16 世纪基础装备。</x:v>
      </x:c>
      <x:c r="Y14" s="13" t="str">
        <x:v>FC21</x:v>
      </x:c>
      <x:c r="Z14" s="13" t="str">
        <x:v>游戏初值。射程为有效交战距离；装填为单炮/单组完整循环；绝非历史实测。</x:v>
      </x:c>
      <x:c r="AA14" s="13" t="str">
        <x:v>W019；W022；W023</x:v>
      </x:c>
      <x:c r="AB14" s="13" t="str">
        <x:v>舰炮每次射击消耗 1 发；甲板班每组齐射消耗 1 份；消耗按 10 发包拆分，剩余保留。</x:v>
      </x:c>
      <x:c r="AC14" s="13" t="str">
        <x:v>银币</x:v>
      </x:c>
      <x:c r="AD14" s="27" t="str"/>
      <x:c r="AE14" s="13" t="str"/>
    </x:row>
    <x:row r="15" ht="42" customHeight="1">
      <x:c r="A15" s="15" t="str">
        <x:v>W010</x:v>
      </x:c>
      <x:c r="B15" s="15" t="str">
        <x:v>三十二磅臼身短炮</x:v>
      </x:c>
      <x:c r="C15" s="15" t="str">
        <x:v>舰炮</x:v>
      </x:c>
      <x:c r="D15" s="15" t="str">
        <x:v>短重炮</x:v>
      </x:c>
      <x:c r="E15" s="15" t="str">
        <x:v>后期加勒比军港</x:v>
      </x:c>
      <x:c r="F15" s="15" t="str">
        <x:v>哈瓦那</x:v>
      </x:c>
      <x:c r="G15" s="30" t="n">
        <x:v>5</x:v>
      </x:c>
      <x:c r="H15" s="30" t="n">
        <x:v>5</x:v>
      </x:c>
      <x:c r="I15" s="30" t="n">
        <x:v>11500</x:v>
      </x:c>
      <x:c r="J15" s="15" t="str">
        <x:v>1 门</x:v>
      </x:c>
      <x:c r="K15" s="30" t="n">
        <x:v>250</x:v>
      </x:c>
      <x:c r="L15" s="30" t="n">
        <x:v>31</x:v>
      </x:c>
      <x:c r="M15" s="15" t="str">
        <x:v>船体伤害（HP）：165；帆具伤害（点）：6；船员失能基值（人）：7；士气（点）：9</x:v>
      </x:c>
      <x:c r="N15" s="30" t="n">
        <x:v>22</x:v>
      </x:c>
      <x:c r="O15" s="30" t="n">
        <x:v>73</x:v>
      </x:c>
      <x:c r="P15" s="15" t="str">
        <x:v>侧舷；甲板</x:v>
      </x:c>
      <x:c r="Q15" s="30" t="n">
        <x:v>1</x:v>
      </x:c>
      <x:c r="R15" s="30" t="n">
        <x:v>32</x:v>
      </x:c>
      <x:c r="S15" s="30" t="n">
        <x:v>1.3</x:v>
      </x:c>
      <x:c r="T15" s="15" t="str">
        <x:v>近距离一次猛烈齐射制造投降窗口。</x:v>
      </x:c>
      <x:c r="U15" s="15" t="str">
        <x:v>射程极短；烟雾也会挡住己方下一轮瞄准。</x:v>
      </x:c>
      <x:c r="V15" s="15" t="str">
        <x:v>自身烟雾遮蔽时间（秒）：5</x:v>
      </x:c>
      <x:c r="W15" s="15" t="str">
        <x:v>铁实心弹；霰弹葡萄包；铁罐霰弹</x:v>
      </x:c>
      <x:c r="X15" s="15" t="str">
        <x:v>18 世纪后期短重炮的原创地区变体。</x:v>
      </x:c>
      <x:c r="Y15" s="15" t="str">
        <x:v>FC21</x:v>
      </x:c>
      <x:c r="Z15" s="15" t="str">
        <x:v>游戏初值。射程为有效交战距离；装填为单炮/单组完整循环；绝非历史实测。</x:v>
      </x:c>
      <x:c r="AA15" s="15" t="str">
        <x:v>W019；W022；W023</x:v>
      </x:c>
      <x:c r="AB15" s="15" t="str">
        <x:v>舰炮每次射击消耗 1 发；甲板班每组齐射消耗 1 份；消耗按 10 发包拆分，剩余保留。</x:v>
      </x:c>
      <x:c r="AC15" s="15" t="str">
        <x:v>银币</x:v>
      </x:c>
      <x:c r="AD15" s="30" t="str"/>
      <x:c r="AE15" s="15" t="str"/>
    </x:row>
    <x:row r="16" ht="42" customHeight="1">
      <x:c r="A16" s="13" t="str">
        <x:v>W011</x:v>
      </x:c>
      <x:c r="B16" s="13" t="str">
        <x:v>威尼斯长艏铜炮</x:v>
      </x:c>
      <x:c r="C16" s="13" t="str">
        <x:v>舰炮</x:v>
      </x:c>
      <x:c r="D16" s="13" t="str">
        <x:v>艏向长炮</x:v>
      </x:c>
      <x:c r="E16" s="13" t="str">
        <x:v>威尼斯</x:v>
      </x:c>
      <x:c r="F16" s="13" t="str">
        <x:v>威尼斯</x:v>
      </x:c>
      <x:c r="G16" s="27" t="n">
        <x:v>3</x:v>
      </x:c>
      <x:c r="H16" s="27" t="n">
        <x:v>3</x:v>
      </x:c>
      <x:c r="I16" s="27" t="n">
        <x:v>9500</x:v>
      </x:c>
      <x:c r="J16" s="13" t="str">
        <x:v>1 门</x:v>
      </x:c>
      <x:c r="K16" s="27" t="n">
        <x:v>920</x:v>
      </x:c>
      <x:c r="L16" s="27" t="n">
        <x:v>46</x:v>
      </x:c>
      <x:c r="M16" s="13" t="str">
        <x:v>船体伤害（HP）：94；帆具伤害（点）：6；船员失能基值（人）：3；士气（点）：5</x:v>
      </x:c>
      <x:c r="N16" s="27" t="n">
        <x:v>23</x:v>
      </x:c>
      <x:c r="O16" s="27" t="n">
        <x:v>83</x:v>
      </x:c>
      <x:c r="P16" s="13" t="str">
        <x:v>船艏</x:v>
      </x:c>
      <x:c r="Q16" s="27" t="n">
        <x:v>1</x:v>
      </x:c>
      <x:c r="R16" s="27" t="n">
        <x:v>12</x:v>
      </x:c>
      <x:c r="S16" s="27" t="n">
        <x:v>2</x:v>
      </x:c>
      <x:c r="T16" s="13" t="str">
        <x:v>桨帆船固定艏向进行远射，优先打舵、桅与敌船艏。</x:v>
      </x:c>
      <x:c r="U16" s="13" t="str">
        <x:v>只能装在艏向炮座，装填慢。</x:v>
      </x:c>
      <x:c r="V16" s="13" t="str">
        <x:v>静止命中率增减（比例值）：0.1</x:v>
      </x:c>
      <x:c r="W16" s="13" t="str">
        <x:v>铁实心弹；杆弹；石质碎击弹</x:v>
      </x:c>
      <x:c r="X16" s="13" t="str">
        <x:v>原创游戏装备与初值；文化造型取材不等于历史复原。</x:v>
      </x:c>
      <x:c r="Y16" s="13" t="str">
        <x:v>FC06</x:v>
      </x:c>
      <x:c r="Z16" s="13" t="str">
        <x:v>游戏初值。射程为有效交战距离；装填为单炮/单组完整循环；绝非历史实测。</x:v>
      </x:c>
      <x:c r="AA16" s="13" t="str">
        <x:v>W019；W021；W025</x:v>
      </x:c>
      <x:c r="AB16" s="13" t="str">
        <x:v>舰炮每次射击消耗 1 发；甲板班每组齐射消耗 1 份；消耗按 10 发包拆分，剩余保留。</x:v>
      </x:c>
      <x:c r="AC16" s="13" t="str">
        <x:v>银币</x:v>
      </x:c>
      <x:c r="AD16" s="27" t="str"/>
      <x:c r="AE16" s="13" t="str"/>
    </x:row>
    <x:row r="17" ht="42" customHeight="1">
      <x:c r="A17" s="15" t="str">
        <x:v>W012</x:v>
      </x:c>
      <x:c r="B17" s="15" t="str">
        <x:v>海门厚壁铜炮</x:v>
      </x:c>
      <x:c r="C17" s="15" t="str">
        <x:v>舰炮</x:v>
      </x:c>
      <x:c r="D17" s="15" t="str">
        <x:v>重型艏炮</x:v>
      </x:c>
      <x:c r="E17" s="15" t="str">
        <x:v>奥斯曼—红海</x:v>
      </x:c>
      <x:c r="F17" s="15" t="str">
        <x:v>君士坦丁堡</x:v>
      </x:c>
      <x:c r="G17" s="30" t="n">
        <x:v>4</x:v>
      </x:c>
      <x:c r="H17" s="30" t="n">
        <x:v>4</x:v>
      </x:c>
      <x:c r="I17" s="30" t="n">
        <x:v>11500</x:v>
      </x:c>
      <x:c r="J17" s="15" t="str">
        <x:v>1 门</x:v>
      </x:c>
      <x:c r="K17" s="30" t="n">
        <x:v>620</x:v>
      </x:c>
      <x:c r="L17" s="30" t="n">
        <x:v>54</x:v>
      </x:c>
      <x:c r="M17" s="15" t="str">
        <x:v>船体伤害（HP）：140；帆具伤害（点）：7；船员失能基值（人）：5；士气（点）：8</x:v>
      </x:c>
      <x:c r="N17" s="30" t="n">
        <x:v>26</x:v>
      </x:c>
      <x:c r="O17" s="30" t="n">
        <x:v>65</x:v>
      </x:c>
      <x:c r="P17" s="15" t="str">
        <x:v>船艏；侧舷</x:v>
      </x:c>
      <x:c r="Q17" s="30" t="n">
        <x:v>1</x:v>
      </x:c>
      <x:c r="R17" s="30" t="n">
        <x:v>24</x:v>
      </x:c>
      <x:c r="S17" s="30" t="n">
        <x:v>3.1</x:v>
      </x:c>
      <x:c r="T17" s="15" t="str">
        <x:v>在港口入口打出震慑性的低频重击。</x:v>
      </x:c>
      <x:c r="U17" s="15" t="str">
        <x:v>冷却长、装填人手多；追逐战不便。</x:v>
      </x:c>
      <x:c r="V17" s="15" t="str">
        <x:v>每门炮所需炮手（人/门）：9</x:v>
      </x:c>
      <x:c r="W17" s="15" t="str">
        <x:v>铁实心弹；石质碎击弹；霰弹葡萄包</x:v>
      </x:c>
      <x:c r="X17" s="15" t="str">
        <x:v>原创游戏装备与初值；文化造型取材不等于历史复原。</x:v>
      </x:c>
      <x:c r="Y17" s="15" t="str">
        <x:v>FC06</x:v>
      </x:c>
      <x:c r="Z17" s="15" t="str">
        <x:v>游戏初值。射程为有效交战距离；装填为单炮/单组完整循环；绝非历史实测。</x:v>
      </x:c>
      <x:c r="AA17" s="15" t="str">
        <x:v>W019；W025；W022</x:v>
      </x:c>
      <x:c r="AB17" s="15" t="str">
        <x:v>舰炮每次射击消耗 1 发；甲板班每组齐射消耗 1 份；消耗按 10 发包拆分，剩余保留。</x:v>
      </x:c>
      <x:c r="AC17" s="15" t="str">
        <x:v>银币</x:v>
      </x:c>
      <x:c r="AD17" s="30" t="str"/>
      <x:c r="AE17" s="15" t="str"/>
    </x:row>
    <x:row r="18" ht="42" customHeight="1">
      <x:c r="A18" s="13" t="str">
        <x:v>W013</x:v>
      </x:c>
      <x:c r="B18" s="13" t="str">
        <x:v>兰塔卡花纹旋炮</x:v>
      </x:c>
      <x:c r="C18" s="13" t="str">
        <x:v>舰炮</x:v>
      </x:c>
      <x:c r="D18" s="13" t="str">
        <x:v>旋回炮</x:v>
      </x:c>
      <x:c r="E18" s="13" t="str">
        <x:v>马来—文莱</x:v>
      </x:c>
      <x:c r="F18" s="13" t="str">
        <x:v>文莱</x:v>
      </x:c>
      <x:c r="G18" s="27" t="n">
        <x:v>2</x:v>
      </x:c>
      <x:c r="H18" s="27" t="n">
        <x:v>1</x:v>
      </x:c>
      <x:c r="I18" s="27" t="n">
        <x:v>1100</x:v>
      </x:c>
      <x:c r="J18" s="13" t="str">
        <x:v>1 门</x:v>
      </x:c>
      <x:c r="K18" s="27" t="n">
        <x:v>220</x:v>
      </x:c>
      <x:c r="L18" s="27" t="n">
        <x:v>10</x:v>
      </x:c>
      <x:c r="M18" s="13" t="str">
        <x:v>船体伤害（HP）：14；帆具伤害（点）：3；船员失能基值（人）：3；士气（点）：3</x:v>
      </x:c>
      <x:c r="N18" s="27" t="n">
        <x:v>3</x:v>
      </x:c>
      <x:c r="O18" s="27" t="n">
        <x:v>72</x:v>
      </x:c>
      <x:c r="P18" s="13" t="str">
        <x:v>甲板；船艏；船艉</x:v>
      </x:c>
      <x:c r="Q18" s="27" t="n">
        <x:v>1</x:v>
      </x:c>
      <x:c r="R18" s="27" t="n">
        <x:v>1</x:v>
      </x:c>
      <x:c r="S18" s="27" t="n">
        <x:v>0.1</x:v>
      </x:c>
      <x:c r="T18" s="13" t="str">
        <x:v>广角快速压制，适合群岛窄船与双体船。</x:v>
      </x:c>
      <x:c r="U18" s="13" t="str">
        <x:v>不能承担击沉重船的任务。</x:v>
      </x:c>
      <x:c r="V18" s="13" t="str">
        <x:v>武器横向回转射界（度）：240</x:v>
      </x:c>
      <x:c r="W18" s="13" t="str">
        <x:v>铁实心弹；霰弹葡萄包；警告空包</x:v>
      </x:c>
      <x:c r="X18" s="13" t="str">
        <x:v>原创游戏装备与初值；文化造型取材不等于历史复原。</x:v>
      </x:c>
      <x:c r="Y18" s="13" t="str">
        <x:v>FC22</x:v>
      </x:c>
      <x:c r="Z18" s="13" t="str">
        <x:v>游戏初值。射程为有效交战距离；装填为单炮/单组完整循环；绝非历史实测。</x:v>
      </x:c>
      <x:c r="AA18" s="13" t="str">
        <x:v>W019；W022；W027</x:v>
      </x:c>
      <x:c r="AB18" s="13" t="str">
        <x:v>舰炮每次射击消耗 1 发；甲板班每组齐射消耗 1 份；消耗按 10 发包拆分，剩余保留。</x:v>
      </x:c>
      <x:c r="AC18" s="13" t="str">
        <x:v>银币</x:v>
      </x:c>
      <x:c r="AD18" s="27" t="str"/>
      <x:c r="AE18" s="13" t="str"/>
    </x:row>
    <x:row r="19" ht="42" customHeight="1">
      <x:c r="A19" s="15" t="str">
        <x:v>W014</x:v>
      </x:c>
      <x:c r="B19" s="15" t="str">
        <x:v>佛郎机快换子铳</x:v>
      </x:c>
      <x:c r="C19" s="15" t="str">
        <x:v>舰炮</x:v>
      </x:c>
      <x:c r="D19" s="15" t="str">
        <x:v>轻型快装炮</x:v>
      </x:c>
      <x:c r="E19" s="15" t="str">
        <x:v>东亚海贸工坊</x:v>
      </x:c>
      <x:c r="F19" s="15" t="str">
        <x:v>广州</x:v>
      </x:c>
      <x:c r="G19" s="30" t="n">
        <x:v>3</x:v>
      </x:c>
      <x:c r="H19" s="30" t="n">
        <x:v>2</x:v>
      </x:c>
      <x:c r="I19" s="30" t="n">
        <x:v>2900</x:v>
      </x:c>
      <x:c r="J19" s="15" t="str">
        <x:v>1 门</x:v>
      </x:c>
      <x:c r="K19" s="30" t="n">
        <x:v>340</x:v>
      </x:c>
      <x:c r="L19" s="30" t="n">
        <x:v>12</x:v>
      </x:c>
      <x:c r="M19" s="15" t="str">
        <x:v>船体伤害（HP）：26；帆具伤害（点）：4；船员失能基值（人）：3；士气（点）：3</x:v>
      </x:c>
      <x:c r="N19" s="30" t="n">
        <x:v>5</x:v>
      </x:c>
      <x:c r="O19" s="30" t="n">
        <x:v>69</x:v>
      </x:c>
      <x:c r="P19" s="15" t="str">
        <x:v>侧舷；甲板；船艏；船艉</x:v>
      </x:c>
      <x:c r="Q19" s="30" t="n">
        <x:v>1</x:v>
      </x:c>
      <x:c r="R19" s="30" t="n">
        <x:v>3</x:v>
      </x:c>
      <x:c r="S19" s="30" t="n">
        <x:v>0.35</x:v>
      </x:c>
      <x:c r="T19" s="15" t="str">
        <x:v>连续短射阻止敌人在甲板集结，混合技术船型适配广。</x:v>
      </x:c>
      <x:c r="U19" s="15" t="str">
        <x:v>远距与破甲能力弱。</x:v>
      </x:c>
      <x:c r="V19" s="15" t="str">
        <x:v>前三发装填时间倍率：0.75</x:v>
      </x:c>
      <x:c r="W19" s="15" t="str">
        <x:v>铁实心弹；霰弹葡萄包；警告空包</x:v>
      </x:c>
      <x:c r="X19" s="15" t="str">
        <x:v>以早期近代交流火器为文化灵感；快换机制为游戏抽象。</x:v>
      </x:c>
      <x:c r="Y19" s="15" t="str">
        <x:v>FC00</x:v>
      </x:c>
      <x:c r="Z19" s="15" t="str">
        <x:v>游戏初值。射程为有效交战距离；装填为单炮/单组完整循环；绝非历史实测。</x:v>
      </x:c>
      <x:c r="AA19" s="15" t="str">
        <x:v>W019；W022；W027</x:v>
      </x:c>
      <x:c r="AB19" s="15" t="str">
        <x:v>舰炮每次射击消耗 1 发；甲板班每组齐射消耗 1 份；消耗按 10 发包拆分，剩余保留。</x:v>
      </x:c>
      <x:c r="AC19" s="15" t="str">
        <x:v>银币</x:v>
      </x:c>
      <x:c r="AD19" s="30" t="str"/>
      <x:c r="AE19" s="15" t="str"/>
    </x:row>
    <x:row r="20" ht="42" customHeight="1">
      <x:c r="A20" s="13" t="str">
        <x:v>W015</x:v>
      </x:c>
      <x:c r="B20" s="13" t="str">
        <x:v>天字铜炮</x:v>
      </x:c>
      <x:c r="C20" s="13" t="str">
        <x:v>舰炮</x:v>
      </x:c>
      <x:c r="D20" s="13" t="str">
        <x:v>舰用重铜炮</x:v>
      </x:c>
      <x:c r="E20" s="13" t="str">
        <x:v>朝鲜</x:v>
      </x:c>
      <x:c r="F20" s="13" t="str">
        <x:v>釜山</x:v>
      </x:c>
      <x:c r="G20" s="27" t="n">
        <x:v>4</x:v>
      </x:c>
      <x:c r="H20" s="27" t="n">
        <x:v>3</x:v>
      </x:c>
      <x:c r="I20" s="27" t="n">
        <x:v>8500</x:v>
      </x:c>
      <x:c r="J20" s="13" t="str">
        <x:v>1 门</x:v>
      </x:c>
      <x:c r="K20" s="27" t="n">
        <x:v>650</x:v>
      </x:c>
      <x:c r="L20" s="27" t="n">
        <x:v>40</x:v>
      </x:c>
      <x:c r="M20" s="13" t="str">
        <x:v>船体伤害（HP）：91；帆具伤害（点）：8；船员失能基值（人）：3；士气（点）：5</x:v>
      </x:c>
      <x:c r="N20" s="27" t="n">
        <x:v>19</x:v>
      </x:c>
      <x:c r="O20" s="27" t="n">
        <x:v>76</x:v>
      </x:c>
      <x:c r="P20" s="13" t="str">
        <x:v>侧舷；船艏</x:v>
      </x:c>
      <x:c r="Q20" s="27" t="n">
        <x:v>1</x:v>
      </x:c>
      <x:c r="R20" s="27" t="n">
        <x:v>12</x:v>
      </x:c>
      <x:c r="S20" s="27" t="n">
        <x:v>1.6</x:v>
      </x:c>
      <x:c r="T20" s="13" t="str">
        <x:v>板屋船旋转后进行稳定短齐射，亦可装木矢束打帆。</x:v>
      </x:c>
      <x:c r="U20" s="13" t="str">
        <x:v>体积大；轻质支架船无法安装。</x:v>
      </x:c>
      <x:c r="V20" s="13" t="str">
        <x:v>转向中命中率惩罚倍率：0.7</x:v>
      </x:c>
      <x:c r="W20" s="13" t="str">
        <x:v>铁实心弹；长木矢束；霰弹葡萄包</x:v>
      </x:c>
      <x:c r="X20" s="13" t="str">
        <x:v>原创游戏装备与初值；文化造型取材不等于历史复原。</x:v>
      </x:c>
      <x:c r="Y20" s="13" t="str">
        <x:v>FC23</x:v>
      </x:c>
      <x:c r="Z20" s="13" t="str">
        <x:v>游戏初值。射程为有效交战距离；装填为单炮/单组完整循环；绝非历史实测。</x:v>
      </x:c>
      <x:c r="AA20" s="13" t="str">
        <x:v>W019；W028；W022</x:v>
      </x:c>
      <x:c r="AB20" s="13" t="str">
        <x:v>舰炮每次射击消耗 1 发；甲板班每组齐射消耗 1 份；消耗按 10 发包拆分，剩余保留。</x:v>
      </x:c>
      <x:c r="AC20" s="13" t="str">
        <x:v>银币</x:v>
      </x:c>
      <x:c r="AD20" s="27" t="str"/>
      <x:c r="AE20" s="13" t="str"/>
    </x:row>
    <x:row r="21" ht="42" customHeight="1">
      <x:c r="A21" s="15" t="str">
        <x:v>W016</x:v>
      </x:c>
      <x:c r="B21" s="15" t="str">
        <x:v>爪哇短身铜炮</x:v>
      </x:c>
      <x:c r="C21" s="15" t="str">
        <x:v>舰炮</x:v>
      </x:c>
      <x:c r="D21" s="15" t="str">
        <x:v>短炮</x:v>
      </x:c>
      <x:c r="E21" s="15" t="str">
        <x:v>爪哇</x:v>
      </x:c>
      <x:c r="F21" s="15" t="str">
        <x:v>万丹</x:v>
      </x:c>
      <x:c r="G21" s="30" t="n">
        <x:v>3</x:v>
      </x:c>
      <x:c r="H21" s="30" t="n">
        <x:v>2</x:v>
      </x:c>
      <x:c r="I21" s="30" t="n">
        <x:v>4200</x:v>
      </x:c>
      <x:c r="J21" s="15" t="str">
        <x:v>1 门</x:v>
      </x:c>
      <x:c r="K21" s="30" t="n">
        <x:v>400</x:v>
      </x:c>
      <x:c r="L21" s="30" t="n">
        <x:v>22</x:v>
      </x:c>
      <x:c r="M21" s="15" t="str">
        <x:v>船体伤害（HP）：47；帆具伤害（点）：5；船员失能基值（人）：4；士气（点）：5</x:v>
      </x:c>
      <x:c r="N21" s="30" t="n">
        <x:v>10</x:v>
      </x:c>
      <x:c r="O21" s="30" t="n">
        <x:v>74</x:v>
      </x:c>
      <x:c r="P21" s="15" t="str">
        <x:v>侧舷；甲板</x:v>
      </x:c>
      <x:c r="Q21" s="30" t="n">
        <x:v>1</x:v>
      </x:c>
      <x:c r="R21" s="30" t="n">
        <x:v>6</x:v>
      </x:c>
      <x:c r="S21" s="30" t="n">
        <x:v>0.7</x:v>
      </x:c>
      <x:c r="T21" s="15" t="str">
        <x:v>短炮与旋炮组成压制层，压低登舷目标甲板力量。</x:v>
      </x:c>
      <x:c r="U21" s="15" t="str">
        <x:v>在长距离和厚船骨前表现一般。</x:v>
      </x:c>
      <x:c r="V21" s="15" t="str">
        <x:v>瞄准甲板命中率增减（比例值）：0.08</x:v>
      </x:c>
      <x:c r="W21" s="15" t="str">
        <x:v>铁实心弹；霰弹葡萄包；铁罐霰弹</x:v>
      </x:c>
      <x:c r="X21" s="15" t="str">
        <x:v>原创游戏装备与初值；文化造型取材不等于历史复原。</x:v>
      </x:c>
      <x:c r="Y21" s="15" t="str">
        <x:v>FC00</x:v>
      </x:c>
      <x:c r="Z21" s="15" t="str">
        <x:v>游戏初值。射程为有效交战距离；装填为单炮/单组完整循环；绝非历史实测。</x:v>
      </x:c>
      <x:c r="AA21" s="15" t="str">
        <x:v>W019；W022；W023</x:v>
      </x:c>
      <x:c r="AB21" s="15" t="str">
        <x:v>舰炮每次射击消耗 1 发；甲板班每组齐射消耗 1 份；消耗按 10 发包拆分，剩余保留。</x:v>
      </x:c>
      <x:c r="AC21" s="15" t="str">
        <x:v>银币</x:v>
      </x:c>
      <x:c r="AD21" s="30" t="str"/>
      <x:c r="AE21" s="15" t="str"/>
    </x:row>
    <x:row r="22" ht="42" customHeight="1">
      <x:c r="A22" s="13" t="str">
        <x:v>W017</x:v>
      </x:c>
      <x:c r="B22" s="13" t="str">
        <x:v>虎口九磅艏炮</x:v>
      </x:c>
      <x:c r="C22" s="13" t="str">
        <x:v>舰炮</x:v>
      </x:c>
      <x:c r="D22" s="13" t="str">
        <x:v>艏向长炮</x:v>
      </x:c>
      <x:c r="E22" s="13" t="str">
        <x:v>康坎海岸</x:v>
      </x:c>
      <x:c r="F22" s="13" t="str">
        <x:v>果阿</x:v>
      </x:c>
      <x:c r="G22" s="27" t="n">
        <x:v>3</x:v>
      </x:c>
      <x:c r="H22" s="27" t="n">
        <x:v>3</x:v>
      </x:c>
      <x:c r="I22" s="27" t="n">
        <x:v>5200</x:v>
      </x:c>
      <x:c r="J22" s="13" t="str">
        <x:v>1 门</x:v>
      </x:c>
      <x:c r="K22" s="27" t="n">
        <x:v>780</x:v>
      </x:c>
      <x:c r="L22" s="27" t="n">
        <x:v>30</x:v>
      </x:c>
      <x:c r="M22" s="13" t="str">
        <x:v>船体伤害（HP）：63；帆具伤害（点）：7；船员失能基值（人）：2；士气（点）：4</x:v>
      </x:c>
      <x:c r="N22" s="27" t="n">
        <x:v>15</x:v>
      </x:c>
      <x:c r="O22" s="27" t="n">
        <x:v>80</x:v>
      </x:c>
      <x:c r="P22" s="13" t="str">
        <x:v>船艏</x:v>
      </x:c>
      <x:c r="Q22" s="27" t="n">
        <x:v>1</x:v>
      </x:c>
      <x:c r="R22" s="27" t="n">
        <x:v>9</x:v>
      </x:c>
      <x:c r="S22" s="27" t="n">
        <x:v>1.2</x:v>
      </x:c>
      <x:c r="T22" s="13" t="str">
        <x:v>格拉布低平长艏射击，边追击边切断索具。</x:v>
      </x:c>
      <x:c r="U22" s="13" t="str">
        <x:v>不能装在侧舷，目标贴舷后难使用。</x:v>
      </x:c>
      <x:c r="V22" s="13" t="str">
        <x:v>艏炮追击命中率增减（比例值）：0.1</x:v>
      </x:c>
      <x:c r="W22" s="13" t="str">
        <x:v>铁实心弹；链弹；杆弹</x:v>
      </x:c>
      <x:c r="X22" s="13" t="str">
        <x:v>原创游戏装备与初值；文化造型取材不等于历史复原。</x:v>
      </x:c>
      <x:c r="Y22" s="13" t="str">
        <x:v>FC18</x:v>
      </x:c>
      <x:c r="Z22" s="13" t="str">
        <x:v>游戏初值。射程为有效交战距离；装填为单炮/单组完整循环；绝非历史实测。</x:v>
      </x:c>
      <x:c r="AA22" s="13" t="str">
        <x:v>W019；W020；W021</x:v>
      </x:c>
      <x:c r="AB22" s="13" t="str">
        <x:v>舰炮每次射击消耗 1 发；甲板班每组齐射消耗 1 份；消耗按 10 发包拆分，剩余保留。</x:v>
      </x:c>
      <x:c r="AC22" s="13" t="str">
        <x:v>银币</x:v>
      </x:c>
      <x:c r="AD22" s="27" t="str"/>
      <x:c r="AE22" s="13" t="str"/>
    </x:row>
    <x:row r="23" ht="42" customHeight="1">
      <x:c r="A23" s="15" t="str">
        <x:v>W018</x:v>
      </x:c>
      <x:c r="B23" s="15" t="str">
        <x:v>锚泊甲板臼炮</x:v>
      </x:c>
      <x:c r="C23" s="15" t="str">
        <x:v>舰炮</x:v>
      </x:c>
      <x:c r="D23" s="15" t="str">
        <x:v>臼炮</x:v>
      </x:c>
      <x:c r="E23" s="15" t="str">
        <x:v>地中海—西欧</x:v>
      </x:c>
      <x:c r="F23" s="15" t="str">
        <x:v>瓦莱塔</x:v>
      </x:c>
      <x:c r="G23" s="30" t="n">
        <x:v>5</x:v>
      </x:c>
      <x:c r="H23" s="30" t="n">
        <x:v>4</x:v>
      </x:c>
      <x:c r="I23" s="30" t="n">
        <x:v>14500</x:v>
      </x:c>
      <x:c r="J23" s="15" t="str">
        <x:v>1 门</x:v>
      </x:c>
      <x:c r="K23" s="30" t="n">
        <x:v>1000</x:v>
      </x:c>
      <x:c r="L23" s="30" t="n">
        <x:v>60</x:v>
      </x:c>
      <x:c r="M23" s="15" t="str">
        <x:v>船体伤害（HP）：95；帆具伤害（点）：10；船员失能基值（人）：4；士气（点）：8</x:v>
      </x:c>
      <x:c r="N23" s="30" t="n">
        <x:v>8</x:v>
      </x:c>
      <x:c r="O23" s="30" t="n">
        <x:v>58</x:v>
      </x:c>
      <x:c r="P23" s="15" t="str">
        <x:v>甲板</x:v>
      </x:c>
      <x:c r="Q23" s="30" t="n">
        <x:v>1</x:v>
      </x:c>
      <x:c r="R23" s="30" t="str"/>
      <x:c r="S23" s="30" t="n">
        <x:v>2.9</x:v>
      </x:c>
      <x:c r="T23" s="15" t="str">
        <x:v>对固定岸炮、封锁线和落锚舰进行高弧线射击。</x:v>
      </x:c>
      <x:c r="U23" s="15" t="str">
        <x:v>必须落锚；无法准确追踪机动轻船。</x:v>
      </x:c>
      <x:c r="V23" s="15" t="str">
        <x:v>最小射程（米）：250；是否需要锚泊：True；作用区域半径（米）：25</x:v>
      </x:c>
      <x:c r="W23" s="15" t="str">
        <x:v>臼炮榴弹；石质碎击弹；烟幕罐弹</x:v>
      </x:c>
      <x:c r="X23" s="15" t="str">
        <x:v>取早期近代臼炮观念，海战效果和射程全部为游戏初值。</x:v>
      </x:c>
      <x:c r="Y23" s="15" t="str">
        <x:v>FC00</x:v>
      </x:c>
      <x:c r="Z23" s="15" t="str">
        <x:v>游戏初值。射程为有效交战距离；装填为单炮/单组完整循环；绝非历史实测。</x:v>
      </x:c>
      <x:c r="AA23" s="15" t="str">
        <x:v>W030；W025；W026</x:v>
      </x:c>
      <x:c r="AB23" s="15" t="str">
        <x:v>舰炮每次射击消耗 1 发；甲板班每组齐射消耗 1 份；消耗按 10 发包拆分，剩余保留。</x:v>
      </x:c>
      <x:c r="AC23" s="15" t="str">
        <x:v>银币</x:v>
      </x:c>
      <x:c r="AD23" s="30" t="str"/>
      <x:c r="AE23" s="15" t="str"/>
    </x:row>
    <x:row r="24" ht="42" customHeight="1">
      <x:c r="A24" s="13" t="str">
        <x:v>W019</x:v>
      </x:c>
      <x:c r="B24" s="13" t="str">
        <x:v>铁实心弹</x:v>
      </x:c>
      <x:c r="C24" s="13" t="str">
        <x:v>弹种</x:v>
      </x:c>
      <x:c r="D24" s="13" t="str">
        <x:v>舰炮弹</x:v>
      </x:c>
      <x:c r="E24" s="13" t="str">
        <x:v>通用军港</x:v>
      </x:c>
      <x:c r="F24" s="13" t="str">
        <x:v>里斯本</x:v>
      </x:c>
      <x:c r="G24" s="27" t="n">
        <x:v>0</x:v>
      </x:c>
      <x:c r="H24" s="27" t="n">
        <x:v>0</x:v>
      </x:c>
      <x:c r="I24" s="27" t="n">
        <x:v>120</x:v>
      </x:c>
      <x:c r="J24" s="13" t="str">
        <x:v>10 发弹药包</x:v>
      </x:c>
      <x:c r="K24" s="27" t="str"/>
      <x:c r="L24" s="27" t="str"/>
      <x:c r="M24" s="13" t="str">
        <x:v>船体伤害（HP）：0；帆具伤害（点）：0；船员失能基值（人）：0；士气（点）：0</x:v>
      </x:c>
      <x:c r="N24" s="27" t="n">
        <x:v>0</x:v>
      </x:c>
      <x:c r="O24" s="27" t="str"/>
      <x:c r="P24" s="13" t="str"/>
      <x:c r="Q24" s="27" t="n">
        <x:v>0</x:v>
      </x:c>
      <x:c r="R24" s="27" t="str"/>
      <x:c r="S24" s="27" t="n">
        <x:v>0</x:v>
      </x:c>
      <x:c r="T24" s="13" t="str">
        <x:v>基础破船体弹，稳定、便宜、覆盖大多数舰炮。</x:v>
      </x:c>
      <x:c r="U24" s="13" t="str">
        <x:v>专攻帆装或甲板时效率不如专用弹。</x:v>
      </x:c>
      <x:c r="V24" s="13" t="str">
        <x:v>射程倍率：1.0；装填时间倍率：1.0；船体伤害倍率：1.0；帆具伤害倍率：1.0；船员伤害倍率：1.0；士气伤害倍率：1.0</x:v>
      </x:c>
      <x:c r="W24" s="13" t="str"/>
      <x:c r="X24" s="13" t="str">
        <x:v>原创游戏装备与初值；文化造型取材不等于历史复原。</x:v>
      </x:c>
      <x:c r="Y24" s="13" t="str">
        <x:v>FC20</x:v>
      </x:c>
      <x:c r="Z24" s="13" t="str">
        <x:v>按 10 发包计价；special_effect 中 multiplier 乘兼容发射器基值，add 为附加。</x:v>
      </x:c>
      <x:c r="AA24" s="13" t="str"/>
      <x:c r="AB24" s="13" t="str">
        <x:v>10 发包，可拆分并合并库存。</x:v>
      </x:c>
      <x:c r="AC24" s="13" t="str">
        <x:v>银币</x:v>
      </x:c>
      <x:c r="AD24" s="27" t="n">
        <x:v>10</x:v>
      </x:c>
      <x:c r="AE24" s="13" t="str"/>
    </x:row>
    <x:row r="25" ht="42" customHeight="1">
      <x:c r="A25" s="15" t="str">
        <x:v>W020</x:v>
      </x:c>
      <x:c r="B25" s="15" t="str">
        <x:v>链弹</x:v>
      </x:c>
      <x:c r="C25" s="15" t="str">
        <x:v>弹种</x:v>
      </x:c>
      <x:c r="D25" s="15" t="str">
        <x:v>舰炮弹</x:v>
      </x:c>
      <x:c r="E25" s="15" t="str">
        <x:v>西欧</x:v>
      </x:c>
      <x:c r="F25" s="15" t="str">
        <x:v>阿姆斯特丹</x:v>
      </x:c>
      <x:c r="G25" s="30" t="n">
        <x:v>2</x:v>
      </x:c>
      <x:c r="H25" s="30" t="n">
        <x:v>2</x:v>
      </x:c>
      <x:c r="I25" s="30" t="n">
        <x:v>260</x:v>
      </x:c>
      <x:c r="J25" s="15" t="str">
        <x:v>10 发弹药包</x:v>
      </x:c>
      <x:c r="K25" s="30" t="str"/>
      <x:c r="L25" s="30" t="str"/>
      <x:c r="M25" s="15" t="str">
        <x:v>船体伤害（HP）：0；帆具伤害（点）：0；船员失能基值（人）：0；士气（点）：0</x:v>
      </x:c>
      <x:c r="N25" s="30" t="n">
        <x:v>0</x:v>
      </x:c>
      <x:c r="O25" s="30" t="str"/>
      <x:c r="P25" s="15" t="str"/>
      <x:c r="Q25" s="30" t="n">
        <x:v>0</x:v>
      </x:c>
      <x:c r="R25" s="30" t="str"/>
      <x:c r="S25" s="30" t="n">
        <x:v>0</x:v>
      </x:c>
      <x:c r="T25" s="15" t="str">
        <x:v>连断索具，使目标无法继续追击或逃离。</x:v>
      </x:c>
      <x:c r="U25" s="15" t="str">
        <x:v>射程短、对厚船体伤害低；不宜打满血船骨。</x:v>
      </x:c>
      <x:c r="V25" s="15" t="str">
        <x:v>射程倍率：0.62；装填时间倍率：1.1；船体伤害倍率：0.2；帆具伤害倍率：2.8；船员伤害倍率：0.5；士气伤害倍率：1.0</x:v>
      </x:c>
      <x:c r="W25" s="15" t="str"/>
      <x:c r="X25" s="15" t="str">
        <x:v>原创游戏装备与初值；文化造型取材不等于历史复原。</x:v>
      </x:c>
      <x:c r="Y25" s="15" t="str">
        <x:v>FC20</x:v>
      </x:c>
      <x:c r="Z25" s="15" t="str">
        <x:v>按 10 发包计价；special_effect 中 multiplier 乘兼容发射器基值，add 为附加。</x:v>
      </x:c>
      <x:c r="AA25" s="15" t="str"/>
      <x:c r="AB25" s="15" t="str">
        <x:v>10 发包，可拆分并合并库存。</x:v>
      </x:c>
      <x:c r="AC25" s="15" t="str">
        <x:v>银币</x:v>
      </x:c>
      <x:c r="AD25" s="30" t="n">
        <x:v>10</x:v>
      </x:c>
      <x:c r="AE25" s="15" t="str"/>
    </x:row>
    <x:row r="26" ht="57" customHeight="1">
      <x:c r="A26" s="13" t="str">
        <x:v>W021</x:v>
      </x:c>
      <x:c r="B26" s="13" t="str">
        <x:v>杆弹</x:v>
      </x:c>
      <x:c r="C26" s="13" t="str">
        <x:v>弹种</x:v>
      </x:c>
      <x:c r="D26" s="13" t="str">
        <x:v>舰炮弹</x:v>
      </x:c>
      <x:c r="E26" s="13" t="str">
        <x:v>西欧</x:v>
      </x:c>
      <x:c r="F26" s="13" t="str">
        <x:v>伦敦</x:v>
      </x:c>
      <x:c r="G26" s="27" t="n">
        <x:v>2</x:v>
      </x:c>
      <x:c r="H26" s="27" t="n">
        <x:v>2</x:v>
      </x:c>
      <x:c r="I26" s="27" t="n">
        <x:v>225</x:v>
      </x:c>
      <x:c r="J26" s="13" t="str">
        <x:v>10 发弹药包</x:v>
      </x:c>
      <x:c r="K26" s="27" t="str"/>
      <x:c r="L26" s="27" t="str"/>
      <x:c r="M26" s="13" t="str">
        <x:v>船体伤害（HP）：0；帆具伤害（点）：0；船员失能基值（人）：0；士气（点）：0</x:v>
      </x:c>
      <x:c r="N26" s="27" t="n">
        <x:v>0</x:v>
      </x:c>
      <x:c r="O26" s="27" t="str"/>
      <x:c r="P26" s="13" t="str"/>
      <x:c r="Q26" s="27" t="n">
        <x:v>0</x:v>
      </x:c>
      <x:c r="R26" s="27" t="str"/>
      <x:c r="S26" s="27" t="n">
        <x:v>0</x:v>
      </x:c>
      <x:c r="T26" s="13" t="str">
        <x:v>更稳定的拆帆弹，适合中距点选桅杆。</x:v>
      </x:c>
      <x:c r="U26" s="13" t="str">
        <x:v>范围与破帆爆发略逊链弹。</x:v>
      </x:c>
      <x:c r="V26" s="13" t="str">
        <x:v>射程倍率：0.72；装填时间倍率：1.05；船体伤害倍率：0.3；帆具伤害倍率：2.1；船员伤害倍率：0.6；士气伤害倍率：1.0；命中率增减（比例值；0.01＝1 个百分点）：0.05</x:v>
      </x:c>
      <x:c r="W26" s="13" t="str"/>
      <x:c r="X26" s="13" t="str">
        <x:v>原创游戏装备与初值；文化造型取材不等于历史复原。</x:v>
      </x:c>
      <x:c r="Y26" s="13" t="str">
        <x:v>FC20</x:v>
      </x:c>
      <x:c r="Z26" s="13" t="str">
        <x:v>按 10 发包计价；special_effect 中 multiplier 乘兼容发射器基值，add 为附加。</x:v>
      </x:c>
      <x:c r="AA26" s="13" t="str"/>
      <x:c r="AB26" s="13" t="str">
        <x:v>10 发包，可拆分并合并库存。</x:v>
      </x:c>
      <x:c r="AC26" s="13" t="str">
        <x:v>银币</x:v>
      </x:c>
      <x:c r="AD26" s="27" t="n">
        <x:v>10</x:v>
      </x:c>
      <x:c r="AE26" s="13" t="str"/>
    </x:row>
    <x:row r="27" ht="42" customHeight="1">
      <x:c r="A27" s="15" t="str">
        <x:v>W022</x:v>
      </x:c>
      <x:c r="B27" s="15" t="str">
        <x:v>霰弹葡萄包</x:v>
      </x:c>
      <x:c r="C27" s="15" t="str">
        <x:v>弹种</x:v>
      </x:c>
      <x:c r="D27" s="15" t="str">
        <x:v>舰炮弹</x:v>
      </x:c>
      <x:c r="E27" s="15" t="str">
        <x:v>通用军港</x:v>
      </x:c>
      <x:c r="F27" s="15" t="str">
        <x:v>热那亚</x:v>
      </x:c>
      <x:c r="G27" s="30" t="n">
        <x:v>1</x:v>
      </x:c>
      <x:c r="H27" s="30" t="n">
        <x:v>1</x:v>
      </x:c>
      <x:c r="I27" s="30" t="n">
        <x:v>180</x:v>
      </x:c>
      <x:c r="J27" s="15" t="str">
        <x:v>10 发弹药包</x:v>
      </x:c>
      <x:c r="K27" s="30" t="str"/>
      <x:c r="L27" s="30" t="str"/>
      <x:c r="M27" s="15" t="str">
        <x:v>船体伤害（HP）：0；帆具伤害（点）：0；船员失能基值（人）：0；士气（点）：0</x:v>
      </x:c>
      <x:c r="N27" s="30" t="n">
        <x:v>0</x:v>
      </x:c>
      <x:c r="O27" s="30" t="str"/>
      <x:c r="P27" s="15" t="str"/>
      <x:c r="Q27" s="30" t="n">
        <x:v>0</x:v>
      </x:c>
      <x:c r="R27" s="30" t="str"/>
      <x:c r="S27" s="30" t="n">
        <x:v>0</x:v>
      </x:c>
      <x:c r="T27" s="15" t="str">
        <x:v>压制裸露甲板，为招降或登舷开路。</x:v>
      </x:c>
      <x:c r="U27" s="15" t="str">
        <x:v>接近要求高，对船体几乎无效。</x:v>
      </x:c>
      <x:c r="V27" s="15" t="str">
        <x:v>射程倍率：0.32；装填时间倍率：0.95；船体伤害倍率：0.08；帆具伤害倍率：0.25；船员伤害倍率：3.0；士气伤害倍率：1.7</x:v>
      </x:c>
      <x:c r="W27" s="15" t="str"/>
      <x:c r="X27" s="15" t="str">
        <x:v>原创游戏装备与初值；文化造型取材不等于历史复原。</x:v>
      </x:c>
      <x:c r="Y27" s="15" t="str">
        <x:v>FC00</x:v>
      </x:c>
      <x:c r="Z27" s="15" t="str">
        <x:v>按 10 发包计价；special_effect 中 multiplier 乘兼容发射器基值，add 为附加。</x:v>
      </x:c>
      <x:c r="AA27" s="15" t="str"/>
      <x:c r="AB27" s="15" t="str">
        <x:v>10 发包，可拆分并合并库存。</x:v>
      </x:c>
      <x:c r="AC27" s="15" t="str">
        <x:v>银币</x:v>
      </x:c>
      <x:c r="AD27" s="30" t="n">
        <x:v>10</x:v>
      </x:c>
      <x:c r="AE27" s="15" t="str"/>
    </x:row>
    <x:row r="28" ht="42" customHeight="1">
      <x:c r="A28" s="13" t="str">
        <x:v>W023</x:v>
      </x:c>
      <x:c r="B28" s="13" t="str">
        <x:v>铁罐霰弹</x:v>
      </x:c>
      <x:c r="C28" s="13" t="str">
        <x:v>弹种</x:v>
      </x:c>
      <x:c r="D28" s="13" t="str">
        <x:v>舰炮弹</x:v>
      </x:c>
      <x:c r="E28" s="13" t="str">
        <x:v>近距军港</x:v>
      </x:c>
      <x:c r="F28" s="13" t="str">
        <x:v>罗亚尔港</x:v>
      </x:c>
      <x:c r="G28" s="27" t="n">
        <x:v>3</x:v>
      </x:c>
      <x:c r="H28" s="27" t="n">
        <x:v>3</x:v>
      </x:c>
      <x:c r="I28" s="27" t="n">
        <x:v>165</x:v>
      </x:c>
      <x:c r="J28" s="13" t="str">
        <x:v>10 发弹药包</x:v>
      </x:c>
      <x:c r="K28" s="27" t="str"/>
      <x:c r="L28" s="27" t="str"/>
      <x:c r="M28" s="13" t="str">
        <x:v>船体伤害（HP）：0；帆具伤害（点）：0；船员失能基值（人）：0；士气（点）：0</x:v>
      </x:c>
      <x:c r="N28" s="27" t="n">
        <x:v>0</x:v>
      </x:c>
      <x:c r="O28" s="27" t="str"/>
      <x:c r="P28" s="13" t="str"/>
      <x:c r="Q28" s="27" t="n">
        <x:v>0</x:v>
      </x:c>
      <x:c r="R28" s="27" t="str"/>
      <x:c r="S28" s="27" t="n">
        <x:v>0</x:v>
      </x:c>
      <x:c r="T28" s="13" t="str">
        <x:v>更短距的扇形甲板压制，对已经接舷的敌队有效。</x:v>
      </x:c>
      <x:c r="U28" s="13" t="str">
        <x:v>距离不合适会完全浪费这一轮装填。</x:v>
      </x:c>
      <x:c r="V28" s="13" t="str">
        <x:v>射程倍率：0.24；装填时间倍率：0.9；船体伤害倍率：0.05；帆具伤害倍率：0.2；船员伤害倍率：3.6；士气伤害倍率：2.0</x:v>
      </x:c>
      <x:c r="W28" s="13" t="str"/>
      <x:c r="X28" s="13" t="str">
        <x:v>原创游戏装备与初值；文化造型取材不等于历史复原。</x:v>
      </x:c>
      <x:c r="Y28" s="13" t="str">
        <x:v>FC00</x:v>
      </x:c>
      <x:c r="Z28" s="13" t="str">
        <x:v>按 10 发包计价；special_effect 中 multiplier 乘兼容发射器基值，add 为附加。</x:v>
      </x:c>
      <x:c r="AA28" s="13" t="str"/>
      <x:c r="AB28" s="13" t="str">
        <x:v>10 发包，可拆分并合并库存。</x:v>
      </x:c>
      <x:c r="AC28" s="13" t="str">
        <x:v>银币</x:v>
      </x:c>
      <x:c r="AD28" s="27" t="n">
        <x:v>10</x:v>
      </x:c>
      <x:c r="AE28" s="13" t="str"/>
    </x:row>
    <x:row r="29" ht="57" customHeight="1">
      <x:c r="A29" s="15" t="str">
        <x:v>W024</x:v>
      </x:c>
      <x:c r="B29" s="15" t="str">
        <x:v>双装实心弹</x:v>
      </x:c>
      <x:c r="C29" s="15" t="str">
        <x:v>弹种</x:v>
      </x:c>
      <x:c r="D29" s="15" t="str">
        <x:v>舰炮装药方案</x:v>
      </x:c>
      <x:c r="E29" s="15" t="str">
        <x:v>西欧重炮港</x:v>
      </x:c>
      <x:c r="F29" s="15" t="str">
        <x:v>布雷斯特</x:v>
      </x:c>
      <x:c r="G29" s="30" t="n">
        <x:v>4</x:v>
      </x:c>
      <x:c r="H29" s="30" t="n">
        <x:v>4</x:v>
      </x:c>
      <x:c r="I29" s="30" t="n">
        <x:v>330</x:v>
      </x:c>
      <x:c r="J29" s="15" t="str">
        <x:v>10 发弹药包</x:v>
      </x:c>
      <x:c r="K29" s="30" t="str"/>
      <x:c r="L29" s="30" t="str"/>
      <x:c r="M29" s="15" t="str">
        <x:v>船体伤害（HP）：0；帆具伤害（点）：0；船员失能基值（人）：0；士气（点）：0</x:v>
      </x:c>
      <x:c r="N29" s="30" t="n">
        <x:v>0</x:v>
      </x:c>
      <x:c r="O29" s="30" t="str"/>
      <x:c r="P29" s="15" t="str"/>
      <x:c r="Q29" s="30" t="n">
        <x:v>0</x:v>
      </x:c>
      <x:c r="R29" s="30" t="str"/>
      <x:c r="S29" s="30" t="n">
        <x:v>0</x:v>
      </x:c>
      <x:c r="T29" s="15" t="str">
        <x:v>极近距离打出船体破口，换取快速结束对峙。</x:v>
      </x:c>
      <x:c r="U29" s="15" t="str">
        <x:v>装填慢并造成少量炮架损伤；只供兼容重炮。</x:v>
      </x:c>
      <x:c r="V29" s="15" t="str">
        <x:v>射程倍率：0.42；装填时间倍率：1.45；船体伤害倍率：1.65；帆具伤害倍率：1.2；船员伤害倍率：1.2；士气伤害倍率：1.6；后坐造成甲板伤害（HP）：3</x:v>
      </x:c>
      <x:c r="W29" s="15" t="str"/>
      <x:c r="X29" s="15" t="str">
        <x:v>原创游戏装备与初值；文化造型取材不等于历史复原。</x:v>
      </x:c>
      <x:c r="Y29" s="15" t="str">
        <x:v>FC00</x:v>
      </x:c>
      <x:c r="Z29" s="15" t="str">
        <x:v>按 10 发包计价；special_effect 中 multiplier 乘兼容发射器基值，add 为附加。</x:v>
      </x:c>
      <x:c r="AA29" s="15" t="str"/>
      <x:c r="AB29" s="15" t="str">
        <x:v>10 发包，可拆分并合并库存。</x:v>
      </x:c>
      <x:c r="AC29" s="15" t="str">
        <x:v>银币</x:v>
      </x:c>
      <x:c r="AD29" s="30" t="n">
        <x:v>10</x:v>
      </x:c>
      <x:c r="AE29" s="15" t="str"/>
    </x:row>
    <x:row r="30" ht="57" customHeight="1">
      <x:c r="A30" s="13" t="str">
        <x:v>W025</x:v>
      </x:c>
      <x:c r="B30" s="13" t="str">
        <x:v>石质碎击弹</x:v>
      </x:c>
      <x:c r="C30" s="13" t="str">
        <x:v>弹种</x:v>
      </x:c>
      <x:c r="D30" s="13" t="str">
        <x:v>舰炮弹</x:v>
      </x:c>
      <x:c r="E30" s="13" t="str">
        <x:v>地中海</x:v>
      </x:c>
      <x:c r="F30" s="13" t="str">
        <x:v>君士坦丁堡</x:v>
      </x:c>
      <x:c r="G30" s="27" t="n">
        <x:v>1</x:v>
      </x:c>
      <x:c r="H30" s="27" t="n">
        <x:v>1</x:v>
      </x:c>
      <x:c r="I30" s="27" t="n">
        <x:v>85</x:v>
      </x:c>
      <x:c r="J30" s="13" t="str">
        <x:v>10 发弹药包</x:v>
      </x:c>
      <x:c r="K30" s="27" t="str"/>
      <x:c r="L30" s="27" t="str"/>
      <x:c r="M30" s="13" t="str">
        <x:v>船体伤害（HP）：0；帆具伤害（点）：0；船员失能基值（人）：0；士气（点）：0</x:v>
      </x:c>
      <x:c r="N30" s="27" t="n">
        <x:v>0</x:v>
      </x:c>
      <x:c r="O30" s="27" t="str"/>
      <x:c r="P30" s="13" t="str"/>
      <x:c r="Q30" s="27" t="n">
        <x:v>0</x:v>
      </x:c>
      <x:c r="R30" s="27" t="str"/>
      <x:c r="S30" s="27" t="n">
        <x:v>0</x:v>
      </x:c>
      <x:c r="T30" s="13" t="str">
        <x:v>廉价压制岸边轻艇和低护甲船，便于地方海军补充。</x:v>
      </x:c>
      <x:c r="U30" s="13" t="str">
        <x:v>面对高护甲时缺乏穿透。</x:v>
      </x:c>
      <x:c r="V30" s="13" t="str">
        <x:v>射程倍率：0.72；装填时间倍率：1.0；船体伤害倍率：0.55；帆具伤害倍率：0.6；船员伤害倍率：1.5；士气伤害倍率：1.2；穿甲值增减（点）：-5</x:v>
      </x:c>
      <x:c r="W30" s="13" t="str"/>
      <x:c r="X30" s="13" t="str">
        <x:v>原创游戏装备与初值；文化造型取材不等于历史复原。</x:v>
      </x:c>
      <x:c r="Y30" s="13" t="str">
        <x:v>FC00</x:v>
      </x:c>
      <x:c r="Z30" s="13" t="str">
        <x:v>按 10 发包计价；special_effect 中 multiplier 乘兼容发射器基值，add 为附加。</x:v>
      </x:c>
      <x:c r="AA30" s="13" t="str"/>
      <x:c r="AB30" s="13" t="str">
        <x:v>10 发包，可拆分并合并库存。</x:v>
      </x:c>
      <x:c r="AC30" s="13" t="str">
        <x:v>银币</x:v>
      </x:c>
      <x:c r="AD30" s="27" t="n">
        <x:v>10</x:v>
      </x:c>
      <x:c r="AE30" s="13" t="str"/>
    </x:row>
    <x:row r="31" ht="57" customHeight="1">
      <x:c r="A31" s="15" t="str">
        <x:v>W026</x:v>
      </x:c>
      <x:c r="B31" s="15" t="str">
        <x:v>烟幕罐弹</x:v>
      </x:c>
      <x:c r="C31" s="15" t="str">
        <x:v>弹种</x:v>
      </x:c>
      <x:c r="D31" s="15" t="str">
        <x:v>战术弹</x:v>
      </x:c>
      <x:c r="E31" s="15" t="str">
        <x:v>跨文化工坊</x:v>
      </x:c>
      <x:c r="F31" s="15" t="str">
        <x:v>霍尔木兹</x:v>
      </x:c>
      <x:c r="G31" s="30" t="n">
        <x:v>3</x:v>
      </x:c>
      <x:c r="H31" s="30" t="n">
        <x:v>3</x:v>
      </x:c>
      <x:c r="I31" s="30" t="n">
        <x:v>390</x:v>
      </x:c>
      <x:c r="J31" s="15" t="str">
        <x:v>10 发弹药包</x:v>
      </x:c>
      <x:c r="K31" s="30" t="str"/>
      <x:c r="L31" s="30" t="str"/>
      <x:c r="M31" s="15" t="str">
        <x:v>船体伤害（HP）：0；帆具伤害（点）：0；船员失能基值（人）：0；士气（点）：0</x:v>
      </x:c>
      <x:c r="N31" s="30" t="n">
        <x:v>0</x:v>
      </x:c>
      <x:c r="O31" s="30" t="str"/>
      <x:c r="P31" s="15" t="str"/>
      <x:c r="Q31" s="30" t="n">
        <x:v>0</x:v>
      </x:c>
      <x:c r="R31" s="30" t="str"/>
      <x:c r="S31" s="30" t="n">
        <x:v>0</x:v>
      </x:c>
      <x:c r="T31" s="15" t="str">
        <x:v>遮蔽退路、截断远距瞄准，也能掩护救援。</x:v>
      </x:c>
      <x:c r="U31" s="15" t="str">
        <x:v>敌我视线一同受阻；顺风会把烟吹回己方。</x:v>
      </x:c>
      <x:c r="V31" s="15" t="str">
        <x:v>射程倍率：0.55；装填时间倍率：1.1；船体伤害倍率：0；帆具伤害倍率：0；船员伤害倍率：0；士气伤害倍率：0；烟幕半径（米）：110；烟幕持续时间（秒）：24</x:v>
      </x:c>
      <x:c r="W31" s="15" t="str"/>
      <x:c r="X31" s="15" t="str">
        <x:v>原创游戏装备与初值；文化造型取材不等于历史复原。</x:v>
      </x:c>
      <x:c r="Y31" s="15" t="str">
        <x:v>FC00</x:v>
      </x:c>
      <x:c r="Z31" s="15" t="str">
        <x:v>按 10 发包计价；special_effect 中 multiplier 乘兼容发射器基值，add 为附加。</x:v>
      </x:c>
      <x:c r="AA31" s="15" t="str"/>
      <x:c r="AB31" s="15" t="str">
        <x:v>10 发包，可拆分并合并库存。</x:v>
      </x:c>
      <x:c r="AC31" s="15" t="str">
        <x:v>银币</x:v>
      </x:c>
      <x:c r="AD31" s="30" t="n">
        <x:v>10</x:v>
      </x:c>
      <x:c r="AE31" s="15" t="str"/>
    </x:row>
    <x:row r="32" ht="57" customHeight="1">
      <x:c r="A32" s="13" t="str">
        <x:v>W027</x:v>
      </x:c>
      <x:c r="B32" s="13" t="str">
        <x:v>警告空包</x:v>
      </x:c>
      <x:c r="C32" s="13" t="str">
        <x:v>弹种</x:v>
      </x:c>
      <x:c r="D32" s="13" t="str">
        <x:v>战术弹</x:v>
      </x:c>
      <x:c r="E32" s="13" t="str">
        <x:v>通用军港</x:v>
      </x:c>
      <x:c r="F32" s="13" t="str">
        <x:v>马赛</x:v>
      </x:c>
      <x:c r="G32" s="27" t="n">
        <x:v>0</x:v>
      </x:c>
      <x:c r="H32" s="27" t="n">
        <x:v>0</x:v>
      </x:c>
      <x:c r="I32" s="27" t="n">
        <x:v>30</x:v>
      </x:c>
      <x:c r="J32" s="13" t="str">
        <x:v>10 发弹药包</x:v>
      </x:c>
      <x:c r="K32" s="27" t="str"/>
      <x:c r="L32" s="27" t="str"/>
      <x:c r="M32" s="13" t="str">
        <x:v>船体伤害（HP）：0；帆具伤害（点）：0；船员失能基值（人）：0；士气（点）：0</x:v>
      </x:c>
      <x:c r="N32" s="27" t="n">
        <x:v>0</x:v>
      </x:c>
      <x:c r="O32" s="27" t="str"/>
      <x:c r="P32" s="13" t="str"/>
      <x:c r="Q32" s="27" t="n">
        <x:v>0</x:v>
      </x:c>
      <x:c r="R32" s="27" t="str"/>
      <x:c r="S32" s="27" t="n">
        <x:v>0</x:v>
      </x:c>
      <x:c r="T32" s="13" t="str">
        <x:v>配合停船或出示私掠令提出警告，支撑不击沉取胜。</x:v>
      </x:c>
      <x:c r="U32" s="13" t="str">
        <x:v>无法伤船；也会暴露舰队位置。</x:v>
      </x:c>
      <x:c r="V32" s="13" t="str">
        <x:v>射程倍率：1.0；装填时间倍率：0.65；船体伤害倍率：0；帆具伤害倍率：0；船员伤害倍率：0；士气伤害倍率：0；最后通牒准备度增减（点）：5；揭示半径（米）：1800</x:v>
      </x:c>
      <x:c r="W32" s="13" t="str"/>
      <x:c r="X32" s="13" t="str">
        <x:v>原创游戏装备与初值；文化造型取材不等于历史复原。</x:v>
      </x:c>
      <x:c r="Y32" s="13" t="str">
        <x:v>FC00</x:v>
      </x:c>
      <x:c r="Z32" s="13" t="str">
        <x:v>按 10 发包计价；special_effect 中 multiplier 乘兼容发射器基值，add 为附加。</x:v>
      </x:c>
      <x:c r="AA32" s="13" t="str"/>
      <x:c r="AB32" s="13" t="str">
        <x:v>10 发包，可拆分并合并库存。</x:v>
      </x:c>
      <x:c r="AC32" s="13" t="str">
        <x:v>银币</x:v>
      </x:c>
      <x:c r="AD32" s="27" t="n">
        <x:v>10</x:v>
      </x:c>
      <x:c r="AE32" s="13" t="str"/>
    </x:row>
    <x:row r="33" ht="42" customHeight="1">
      <x:c r="A33" s="15" t="str">
        <x:v>W028</x:v>
      </x:c>
      <x:c r="B33" s="15" t="str">
        <x:v>长木矢束</x:v>
      </x:c>
      <x:c r="C33" s="15" t="str">
        <x:v>弹种</x:v>
      </x:c>
      <x:c r="D33" s="15" t="str">
        <x:v>舰炮专用弹</x:v>
      </x:c>
      <x:c r="E33" s="15" t="str">
        <x:v>朝鲜</x:v>
      </x:c>
      <x:c r="F33" s="15" t="str">
        <x:v>釜山</x:v>
      </x:c>
      <x:c r="G33" s="30" t="n">
        <x:v>3</x:v>
      </x:c>
      <x:c r="H33" s="30" t="n">
        <x:v>3</x:v>
      </x:c>
      <x:c r="I33" s="30" t="n">
        <x:v>235</x:v>
      </x:c>
      <x:c r="J33" s="15" t="str">
        <x:v>10 发弹药包</x:v>
      </x:c>
      <x:c r="K33" s="30" t="str"/>
      <x:c r="L33" s="30" t="str"/>
      <x:c r="M33" s="15" t="str">
        <x:v>船体伤害（HP）：0；帆具伤害（点）：0；船员失能基值（人）：0；士气（点）：0</x:v>
      </x:c>
      <x:c r="N33" s="30" t="n">
        <x:v>0</x:v>
      </x:c>
      <x:c r="O33" s="30" t="str"/>
      <x:c r="P33" s="15" t="str"/>
      <x:c r="Q33" s="30" t="n">
        <x:v>0</x:v>
      </x:c>
      <x:c r="R33" s="30" t="str"/>
      <x:c r="S33" s="30" t="n">
        <x:v>0</x:v>
      </x:c>
      <x:c r="T33" s="15" t="str">
        <x:v>供天字铜炮发射的游戏化重矢，兼顾甲板和索具。</x:v>
      </x:c>
      <x:c r="U33" s="15" t="str">
        <x:v>只能配指定炮，不能通装所有炮口。</x:v>
      </x:c>
      <x:c r="V33" s="15" t="str">
        <x:v>射程倍率：0.65；装填时间倍率：1.1；船体伤害倍率：0.25；帆具伤害倍率：2.0；船员伤害倍率：1.1；士气伤害倍率：1.3</x:v>
      </x:c>
      <x:c r="W33" s="15" t="str"/>
      <x:c r="X33" s="15" t="str">
        <x:v>原创游戏装备与初值；文化造型取材不等于历史复原。</x:v>
      </x:c>
      <x:c r="Y33" s="15" t="str">
        <x:v>FC23</x:v>
      </x:c>
      <x:c r="Z33" s="15" t="str">
        <x:v>按 10 发包计价；special_effect 中 multiplier 乘兼容发射器基值，add 为附加。</x:v>
      </x:c>
      <x:c r="AA33" s="15" t="str"/>
      <x:c r="AB33" s="15" t="str">
        <x:v>10 发包，可拆分并合并库存。</x:v>
      </x:c>
      <x:c r="AC33" s="15" t="str">
        <x:v>银币</x:v>
      </x:c>
      <x:c r="AD33" s="30" t="n">
        <x:v>10</x:v>
      </x:c>
      <x:c r="AE33" s="15" t="str"/>
    </x:row>
    <x:row r="34" ht="57" customHeight="1">
      <x:c r="A34" s="13" t="str">
        <x:v>W029</x:v>
      </x:c>
      <x:c r="B34" s="13" t="str">
        <x:v>炽火陶罐</x:v>
      </x:c>
      <x:c r="C34" s="13" t="str">
        <x:v>弹种</x:v>
      </x:c>
      <x:c r="D34" s="13" t="str">
        <x:v>甲板投射弹</x:v>
      </x:c>
      <x:c r="E34" s="13" t="str">
        <x:v>地中海—东亚工坊</x:v>
      </x:c>
      <x:c r="F34" s="13" t="str">
        <x:v>亚历山大</x:v>
      </x:c>
      <x:c r="G34" s="27" t="n">
        <x:v>3</x:v>
      </x:c>
      <x:c r="H34" s="27" t="n">
        <x:v>3</x:v>
      </x:c>
      <x:c r="I34" s="27" t="n">
        <x:v>520</x:v>
      </x:c>
      <x:c r="J34" s="13" t="str">
        <x:v>10 发弹药包</x:v>
      </x:c>
      <x:c r="K34" s="27" t="str"/>
      <x:c r="L34" s="27" t="str"/>
      <x:c r="M34" s="13" t="str">
        <x:v>船体伤害（HP）：0；帆具伤害（点）：0；船员失能基值（人）：0；士气（点）：0</x:v>
      </x:c>
      <x:c r="N34" s="27" t="n">
        <x:v>0</x:v>
      </x:c>
      <x:c r="O34" s="27" t="str"/>
      <x:c r="P34" s="13" t="str"/>
      <x:c r="Q34" s="27" t="n">
        <x:v>0</x:v>
      </x:c>
      <x:c r="R34" s="27" t="str"/>
      <x:c r="S34" s="27" t="n">
        <x:v>0</x:v>
      </x:c>
      <x:c r="T34" s="13" t="str">
        <x:v>制造可见起火点，迫使敌船从炮位抽人灭火。</x:v>
      </x:c>
      <x:c r="U34" s="13" t="str">
        <x:v>雨天点燃率乘 0.4；近距双方缠在一起时也妨碍自己。</x:v>
      </x:c>
      <x:c r="V34" s="13" t="str">
        <x:v>射程倍率：0.5；装填时间倍率：1.25；船体伤害倍率：0.2；帆具伤害倍率：0.65；船员伤害倍率：0.3；士气伤害倍率：1.4；起火概率（比例值）：0.65；火势增减（点）：18</x:v>
      </x:c>
      <x:c r="W34" s="13" t="str"/>
      <x:c r="X34" s="13" t="str">
        <x:v>原创游戏装备与初值；文化造型取材不等于历史复原。</x:v>
      </x:c>
      <x:c r="Y34" s="13" t="str">
        <x:v>FC00</x:v>
      </x:c>
      <x:c r="Z34" s="13" t="str">
        <x:v>按 10 发包计价；special_effect 中 multiplier 乘兼容发射器基值，add 为附加。</x:v>
      </x:c>
      <x:c r="AA34" s="13" t="str"/>
      <x:c r="AB34" s="13" t="str">
        <x:v>10 发包，可拆分并合并库存。</x:v>
      </x:c>
      <x:c r="AC34" s="13" t="str">
        <x:v>银币</x:v>
      </x:c>
      <x:c r="AD34" s="27" t="n">
        <x:v>10</x:v>
      </x:c>
      <x:c r="AE34" s="13" t="str"/>
    </x:row>
    <x:row r="35" ht="57" customHeight="1">
      <x:c r="A35" s="15" t="str">
        <x:v>W030</x:v>
      </x:c>
      <x:c r="B35" s="15" t="str">
        <x:v>臼炮榴弹</x:v>
      </x:c>
      <x:c r="C35" s="15" t="str">
        <x:v>弹种</x:v>
      </x:c>
      <x:c r="D35" s="15" t="str">
        <x:v>臼炮专用弹</x:v>
      </x:c>
      <x:c r="E35" s="15" t="str">
        <x:v>后期炮术工坊</x:v>
      </x:c>
      <x:c r="F35" s="15" t="str">
        <x:v>瓦莱塔</x:v>
      </x:c>
      <x:c r="G35" s="30" t="n">
        <x:v>5</x:v>
      </x:c>
      <x:c r="H35" s="30" t="n">
        <x:v>4</x:v>
      </x:c>
      <x:c r="I35" s="30" t="n">
        <x:v>980</x:v>
      </x:c>
      <x:c r="J35" s="15" t="str">
        <x:v>10 发弹药包</x:v>
      </x:c>
      <x:c r="K35" s="30" t="str"/>
      <x:c r="L35" s="30" t="str"/>
      <x:c r="M35" s="15" t="str">
        <x:v>船体伤害（HP）：0；帆具伤害（点）：0；船员失能基值（人）：0；士气（点）：0</x:v>
      </x:c>
      <x:c r="N35" s="30" t="n">
        <x:v>0</x:v>
      </x:c>
      <x:c r="O35" s="30" t="str"/>
      <x:c r="P35" s="15" t="str"/>
      <x:c r="Q35" s="30" t="n">
        <x:v>0</x:v>
      </x:c>
      <x:c r="R35" s="30" t="str"/>
      <x:c r="S35" s="30" t="n">
        <x:v>0</x:v>
      </x:c>
      <x:c r="T35" s="15" t="str">
        <x:v>专打岸炮和固定目标，爆点可从俯瞰地图清楚观察。</x:v>
      </x:c>
      <x:c r="U35" s="15" t="str">
        <x:v>臼炮专用；对快速转向船命中率低。</x:v>
      </x:c>
      <x:c r="V35" s="15" t="str">
        <x:v>射程倍率：1.0；装填时间倍率：1.0；船体伤害倍率：1.0；帆具伤害倍率：1.2；船员伤害倍率：1.2；士气伤害倍率：1.6；作用区域半径（米）：28</x:v>
      </x:c>
      <x:c r="W35" s="15" t="str"/>
      <x:c r="X35" s="15" t="str">
        <x:v>原创游戏装备与初值；文化造型取材不等于历史复原。</x:v>
      </x:c>
      <x:c r="Y35" s="15" t="str">
        <x:v>FC00</x:v>
      </x:c>
      <x:c r="Z35" s="15" t="str">
        <x:v>按 10 发包计价；special_effect 中 multiplier 乘兼容发射器基值，add 为附加。</x:v>
      </x:c>
      <x:c r="AA35" s="15" t="str"/>
      <x:c r="AB35" s="15" t="str">
        <x:v>10 发包，可拆分并合并库存。</x:v>
      </x:c>
      <x:c r="AC35" s="15" t="str">
        <x:v>银币</x:v>
      </x:c>
      <x:c r="AD35" s="30" t="n">
        <x:v>10</x:v>
      </x:c>
      <x:c r="AE35" s="15" t="str"/>
    </x:row>
    <x:row r="36" ht="57" customHeight="1">
      <x:c r="A36" s="13" t="str">
        <x:v>W031</x:v>
      </x:c>
      <x:c r="B36" s="13" t="str">
        <x:v>索网切断弹</x:v>
      </x:c>
      <x:c r="C36" s="13" t="str">
        <x:v>弹种</x:v>
      </x:c>
      <x:c r="D36" s="13" t="str">
        <x:v>战术弹</x:v>
      </x:c>
      <x:c r="E36" s="13" t="str">
        <x:v>低地私掠工坊</x:v>
      </x:c>
      <x:c r="F36" s="13" t="str">
        <x:v>阿姆斯特丹</x:v>
      </x:c>
      <x:c r="G36" s="27" t="n">
        <x:v>3</x:v>
      </x:c>
      <x:c r="H36" s="27" t="n">
        <x:v>3</x:v>
      </x:c>
      <x:c r="I36" s="27" t="n">
        <x:v>350</x:v>
      </x:c>
      <x:c r="J36" s="13" t="str">
        <x:v>10 发弹药包</x:v>
      </x:c>
      <x:c r="K36" s="27" t="str"/>
      <x:c r="L36" s="27" t="str"/>
      <x:c r="M36" s="13" t="str">
        <x:v>船体伤害（HP）：0；帆具伤害（点）：0；船员失能基值（人）：0；士气（点）：0</x:v>
      </x:c>
      <x:c r="N36" s="27" t="n">
        <x:v>0</x:v>
      </x:c>
      <x:c r="O36" s="27" t="str"/>
      <x:c r="P36" s="13" t="str"/>
      <x:c r="Q36" s="27" t="n">
        <x:v>0</x:v>
      </x:c>
      <x:c r="R36" s="27" t="str"/>
      <x:c r="S36" s="27" t="n">
        <x:v>0</x:v>
      </x:c>
      <x:c r="T36" s="13" t="str">
        <x:v>切断敌船之间的登舷绳或拖缆，让被捕友船逃脱。</x:v>
      </x:c>
      <x:c r="U36" s="13" t="str">
        <x:v>船体伤害低，需要明确选中绳索目标。</x:v>
      </x:c>
      <x:c r="V36" s="13" t="str">
        <x:v>射程倍率：0.65；装填时间倍率：1.05；船体伤害倍率：0.12；帆具伤害倍率：1.6；船员伤害倍率：0.2；士气伤害倍率：0.8；登船索断裂概率（比例值）：0.8</x:v>
      </x:c>
      <x:c r="W36" s="13" t="str"/>
      <x:c r="X36" s="13" t="str">
        <x:v>原创游戏装备与初值；文化造型取材不等于历史复原。</x:v>
      </x:c>
      <x:c r="Y36" s="13" t="str">
        <x:v>FC00</x:v>
      </x:c>
      <x:c r="Z36" s="13" t="str">
        <x:v>按 10 发包计价；special_effect 中 multiplier 乘兼容发射器基值，add 为附加。</x:v>
      </x:c>
      <x:c r="AA36" s="13" t="str"/>
      <x:c r="AB36" s="13" t="str">
        <x:v>10 发包，可拆分并合并库存。</x:v>
      </x:c>
      <x:c r="AC36" s="13" t="str">
        <x:v>银币</x:v>
      </x:c>
      <x:c r="AD36" s="27" t="n">
        <x:v>10</x:v>
      </x:c>
      <x:c r="AE36" s="13" t="str"/>
    </x:row>
    <x:row r="37" ht="57" customHeight="1">
      <x:c r="A37" s="15" t="str">
        <x:v>W032</x:v>
      </x:c>
      <x:c r="B37" s="15" t="str">
        <x:v>星灯信号弹</x:v>
      </x:c>
      <x:c r="C37" s="15" t="str">
        <x:v>弹种</x:v>
      </x:c>
      <x:c r="D37" s="15" t="str">
        <x:v>信号弹</x:v>
      </x:c>
      <x:c r="E37" s="15" t="str">
        <x:v>太平洋交流工坊</x:v>
      </x:c>
      <x:c r="F37" s="15" t="str">
        <x:v>科乌港</x:v>
      </x:c>
      <x:c r="G37" s="30" t="n">
        <x:v>3</x:v>
      </x:c>
      <x:c r="H37" s="30" t="n">
        <x:v>1</x:v>
      </x:c>
      <x:c r="I37" s="30" t="n">
        <x:v>210</x:v>
      </x:c>
      <x:c r="J37" s="15" t="str">
        <x:v>10 发弹药包</x:v>
      </x:c>
      <x:c r="K37" s="30" t="str"/>
      <x:c r="L37" s="30" t="str"/>
      <x:c r="M37" s="15" t="str">
        <x:v>船体伤害（HP）：0；帆具伤害（点）：0；船员失能基值（人）：0；士气（点）：0</x:v>
      </x:c>
      <x:c r="N37" s="30" t="n">
        <x:v>0</x:v>
      </x:c>
      <x:c r="O37" s="30" t="str"/>
      <x:c r="P37" s="15" t="str"/>
      <x:c r="Q37" s="30" t="n">
        <x:v>0</x:v>
      </x:c>
      <x:c r="R37" s="30" t="str"/>
      <x:c r="S37" s="30" t="n">
        <x:v>0</x:v>
      </x:c>
      <x:c r="T37" s="15" t="str">
        <x:v>照亮雾夜中的救援点并给友船明确集合目标。</x:v>
      </x:c>
      <x:c r="U37" s="15" t="str">
        <x:v>会同时告诉敌人本舰位置。</x:v>
      </x:c>
      <x:c r="V37" s="15" t="str">
        <x:v>射程倍率：0.8；装填时间倍率：0.8；船体伤害倍率：0；帆具伤害倍率：0；船员伤害倍率：0；士气伤害倍率：0；揭示半径（米）：650；照明持续时间（秒）：25</x:v>
      </x:c>
      <x:c r="W37" s="15" t="str"/>
      <x:c r="X37" s="15" t="str">
        <x:v>原创游戏装备与初值；文化造型取材不等于历史复原。</x:v>
      </x:c>
      <x:c r="Y37" s="15" t="str">
        <x:v>FC00</x:v>
      </x:c>
      <x:c r="Z37" s="15" t="str">
        <x:v>按 10 发包计价；special_effect 中 multiplier 乘兼容发射器基值，add 为附加。</x:v>
      </x:c>
      <x:c r="AA37" s="15" t="str"/>
      <x:c r="AB37" s="15" t="str">
        <x:v>10 发包，可拆分并合并库存。</x:v>
      </x:c>
      <x:c r="AC37" s="15" t="str">
        <x:v>银币</x:v>
      </x:c>
      <x:c r="AD37" s="30" t="n">
        <x:v>10</x:v>
      </x:c>
      <x:c r="AE37" s="15" t="str"/>
    </x:row>
    <x:row r="38" ht="42" customHeight="1">
      <x:c r="A38" s="13" t="str">
        <x:v>W033</x:v>
      </x:c>
      <x:c r="B38" s="13" t="str">
        <x:v>步兵弹丸包</x:v>
      </x:c>
      <x:c r="C38" s="13" t="str">
        <x:v>弹种</x:v>
      </x:c>
      <x:c r="D38" s="13" t="str">
        <x:v>小火器弹药</x:v>
      </x:c>
      <x:c r="E38" s="13" t="str">
        <x:v>各地军械铺</x:v>
      </x:c>
      <x:c r="F38" s="13" t="str">
        <x:v>堺</x:v>
      </x:c>
      <x:c r="G38" s="27" t="n">
        <x:v>1</x:v>
      </x:c>
      <x:c r="H38" s="27" t="n">
        <x:v>1</x:v>
      </x:c>
      <x:c r="I38" s="27" t="n">
        <x:v>145</x:v>
      </x:c>
      <x:c r="J38" s="13" t="str">
        <x:v>10 发弹药包</x:v>
      </x:c>
      <x:c r="K38" s="27" t="str"/>
      <x:c r="L38" s="27" t="str"/>
      <x:c r="M38" s="13" t="str">
        <x:v>船体伤害（HP）：0；帆具伤害（点）：0；船员失能基值（人）：0；士气（点）：0</x:v>
      </x:c>
      <x:c r="N38" s="27" t="n">
        <x:v>0</x:v>
      </x:c>
      <x:c r="O38" s="27" t="str"/>
      <x:c r="P38" s="13" t="str"/>
      <x:c r="Q38" s="27" t="n">
        <x:v>0</x:v>
      </x:c>
      <x:c r="R38" s="27" t="str"/>
      <x:c r="S38" s="27" t="n">
        <x:v>0</x:v>
      </x:c>
      <x:c r="T38" s="13" t="str">
        <x:v>供甲板火绳枪、长枪与喇叭短枪组使用。</x:v>
      </x:c>
      <x:c r="U38" s="13" t="str">
        <x:v>不能作为舰炮弹使用；数量按组射击消耗。</x:v>
      </x:c>
      <x:c r="V38" s="13" t="str">
        <x:v>射程倍率：1；装填时间倍率：1；船体伤害倍率：1；帆具伤害倍率：1；船员伤害倍率：1；士气伤害倍率：1</x:v>
      </x:c>
      <x:c r="W38" s="13" t="str"/>
      <x:c r="X38" s="13" t="str">
        <x:v>原创游戏装备与初值；文化造型取材不等于历史复原。</x:v>
      </x:c>
      <x:c r="Y38" s="13" t="str">
        <x:v>FC00</x:v>
      </x:c>
      <x:c r="Z38" s="13" t="str">
        <x:v>按 10 发包计价；special_effect 中 multiplier 乘兼容发射器基值，add 为附加。</x:v>
      </x:c>
      <x:c r="AA38" s="13" t="str"/>
      <x:c r="AB38" s="13" t="str">
        <x:v>10 发包，可拆分并合并库存。</x:v>
      </x:c>
      <x:c r="AC38" s="13" t="str">
        <x:v>银币</x:v>
      </x:c>
      <x:c r="AD38" s="27" t="n">
        <x:v>10</x:v>
      </x:c>
      <x:c r="AE38" s="13" t="str"/>
    </x:row>
    <x:row r="39" ht="42" customHeight="1">
      <x:c r="A39" s="15" t="str">
        <x:v>W034</x:v>
      </x:c>
      <x:c r="B39" s="15" t="str">
        <x:v>甲板箭矢束</x:v>
      </x:c>
      <x:c r="C39" s="15" t="str">
        <x:v>弹种</x:v>
      </x:c>
      <x:c r="D39" s="15" t="str">
        <x:v>弓用弹药</x:v>
      </x:c>
      <x:c r="E39" s="15" t="str">
        <x:v>东亚—太平洋交流</x:v>
      </x:c>
      <x:c r="F39" s="15" t="str">
        <x:v>那霸</x:v>
      </x:c>
      <x:c r="G39" s="30" t="n">
        <x:v>0</x:v>
      </x:c>
      <x:c r="H39" s="30" t="n">
        <x:v>0</x:v>
      </x:c>
      <x:c r="I39" s="30" t="n">
        <x:v>70</x:v>
      </x:c>
      <x:c r="J39" s="15" t="str">
        <x:v>10 发弹药包</x:v>
      </x:c>
      <x:c r="K39" s="30" t="str"/>
      <x:c r="L39" s="30" t="str"/>
      <x:c r="M39" s="15" t="str">
        <x:v>船体伤害（HP）：0；帆具伤害（点）：0；船员失能基值（人）：0；士气（点）：0</x:v>
      </x:c>
      <x:c r="N39" s="30" t="n">
        <x:v>0</x:v>
      </x:c>
      <x:c r="O39" s="30" t="str"/>
      <x:c r="P39" s="15" t="str"/>
      <x:c r="Q39" s="30" t="n">
        <x:v>0</x:v>
      </x:c>
      <x:c r="R39" s="30" t="str"/>
      <x:c r="S39" s="30" t="n">
        <x:v>0</x:v>
      </x:c>
      <x:c r="T39" s="15" t="str">
        <x:v>供甲板弓队使用，轻船可在无火炮时提供支援。</x:v>
      </x:c>
      <x:c r="U39" s="15" t="str">
        <x:v>护甲敌人面前效果差；不能替代重炮。</x:v>
      </x:c>
      <x:c r="V39" s="15" t="str">
        <x:v>射程倍率：1；装填时间倍率：1；船体伤害倍率：1；帆具伤害倍率：1；船员伤害倍率：1；士气伤害倍率：1</x:v>
      </x:c>
      <x:c r="W39" s="15" t="str"/>
      <x:c r="X39" s="15" t="str">
        <x:v>原创游戏装备与初值；文化造型取材不等于历史复原。</x:v>
      </x:c>
      <x:c r="Y39" s="15" t="str">
        <x:v>FC00</x:v>
      </x:c>
      <x:c r="Z39" s="15" t="str">
        <x:v>按 10 发包计价；special_effect 中 multiplier 乘兼容发射器基值，add 为附加。</x:v>
      </x:c>
      <x:c r="AA39" s="15" t="str"/>
      <x:c r="AB39" s="15" t="str">
        <x:v>10 发包，可拆分并合并库存。</x:v>
      </x:c>
      <x:c r="AC39" s="15" t="str">
        <x:v>银币</x:v>
      </x:c>
      <x:c r="AD39" s="30" t="n">
        <x:v>10</x:v>
      </x:c>
      <x:c r="AE39" s="15" t="str"/>
    </x:row>
    <x:row r="40" ht="42" customHeight="1">
      <x:c r="A40" s="13" t="str">
        <x:v>W035</x:v>
      </x:c>
      <x:c r="B40" s="13" t="str">
        <x:v>包铜推撞艏</x:v>
      </x:c>
      <x:c r="C40" s="13" t="str">
        <x:v>船艏武器</x:v>
      </x:c>
      <x:c r="D40" s="13" t="str">
        <x:v>推撞器</x:v>
      </x:c>
      <x:c r="E40" s="13" t="str">
        <x:v>地中海—波罗的海</x:v>
      </x:c>
      <x:c r="F40" s="13" t="str">
        <x:v>威尼斯</x:v>
      </x:c>
      <x:c r="G40" s="27" t="n">
        <x:v>3</x:v>
      </x:c>
      <x:c r="H40" s="27" t="n">
        <x:v>3</x:v>
      </x:c>
      <x:c r="I40" s="27" t="n">
        <x:v>19000</x:v>
      </x:c>
      <x:c r="J40" s="13" t="str">
        <x:v>1 套</x:v>
      </x:c>
      <x:c r="K40" s="27" t="n">
        <x:v>0</x:v>
      </x:c>
      <x:c r="L40" s="27" t="n">
        <x:v>45</x:v>
      </x:c>
      <x:c r="M40" s="13" t="str">
        <x:v>船体伤害（HP）：140；帆具伤害（点）：0；船员失能基值（人）：0；士气（点）：12</x:v>
      </x:c>
      <x:c r="N40" s="27" t="n">
        <x:v>10</x:v>
      </x:c>
      <x:c r="O40" s="27" t="n">
        <x:v>100</x:v>
      </x:c>
      <x:c r="P40" s="13" t="str">
        <x:v>船艏</x:v>
      </x:c>
      <x:c r="Q40" s="27" t="n">
        <x:v>1</x:v>
      </x:c>
      <x:c r="R40" s="27" t="str"/>
      <x:c r="S40" s="27" t="n">
        <x:v>1.6</x:v>
      </x:c>
      <x:c r="T40" s="13" t="str">
        <x:v>斜撞敌船艏肩使其转向，打乱队形与登舷位置。</x:v>
      </x:c>
      <x:c r="U40" s="13" t="str">
        <x:v>需有相对航速；直撞大船自己也受损。</x:v>
      </x:c>
      <x:c r="V40" s="13" t="str">
        <x:v>最低相对速度（节）：4；使目标偏离航向（度）：25；自身船体伤害（HP）：25</x:v>
      </x:c>
      <x:c r="W40" s="13" t="str"/>
      <x:c r="X40" s="13" t="str">
        <x:v>原创游戏装备与初值；文化造型取材不等于历史复原。</x:v>
      </x:c>
      <x:c r="Y40" s="13" t="str">
        <x:v>FC00</x:v>
      </x:c>
      <x:c r="Z40" s="13" t="str">
        <x:v>游戏初值。射程为有效交战距离；装填为单炮/单组完整循环；绝非历史实测。</x:v>
      </x:c>
      <x:c r="AA40" s="13" t="str"/>
      <x:c r="AB40" s="13" t="str">
        <x:v>近战装备无弹药；绳、网与救援器的专用消耗按器械 charges 计。</x:v>
      </x:c>
      <x:c r="AC40" s="13" t="str">
        <x:v>银币</x:v>
      </x:c>
      <x:c r="AD40" s="27" t="str"/>
      <x:c r="AE40" s="13" t="str"/>
    </x:row>
    <x:row r="41" ht="42" customHeight="1">
      <x:c r="A41" s="15" t="str">
        <x:v>W036</x:v>
      </x:c>
      <x:c r="B41" s="15" t="str">
        <x:v>锁舷爪绞车</x:v>
      </x:c>
      <x:c r="C41" s="15" t="str">
        <x:v>船艏武器</x:v>
      </x:c>
      <x:c r="D41" s="15" t="str">
        <x:v>登舷器</x:v>
      </x:c>
      <x:c r="E41" s="15" t="str">
        <x:v>加勒比—地中海</x:v>
      </x:c>
      <x:c r="F41" s="15" t="str">
        <x:v>托尔图加</x:v>
      </x:c>
      <x:c r="G41" s="30" t="n">
        <x:v>2</x:v>
      </x:c>
      <x:c r="H41" s="30" t="n">
        <x:v>2</x:v>
      </x:c>
      <x:c r="I41" s="30" t="n">
        <x:v>8400</x:v>
      </x:c>
      <x:c r="J41" s="15" t="str">
        <x:v>1 套</x:v>
      </x:c>
      <x:c r="K41" s="30" t="n">
        <x:v>40</x:v>
      </x:c>
      <x:c r="L41" s="30" t="n">
        <x:v>16</x:v>
      </x:c>
      <x:c r="M41" s="15" t="str">
        <x:v>船体伤害（HP）：0；帆具伤害（点）：0；船员失能基值（人）：0；士气（点）：4</x:v>
      </x:c>
      <x:c r="N41" s="30" t="n">
        <x:v>0</x:v>
      </x:c>
      <x:c r="O41" s="30" t="n">
        <x:v>80</x:v>
      </x:c>
      <x:c r="P41" s="15" t="str">
        <x:v>船艏</x:v>
      </x:c>
      <x:c r="Q41" s="30" t="n">
        <x:v>1</x:v>
      </x:c>
      <x:c r="R41" s="30" t="str"/>
      <x:c r="S41" s="30" t="n">
        <x:v>0.4</x:v>
      </x:c>
      <x:c r="T41" s="15" t="str">
        <x:v>将已减速敌船拖成平行态，开始登舷或者逼其停船。</x:v>
      </x:c>
      <x:c r="U41" s="15" t="str">
        <x:v>对全速船命中低；绳索可被切断。</x:v>
      </x:c>
      <x:c r="V41" s="15" t="str">
        <x:v>施加的目标航速上限（节）：3；抓钩索耐久（HP）：80；要求目标航速低于（节）：5</x:v>
      </x:c>
      <x:c r="W41" s="15" t="str"/>
      <x:c r="X41" s="15" t="str">
        <x:v>原创游戏装备与初值；文化造型取材不等于历史复原。</x:v>
      </x:c>
      <x:c r="Y41" s="15" t="str">
        <x:v>FC00</x:v>
      </x:c>
      <x:c r="Z41" s="15" t="str">
        <x:v>游戏初值。射程为有效交战距离；装填为单炮/单组完整循环；绝非历史实测。</x:v>
      </x:c>
      <x:c r="AA41" s="15" t="str"/>
      <x:c r="AB41" s="15" t="str">
        <x:v>近战装备无弹药；绳、网与救援器的专用消耗按器械 charges 计。</x:v>
      </x:c>
      <x:c r="AC41" s="15" t="str">
        <x:v>银币</x:v>
      </x:c>
      <x:c r="AD41" s="30" t="str"/>
      <x:c r="AE41" s="15" t="str"/>
    </x:row>
    <x:row r="42" ht="42" customHeight="1">
      <x:c r="A42" s="13" t="str">
        <x:v>W037</x:v>
      </x:c>
      <x:c r="B42" s="13" t="str">
        <x:v>铜鲸索矛机</x:v>
      </x:c>
      <x:c r="C42" s="13" t="str">
        <x:v>船艏武器</x:v>
      </x:c>
      <x:c r="D42" s="13" t="str">
        <x:v>索具发射器</x:v>
      </x:c>
      <x:c r="E42" s="13" t="str">
        <x:v>北海—太平洋工匠</x:v>
      </x:c>
      <x:c r="F42" s="13" t="str">
        <x:v>卑尔根</x:v>
      </x:c>
      <x:c r="G42" s="27" t="n">
        <x:v>2</x:v>
      </x:c>
      <x:c r="H42" s="27" t="n">
        <x:v>1</x:v>
      </x:c>
      <x:c r="I42" s="27" t="n">
        <x:v>5600</x:v>
      </x:c>
      <x:c r="J42" s="13" t="str">
        <x:v>1 套</x:v>
      </x:c>
      <x:c r="K42" s="27" t="n">
        <x:v>120</x:v>
      </x:c>
      <x:c r="L42" s="27" t="n">
        <x:v>18</x:v>
      </x:c>
      <x:c r="M42" s="13" t="str">
        <x:v>船体伤害（HP）：4；帆具伤害（点）：0；船员失能基值（人）：0；士气（点）：1</x:v>
      </x:c>
      <x:c r="N42" s="27" t="n">
        <x:v>0</x:v>
      </x:c>
      <x:c r="O42" s="27" t="n">
        <x:v>70</x:v>
      </x:c>
      <x:c r="P42" s="13" t="str">
        <x:v>船艏</x:v>
      </x:c>
      <x:c r="Q42" s="27" t="n">
        <x:v>1</x:v>
      </x:c>
      <x:c r="R42" s="27" t="str"/>
      <x:c r="S42" s="27" t="n">
        <x:v>0.25</x:v>
      </x:c>
      <x:c r="T42" s="13" t="str">
        <x:v>钉住浮木、打捞箱或小舟，主要用于探索与救援。</x:v>
      </x:c>
      <x:c r="U42" s="13" t="str">
        <x:v>无法把重战舰拉动；战斗伤害低。</x:v>
      </x:c>
      <x:c r="V42" s="13" t="str">
        <x:v>打捞拖带货物上限（舱容单位）：35；连接拖索时间（秒）：4</x:v>
      </x:c>
      <x:c r="W42" s="13" t="str"/>
      <x:c r="X42" s="13" t="str">
        <x:v>原创游戏装备与初值；文化造型取材不等于历史复原。</x:v>
      </x:c>
      <x:c r="Y42" s="13" t="str">
        <x:v>FC00</x:v>
      </x:c>
      <x:c r="Z42" s="13" t="str">
        <x:v>游戏初值。射程为有效交战距离；装填为单炮/单组完整循环；绝非历史实测。</x:v>
      </x:c>
      <x:c r="AA42" s="13" t="str"/>
      <x:c r="AB42" s="13" t="str">
        <x:v>近战装备无弹药；绳、网与救援器的专用消耗按器械 charges 计。</x:v>
      </x:c>
      <x:c r="AC42" s="13" t="str">
        <x:v>银币</x:v>
      </x:c>
      <x:c r="AD42" s="27" t="str"/>
      <x:c r="AE42" s="13" t="str"/>
    </x:row>
    <x:row r="43" ht="42" customHeight="1">
      <x:c r="A43" s="15" t="str">
        <x:v>W038</x:v>
      </x:c>
      <x:c r="B43" s="15" t="str">
        <x:v>救援绳箭发射架</x:v>
      </x:c>
      <x:c r="C43" s="15" t="str">
        <x:v>船艏武器</x:v>
      </x:c>
      <x:c r="D43" s="15" t="str">
        <x:v>救援器</x:v>
      </x:c>
      <x:c r="E43" s="15" t="str">
        <x:v>沿海船匠</x:v>
      </x:c>
      <x:c r="F43" s="15" t="str">
        <x:v>蒙巴萨</x:v>
      </x:c>
      <x:c r="G43" s="30" t="n">
        <x:v>2</x:v>
      </x:c>
      <x:c r="H43" s="30" t="n">
        <x:v>0</x:v>
      </x:c>
      <x:c r="I43" s="30" t="n">
        <x:v>4300</x:v>
      </x:c>
      <x:c r="J43" s="15" t="str">
        <x:v>1 套</x:v>
      </x:c>
      <x:c r="K43" s="30" t="n">
        <x:v>130</x:v>
      </x:c>
      <x:c r="L43" s="30" t="n">
        <x:v>12</x:v>
      </x:c>
      <x:c r="M43" s="15" t="str">
        <x:v>船体伤害（HP）：0；帆具伤害（点）：0；船员失能基值（人）：0；士气（点）：0</x:v>
      </x:c>
      <x:c r="N43" s="30" t="n">
        <x:v>0</x:v>
      </x:c>
      <x:c r="O43" s="30" t="n">
        <x:v>85</x:v>
      </x:c>
      <x:c r="P43" s="15" t="str">
        <x:v>船艏</x:v>
      </x:c>
      <x:c r="Q43" s="30" t="n">
        <x:v>1</x:v>
      </x:c>
      <x:c r="R43" s="30" t="str"/>
      <x:c r="S43" s="30" t="n">
        <x:v>0.15</x:v>
      </x:c>
      <x:c r="T43" s="15" t="str">
        <x:v>把绳端送到失速友船或落水者处，开始拖救。</x:v>
      </x:c>
      <x:c r="U43" s="15" t="str">
        <x:v>占用一个艏武器位；被敌炮命中会断缆。</x:v>
      </x:c>
      <x:c r="V43" s="15" t="str">
        <x:v>每轮可救援船员（人/轮）：8；拖索耐久（HP）：55</x:v>
      </x:c>
      <x:c r="W43" s="15" t="str"/>
      <x:c r="X43" s="15" t="str">
        <x:v>原创游戏装备与初值；文化造型取材不等于历史复原。</x:v>
      </x:c>
      <x:c r="Y43" s="15" t="str">
        <x:v>FC00</x:v>
      </x:c>
      <x:c r="Z43" s="15" t="str">
        <x:v>游戏初值。射程为有效交战距离；装填为单炮/单组完整循环；绝非历史实测。</x:v>
      </x:c>
      <x:c r="AA43" s="15" t="str"/>
      <x:c r="AB43" s="15" t="str">
        <x:v>近战装备无弹药；绳、网与救援器的专用消耗按器械 charges 计。</x:v>
      </x:c>
      <x:c r="AC43" s="15" t="str">
        <x:v>银币</x:v>
      </x:c>
      <x:c r="AD43" s="30" t="str"/>
      <x:c r="AE43" s="15" t="str"/>
    </x:row>
    <x:row r="44" ht="42" customHeight="1">
      <x:c r="A44" s="13" t="str">
        <x:v>W039</x:v>
      </x:c>
      <x:c r="B44" s="13" t="str">
        <x:v>海雾吐息匣</x:v>
      </x:c>
      <x:c r="C44" s="13" t="str">
        <x:v>船艏武器</x:v>
      </x:c>
      <x:c r="D44" s="13" t="str">
        <x:v>烟幕器</x:v>
      </x:c>
      <x:c r="E44" s="13" t="str">
        <x:v>朝鲜—海湾工坊</x:v>
      </x:c>
      <x:c r="F44" s="13" t="str">
        <x:v>釜山</x:v>
      </x:c>
      <x:c r="G44" s="27" t="n">
        <x:v>4</x:v>
      </x:c>
      <x:c r="H44" s="27" t="n">
        <x:v>3</x:v>
      </x:c>
      <x:c r="I44" s="27" t="n">
        <x:v>7800</x:v>
      </x:c>
      <x:c r="J44" s="13" t="str">
        <x:v>1 套</x:v>
      </x:c>
      <x:c r="K44" s="27" t="n">
        <x:v>90</x:v>
      </x:c>
      <x:c r="L44" s="27" t="n">
        <x:v>70</x:v>
      </x:c>
      <x:c r="M44" s="13" t="str">
        <x:v>船体伤害（HP）：0；帆具伤害（点）：0；船员失能基值（人）：0；士气（点）：0</x:v>
      </x:c>
      <x:c r="N44" s="27" t="n">
        <x:v>0</x:v>
      </x:c>
      <x:c r="O44" s="27" t="n">
        <x:v>100</x:v>
      </x:c>
      <x:c r="P44" s="13" t="str">
        <x:v>船艏</x:v>
      </x:c>
      <x:c r="Q44" s="27" t="n">
        <x:v>1</x:v>
      </x:c>
      <x:c r="R44" s="27" t="str"/>
      <x:c r="S44" s="27" t="n">
        <x:v>0.3</x:v>
      </x:c>
      <x:c r="T44" s="13" t="str">
        <x:v>在艏前放烟，遮住突阵与转向动作。</x:v>
      </x:c>
      <x:c r="U44" s="13" t="str">
        <x:v>风会推动烟层；短时间也降低本舰瞭望。</x:v>
      </x:c>
      <x:c r="V44" s="13" t="str">
        <x:v>烟幕半径（米）：90；烟幕持续时间（秒）：18</x:v>
      </x:c>
      <x:c r="W44" s="13" t="str">
        <x:v>烟幕罐弹</x:v>
      </x:c>
      <x:c r="X44" s="13" t="str">
        <x:v>原创游戏装备与初值；文化造型取材不等于历史复原。</x:v>
      </x:c>
      <x:c r="Y44" s="13" t="str">
        <x:v>FC00</x:v>
      </x:c>
      <x:c r="Z44" s="13" t="str">
        <x:v>游戏初值。射程为有效交战距离；装填为单炮/单组完整循环；绝非历史实测。</x:v>
      </x:c>
      <x:c r="AA44" s="13" t="str">
        <x:v>W026</x:v>
      </x:c>
      <x:c r="AB44" s="13" t="str">
        <x:v>舰炮每次射击消耗 1 发；甲板班每组齐射消耗 1 份；消耗按 10 发包拆分，剩余保留。</x:v>
      </x:c>
      <x:c r="AC44" s="13" t="str">
        <x:v>银币</x:v>
      </x:c>
      <x:c r="AD44" s="27" t="str"/>
      <x:c r="AE44" s="13" t="str"/>
    </x:row>
    <x:row r="45" ht="42" customHeight="1">
      <x:c r="A45" s="15" t="str">
        <x:v>W040</x:v>
      </x:c>
      <x:c r="B45" s="15" t="str">
        <x:v>断缆镰钩</x:v>
      </x:c>
      <x:c r="C45" s="15" t="str">
        <x:v>船艏武器</x:v>
      </x:c>
      <x:c r="D45" s="15" t="str">
        <x:v>绳索切断器</x:v>
      </x:c>
      <x:c r="E45" s="15" t="str">
        <x:v>马来—东亚</x:v>
      </x:c>
      <x:c r="F45" s="15" t="str">
        <x:v>马六甲</x:v>
      </x:c>
      <x:c r="G45" s="30" t="n">
        <x:v>3</x:v>
      </x:c>
      <x:c r="H45" s="30" t="n">
        <x:v>2</x:v>
      </x:c>
      <x:c r="I45" s="30" t="n">
        <x:v>9000</x:v>
      </x:c>
      <x:c r="J45" s="15" t="str">
        <x:v>1 套</x:v>
      </x:c>
      <x:c r="K45" s="30" t="n">
        <x:v>20</x:v>
      </x:c>
      <x:c r="L45" s="30" t="n">
        <x:v>18</x:v>
      </x:c>
      <x:c r="M45" s="15" t="str">
        <x:v>船体伤害（HP）：0；帆具伤害（点）：18；船员失能基值（人）：0；士气（点）：3</x:v>
      </x:c>
      <x:c r="N45" s="30" t="n">
        <x:v>0</x:v>
      </x:c>
      <x:c r="O45" s="30" t="n">
        <x:v>90</x:v>
      </x:c>
      <x:c r="P45" s="15" t="str">
        <x:v>船艏</x:v>
      </x:c>
      <x:c r="Q45" s="30" t="n">
        <x:v>1</x:v>
      </x:c>
      <x:c r="R45" s="30" t="str"/>
      <x:c r="S45" s="30" t="n">
        <x:v>0.2</x:v>
      </x:c>
      <x:c r="T45" s="15" t="str">
        <x:v>贴近切断登舷绳与拖缆，解除控制或救出目标船。</x:v>
      </x:c>
      <x:c r="U45" s="15" t="str">
        <x:v>必须贴近；不能切断船体与桅杆。</x:v>
      </x:c>
      <x:c r="V45" s="15" t="str">
        <x:v>登船索断裂概率（比例值）：1.0；友方救援释放时间（秒）：3</x:v>
      </x:c>
      <x:c r="W45" s="15" t="str"/>
      <x:c r="X45" s="15" t="str">
        <x:v>原创游戏装备与初值；文化造型取材不等于历史复原。</x:v>
      </x:c>
      <x:c r="Y45" s="15" t="str">
        <x:v>FC00</x:v>
      </x:c>
      <x:c r="Z45" s="15" t="str">
        <x:v>游戏初值。射程为有效交战距离；装填为单炮/单组完整循环；绝非历史实测。</x:v>
      </x:c>
      <x:c r="AA45" s="15" t="str"/>
      <x:c r="AB45" s="15" t="str">
        <x:v>近战装备无弹药；绳、网与救援器的专用消耗按器械 charges 计。</x:v>
      </x:c>
      <x:c r="AC45" s="15" t="str">
        <x:v>银币</x:v>
      </x:c>
      <x:c r="AD45" s="30" t="str"/>
      <x:c r="AE45" s="15" t="str"/>
    </x:row>
    <x:row r="46" ht="42" customHeight="1">
      <x:c r="A46" s="13" t="str">
        <x:v>W041</x:v>
      </x:c>
      <x:c r="B46" s="13" t="str">
        <x:v>港卫火绳枪组</x:v>
      </x:c>
      <x:c r="C46" s="13" t="str">
        <x:v>甲板器械</x:v>
      </x:c>
      <x:c r="D46" s="13" t="str">
        <x:v>小火器班</x:v>
      </x:c>
      <x:c r="E46" s="13" t="str">
        <x:v>欧亚港卫</x:v>
      </x:c>
      <x:c r="F46" s="13" t="str">
        <x:v>长崎</x:v>
      </x:c>
      <x:c r="G46" s="27" t="n">
        <x:v>2</x:v>
      </x:c>
      <x:c r="H46" s="27" t="n">
        <x:v>1</x:v>
      </x:c>
      <x:c r="I46" s="27" t="n">
        <x:v>7600</x:v>
      </x:c>
      <x:c r="J46" s="13" t="str">
        <x:v>10 人装备组</x:v>
      </x:c>
      <x:c r="K46" s="27" t="n">
        <x:v>125</x:v>
      </x:c>
      <x:c r="L46" s="27" t="n">
        <x:v>18</x:v>
      </x:c>
      <x:c r="M46" s="13" t="str">
        <x:v>船体伤害（HP）：0；帆具伤害（点）：1；船员失能基值（人）：5；士气（点）：5</x:v>
      </x:c>
      <x:c r="N46" s="27" t="n">
        <x:v>2</x:v>
      </x:c>
      <x:c r="O46" s="27" t="n">
        <x:v>65</x:v>
      </x:c>
      <x:c r="P46" s="13" t="str">
        <x:v>甲板</x:v>
      </x:c>
      <x:c r="Q46" s="27" t="n">
        <x:v>1</x:v>
      </x:c>
      <x:c r="R46" s="27" t="str"/>
      <x:c r="S46" s="27" t="n">
        <x:v>0.15</x:v>
      </x:c>
      <x:c r="T46" s="13" t="str">
        <x:v>向敌方登舷集结点射击，压低突击队准备度。</x:v>
      </x:c>
      <x:c r="U46" s="13" t="str">
        <x:v>雨天与强风降低装填效率。</x:v>
      </x:c>
      <x:c r="V46" s="13" t="str">
        <x:v>操作所需船员（人）：10</x:v>
      </x:c>
      <x:c r="W46" s="13" t="str">
        <x:v>步兵弹丸包</x:v>
      </x:c>
      <x:c r="X46" s="13" t="str">
        <x:v>原创游戏装备与初值；文化造型取材不等于历史复原。</x:v>
      </x:c>
      <x:c r="Y46" s="13" t="str">
        <x:v>FC00</x:v>
      </x:c>
      <x:c r="Z46" s="13" t="str">
        <x:v>游戏初值。射程为有效交战距离；装填为单炮/单组完整循环；绝非历史实测。</x:v>
      </x:c>
      <x:c r="AA46" s="13" t="str">
        <x:v>W033</x:v>
      </x:c>
      <x:c r="AB46" s="13" t="str">
        <x:v>舰炮每次射击消耗 1 发；甲板班每组齐射消耗 1 份；消耗按 10 发包拆分，剩余保留。</x:v>
      </x:c>
      <x:c r="AC46" s="13" t="str">
        <x:v>银币</x:v>
      </x:c>
      <x:c r="AD46" s="27" t="str"/>
      <x:c r="AE46" s="13" t="str"/>
    </x:row>
    <x:row r="47" ht="42" customHeight="1">
      <x:c r="A47" s="15" t="str">
        <x:v>W042</x:v>
      </x:c>
      <x:c r="B47" s="15" t="str">
        <x:v>远目甲板长枪组</x:v>
      </x:c>
      <x:c r="C47" s="15" t="str">
        <x:v>甲板器械</x:v>
      </x:c>
      <x:c r="D47" s="15" t="str">
        <x:v>远射小火器班</x:v>
      </x:c>
      <x:c r="E47" s="15" t="str">
        <x:v>北海—新英格兰</x:v>
      </x:c>
      <x:c r="F47" s="15" t="str">
        <x:v>波士顿</x:v>
      </x:c>
      <x:c r="G47" s="30" t="n">
        <x:v>4</x:v>
      </x:c>
      <x:c r="H47" s="30" t="n">
        <x:v>3</x:v>
      </x:c>
      <x:c r="I47" s="30" t="n">
        <x:v>14500</x:v>
      </x:c>
      <x:c r="J47" s="15" t="str">
        <x:v>10 人装备组</x:v>
      </x:c>
      <x:c r="K47" s="30" t="n">
        <x:v>220</x:v>
      </x:c>
      <x:c r="L47" s="30" t="n">
        <x:v>25</x:v>
      </x:c>
      <x:c r="M47" s="15" t="str">
        <x:v>船体伤害（HP）：0；帆具伤害（点）：1；船员失能基值（人）：6；士气（点）：6</x:v>
      </x:c>
      <x:c r="N47" s="30" t="n">
        <x:v>4</x:v>
      </x:c>
      <x:c r="O47" s="30" t="n">
        <x:v>78</x:v>
      </x:c>
      <x:c r="P47" s="15" t="str">
        <x:v>甲板</x:v>
      </x:c>
      <x:c r="Q47" s="30" t="n">
        <x:v>1</x:v>
      </x:c>
      <x:c r="R47" s="30" t="str"/>
      <x:c r="S47" s="30" t="n">
        <x:v>0.18</x:v>
      </x:c>
      <x:c r="T47" s="15" t="str">
        <x:v>点选敌舵台或信号旗岗位，打断一个正在准备的命令。</x:v>
      </x:c>
      <x:c r="U47" s="15" t="str">
        <x:v>目标躲进遮蔽后效果下降；不能伤主船骨。</x:v>
      </x:c>
      <x:c r="V47" s="15" t="str">
        <x:v>操作所需船员（人）：10；中断岗位作业时间（秒）：5</x:v>
      </x:c>
      <x:c r="W47" s="15" t="str">
        <x:v>步兵弹丸包</x:v>
      </x:c>
      <x:c r="X47" s="15" t="str">
        <x:v>原创游戏装备与初值；文化造型取材不等于历史复原。</x:v>
      </x:c>
      <x:c r="Y47" s="15" t="str">
        <x:v>FC00</x:v>
      </x:c>
      <x:c r="Z47" s="15" t="str">
        <x:v>游戏初值。射程为有效交战距离；装填为单炮/单组完整循环；绝非历史实测。</x:v>
      </x:c>
      <x:c r="AA47" s="15" t="str">
        <x:v>W033</x:v>
      </x:c>
      <x:c r="AB47" s="15" t="str">
        <x:v>舰炮每次射击消耗 1 发；甲板班每组齐射消耗 1 份；消耗按 10 发包拆分，剩余保留。</x:v>
      </x:c>
      <x:c r="AC47" s="15" t="str">
        <x:v>银币</x:v>
      </x:c>
      <x:c r="AD47" s="30" t="str"/>
      <x:c r="AE47" s="15" t="str"/>
    </x:row>
    <x:row r="48" ht="42" customHeight="1">
      <x:c r="A48" s="13" t="str">
        <x:v>W043</x:v>
      </x:c>
      <x:c r="B48" s="13" t="str">
        <x:v>喇叭短枪防舷组</x:v>
      </x:c>
      <x:c r="C48" s="13" t="str">
        <x:v>甲板器械</x:v>
      </x:c>
      <x:c r="D48" s="13" t="str">
        <x:v>近距小火器班</x:v>
      </x:c>
      <x:c r="E48" s="13" t="str">
        <x:v>加勒比</x:v>
      </x:c>
      <x:c r="F48" s="13" t="str">
        <x:v>罗亚尔港</x:v>
      </x:c>
      <x:c r="G48" s="27" t="n">
        <x:v>3</x:v>
      </x:c>
      <x:c r="H48" s="27" t="n">
        <x:v>3</x:v>
      </x:c>
      <x:c r="I48" s="27" t="n">
        <x:v>11500</x:v>
      </x:c>
      <x:c r="J48" s="13" t="str">
        <x:v>10 人装备组</x:v>
      </x:c>
      <x:c r="K48" s="27" t="n">
        <x:v>55</x:v>
      </x:c>
      <x:c r="L48" s="27" t="n">
        <x:v>12</x:v>
      </x:c>
      <x:c r="M48" s="13" t="str">
        <x:v>船体伤害（HP）：0；帆具伤害（点）：0；船员失能基值（人）：7；士气（点）：8</x:v>
      </x:c>
      <x:c r="N48" s="27" t="n">
        <x:v>2</x:v>
      </x:c>
      <x:c r="O48" s="27" t="n">
        <x:v>82</x:v>
      </x:c>
      <x:c r="P48" s="13" t="str">
        <x:v>甲板</x:v>
      </x:c>
      <x:c r="Q48" s="27" t="n">
        <x:v>1</x:v>
      </x:c>
      <x:c r="R48" s="27" t="str"/>
      <x:c r="S48" s="27" t="n">
        <x:v>0.2</x:v>
      </x:c>
      <x:c r="T48" s="13" t="str">
        <x:v>抵御已经攀上船边的敌方小队，形成近距扇面。</x:v>
      </x:c>
      <x:c r="U48" s="13" t="str">
        <x:v>在远处无用；射击后有短空档。</x:v>
      </x:c>
      <x:c r="V48" s="13" t="str">
        <x:v>操作所需船员（人）：10；防御性白刃作战倍率：1.25</x:v>
      </x:c>
      <x:c r="W48" s="13" t="str">
        <x:v>步兵弹丸包</x:v>
      </x:c>
      <x:c r="X48" s="13" t="str">
        <x:v>原创游戏装备与初值；文化造型取材不等于历史复原。</x:v>
      </x:c>
      <x:c r="Y48" s="13" t="str">
        <x:v>FC00</x:v>
      </x:c>
      <x:c r="Z48" s="13" t="str">
        <x:v>游戏初值。射程为有效交战距离；装填为单炮/单组完整循环；绝非历史实测。</x:v>
      </x:c>
      <x:c r="AA48" s="13" t="str">
        <x:v>W033</x:v>
      </x:c>
      <x:c r="AB48" s="13" t="str">
        <x:v>舰炮每次射击消耗 1 发；甲板班每组齐射消耗 1 份；消耗按 10 发包拆分，剩余保留。</x:v>
      </x:c>
      <x:c r="AC48" s="13" t="str">
        <x:v>银币</x:v>
      </x:c>
      <x:c r="AD48" s="27" t="str"/>
      <x:c r="AE48" s="13" t="str"/>
    </x:row>
    <x:row r="49" ht="42" customHeight="1">
      <x:c r="A49" s="15" t="str">
        <x:v>W044</x:v>
      </x:c>
      <x:c r="B49" s="15" t="str">
        <x:v>风羽甲板弓队</x:v>
      </x:c>
      <x:c r="C49" s="15" t="str">
        <x:v>甲板器械</x:v>
      </x:c>
      <x:c r="D49" s="15" t="str">
        <x:v>弓队</x:v>
      </x:c>
      <x:c r="E49" s="15" t="str">
        <x:v>东亚—南岛交流</x:v>
      </x:c>
      <x:c r="F49" s="15" t="str">
        <x:v>那霸</x:v>
      </x:c>
      <x:c r="G49" s="30" t="n">
        <x:v>1</x:v>
      </x:c>
      <x:c r="H49" s="30" t="n">
        <x:v>0</x:v>
      </x:c>
      <x:c r="I49" s="30" t="n">
        <x:v>4800</x:v>
      </x:c>
      <x:c r="J49" s="15" t="str">
        <x:v>10 人装备组</x:v>
      </x:c>
      <x:c r="K49" s="30" t="n">
        <x:v>105</x:v>
      </x:c>
      <x:c r="L49" s="30" t="n">
        <x:v>9</x:v>
      </x:c>
      <x:c r="M49" s="15" t="str">
        <x:v>船体伤害（HP）：0；帆具伤害（点）：2；船员失能基值（人）：3；士气（点）：3</x:v>
      </x:c>
      <x:c r="N49" s="30" t="n">
        <x:v>0</x:v>
      </x:c>
      <x:c r="O49" s="30" t="n">
        <x:v>70</x:v>
      </x:c>
      <x:c r="P49" s="15" t="str">
        <x:v>甲板</x:v>
      </x:c>
      <x:c r="Q49" s="30" t="n">
        <x:v>1</x:v>
      </x:c>
      <x:c r="R49" s="30" t="str"/>
      <x:c r="S49" s="30" t="n">
        <x:v>0.12</x:v>
      </x:c>
      <x:c r="T49" s="15" t="str">
        <x:v>轻船不用重炮也能干扰甲板换岗与登舷准备。</x:v>
      </x:c>
      <x:c r="U49" s="15" t="str">
        <x:v>厚甲敌人与封闭甲板限制大。</x:v>
      </x:c>
      <x:c r="V49" s="15" t="str">
        <x:v>操作所需船员（人）：10；是否无烟射击：True</x:v>
      </x:c>
      <x:c r="W49" s="15" t="str">
        <x:v>甲板箭矢束</x:v>
      </x:c>
      <x:c r="X49" s="15" t="str">
        <x:v>原创游戏装备与初值；文化造型取材不等于历史复原。</x:v>
      </x:c>
      <x:c r="Y49" s="15" t="str">
        <x:v>FC00</x:v>
      </x:c>
      <x:c r="Z49" s="15" t="str">
        <x:v>游戏初值。射程为有效交战距离；装填为单炮/单组完整循环；绝非历史实测。</x:v>
      </x:c>
      <x:c r="AA49" s="15" t="str">
        <x:v>W034</x:v>
      </x:c>
      <x:c r="AB49" s="15" t="str">
        <x:v>舰炮每次射击消耗 1 发；甲板班每组齐射消耗 1 份；消耗按 10 发包拆分，剩余保留。</x:v>
      </x:c>
      <x:c r="AC49" s="15" t="str">
        <x:v>银币</x:v>
      </x:c>
      <x:c r="AD49" s="30" t="str"/>
      <x:c r="AE49" s="15" t="str"/>
    </x:row>
    <x:row r="50" ht="42" customHeight="1">
      <x:c r="A50" s="13" t="str">
        <x:v>W045</x:v>
      </x:c>
      <x:c r="B50" s="13" t="str">
        <x:v>双泵水龙架</x:v>
      </x:c>
      <x:c r="C50" s="13" t="str">
        <x:v>甲板器械</x:v>
      </x:c>
      <x:c r="D50" s="13" t="str">
        <x:v>灭火器械</x:v>
      </x:c>
      <x:c r="E50" s="13" t="str">
        <x:v>荷兰—东亚工坊</x:v>
      </x:c>
      <x:c r="F50" s="13" t="str">
        <x:v>阿姆斯特丹</x:v>
      </x:c>
      <x:c r="G50" s="27" t="n">
        <x:v>3</x:v>
      </x:c>
      <x:c r="H50" s="27" t="n">
        <x:v>1</x:v>
      </x:c>
      <x:c r="I50" s="27" t="n">
        <x:v>12000</x:v>
      </x:c>
      <x:c r="J50" s="13" t="str">
        <x:v>1 台</x:v>
      </x:c>
      <x:c r="K50" s="27" t="n">
        <x:v>25</x:v>
      </x:c>
      <x:c r="L50" s="27" t="n">
        <x:v>8</x:v>
      </x:c>
      <x:c r="M50" s="13" t="str">
        <x:v>船体伤害（HP）：0；帆具伤害（点）：0；船员失能基值（人）：0；士气（点）：0</x:v>
      </x:c>
      <x:c r="N50" s="27" t="n">
        <x:v>0</x:v>
      </x:c>
      <x:c r="O50" s="27" t="n">
        <x:v>100</x:v>
      </x:c>
      <x:c r="P50" s="13" t="str">
        <x:v>甲板</x:v>
      </x:c>
      <x:c r="Q50" s="27" t="n">
        <x:v>1</x:v>
      </x:c>
      <x:c r="R50" s="27" t="str"/>
      <x:c r="S50" s="27" t="n">
        <x:v>0.5</x:v>
      </x:c>
      <x:c r="T50" s="13" t="str">
        <x:v>选择一处着火甲板喷水，或贴近救援友船。</x:v>
      </x:c>
      <x:c r="U50" s="13" t="str">
        <x:v>需派 6 人，灭火时这批船员不装炮。</x:v>
      </x:c>
      <x:c r="V50" s="13" t="str">
        <x:v>操作所需船员（人）：6；每轮火势降低（点）：24；每轮消耗淡水（舱容单位/轮）：0.01</x:v>
      </x:c>
      <x:c r="W50" s="13" t="str"/>
      <x:c r="X50" s="13" t="str">
        <x:v>原创游戏装备与初值；文化造型取材不等于历史复原。</x:v>
      </x:c>
      <x:c r="Y50" s="13" t="str">
        <x:v>FC00</x:v>
      </x:c>
      <x:c r="Z50" s="13" t="str">
        <x:v>游戏初值。射程为有效交战距离；装填为单炮/单组完整循环；绝非历史实测。</x:v>
      </x:c>
      <x:c r="AA50" s="13" t="str"/>
      <x:c r="AB50" s="13" t="str">
        <x:v>近战装备无弹药；绳、网与救援器的专用消耗按器械 charges 计。</x:v>
      </x:c>
      <x:c r="AC50" s="13" t="str">
        <x:v>银币</x:v>
      </x:c>
      <x:c r="AD50" s="27" t="str"/>
      <x:c r="AE50" s="13" t="str"/>
    </x:row>
    <x:row r="51" ht="42" customHeight="1">
      <x:c r="A51" s="15" t="str">
        <x:v>W046</x:v>
      </x:c>
      <x:c r="B51" s="15" t="str">
        <x:v>烟罐抛射架</x:v>
      </x:c>
      <x:c r="C51" s="15" t="str">
        <x:v>甲板器械</x:v>
      </x:c>
      <x:c r="D51" s="15" t="str">
        <x:v>烟幕器械</x:v>
      </x:c>
      <x:c r="E51" s="15" t="str">
        <x:v>海湾—加勒比</x:v>
      </x:c>
      <x:c r="F51" s="15" t="str">
        <x:v>霍尔木兹</x:v>
      </x:c>
      <x:c r="G51" s="30" t="n">
        <x:v>3</x:v>
      </x:c>
      <x:c r="H51" s="30" t="n">
        <x:v>2</x:v>
      </x:c>
      <x:c r="I51" s="30" t="n">
        <x:v>9500</x:v>
      </x:c>
      <x:c r="J51" s="15" t="str">
        <x:v>1 台</x:v>
      </x:c>
      <x:c r="K51" s="30" t="n">
        <x:v>180</x:v>
      </x:c>
      <x:c r="L51" s="30" t="n">
        <x:v>35</x:v>
      </x:c>
      <x:c r="M51" s="15" t="str">
        <x:v>船体伤害（HP）：0；帆具伤害（点）：0；船员失能基值（人）：0；士气（点）：0</x:v>
      </x:c>
      <x:c r="N51" s="30" t="n">
        <x:v>0</x:v>
      </x:c>
      <x:c r="O51" s="30" t="n">
        <x:v>73</x:v>
      </x:c>
      <x:c r="P51" s="15" t="str">
        <x:v>甲板</x:v>
      </x:c>
      <x:c r="Q51" s="30" t="n">
        <x:v>1</x:v>
      </x:c>
      <x:c r="R51" s="30" t="str"/>
      <x:c r="S51" s="30" t="n">
        <x:v>0.3</x:v>
      </x:c>
      <x:c r="T51" s="15" t="str">
        <x:v>把烟直接放在友船退路或敌方瞄准线上。</x:v>
      </x:c>
      <x:c r="U51" s="15" t="str">
        <x:v>不造成直接伤害，烟会随风漂移。</x:v>
      </x:c>
      <x:c r="V51" s="15" t="str">
        <x:v>操作所需船员（人）：3；烟幕半径（米）：100；烟幕持续时间（秒）：22</x:v>
      </x:c>
      <x:c r="W51" s="15" t="str">
        <x:v>烟幕罐弹</x:v>
      </x:c>
      <x:c r="X51" s="15" t="str">
        <x:v>原创游戏装备与初值；文化造型取材不等于历史复原。</x:v>
      </x:c>
      <x:c r="Y51" s="15" t="str">
        <x:v>FC00</x:v>
      </x:c>
      <x:c r="Z51" s="15" t="str">
        <x:v>游戏初值。射程为有效交战距离；装填为单炮/单组完整循环；绝非历史实测。</x:v>
      </x:c>
      <x:c r="AA51" s="15" t="str">
        <x:v>W026</x:v>
      </x:c>
      <x:c r="AB51" s="15" t="str">
        <x:v>舰炮每次射击消耗 1 发；甲板班每组齐射消耗 1 份；消耗按 10 发包拆分，剩余保留。</x:v>
      </x:c>
      <x:c r="AC51" s="15" t="str">
        <x:v>银币</x:v>
      </x:c>
      <x:c r="AD51" s="30" t="str"/>
      <x:c r="AE51" s="15" t="str"/>
    </x:row>
    <x:row r="52" ht="42" customHeight="1">
      <x:c r="A52" s="13" t="str">
        <x:v>W047</x:v>
      </x:c>
      <x:c r="B52" s="13" t="str">
        <x:v>折网防舷发射架</x:v>
      </x:c>
      <x:c r="C52" s="13" t="str">
        <x:v>甲板器械</x:v>
      </x:c>
      <x:c r="D52" s="13" t="str">
        <x:v>拒登器械</x:v>
      </x:c>
      <x:c r="E52" s="13" t="str">
        <x:v>东亚—北海</x:v>
      </x:c>
      <x:c r="F52" s="13" t="str">
        <x:v>釜山</x:v>
      </x:c>
      <x:c r="G52" s="27" t="n">
        <x:v>3</x:v>
      </x:c>
      <x:c r="H52" s="27" t="n">
        <x:v>2</x:v>
      </x:c>
      <x:c r="I52" s="27" t="n">
        <x:v>10500</x:v>
      </x:c>
      <x:c r="J52" s="13" t="str">
        <x:v>1 台</x:v>
      </x:c>
      <x:c r="K52" s="27" t="n">
        <x:v>35</x:v>
      </x:c>
      <x:c r="L52" s="27" t="n">
        <x:v>28</x:v>
      </x:c>
      <x:c r="M52" s="13" t="str">
        <x:v>船体伤害（HP）：0；帆具伤害（点）：0；船员失能基值（人）：0；士气（点）：5</x:v>
      </x:c>
      <x:c r="N52" s="27" t="n">
        <x:v>0</x:v>
      </x:c>
      <x:c r="O52" s="27" t="n">
        <x:v>85</x:v>
      </x:c>
      <x:c r="P52" s="13" t="str">
        <x:v>甲板</x:v>
      </x:c>
      <x:c r="Q52" s="27" t="n">
        <x:v>1</x:v>
      </x:c>
      <x:c r="R52" s="27" t="str"/>
      <x:c r="S52" s="27" t="n">
        <x:v>0.35</x:v>
      </x:c>
      <x:c r="T52" s="13" t="str">
        <x:v>用网具卡住接舷通道，暂时阻止敌方增援。</x:v>
      </x:c>
      <x:c r="U52" s="13" t="str">
        <x:v>只能延迟 10 s；同处再次撒网只刷新剩余时间。</x:v>
      </x:c>
      <x:c r="V52" s="13" t="str">
        <x:v>操作所需船员（人）：4；登船桥阻断时间（秒）：10；拦截网可用次数（次）：4</x:v>
      </x:c>
      <x:c r="W52" s="13" t="str"/>
      <x:c r="X52" s="13" t="str">
        <x:v>原创游戏装备与初值；文化造型取材不等于历史复原。</x:v>
      </x:c>
      <x:c r="Y52" s="13" t="str">
        <x:v>FC00</x:v>
      </x:c>
      <x:c r="Z52" s="13" t="str">
        <x:v>游戏初值。射程为有效交战距离；装填为单炮/单组完整循环；绝非历史实测。</x:v>
      </x:c>
      <x:c r="AA52" s="13" t="str"/>
      <x:c r="AB52" s="13" t="str">
        <x:v>近战装备无弹药；绳、网与救援器的专用消耗按器械 charges 计。</x:v>
      </x:c>
      <x:c r="AC52" s="13" t="str">
        <x:v>银币</x:v>
      </x:c>
      <x:c r="AD52" s="27" t="str"/>
      <x:c r="AE52" s="13" t="str"/>
    </x:row>
    <x:row r="53" ht="42" customHeight="1">
      <x:c r="A53" s="15" t="str">
        <x:v>W048</x:v>
      </x:c>
      <x:c r="B53" s="15" t="str">
        <x:v>三色旗令架</x:v>
      </x:c>
      <x:c r="C53" s="15" t="str">
        <x:v>甲板器械</x:v>
      </x:c>
      <x:c r="D53" s="15" t="str">
        <x:v>舰队信号器</x:v>
      </x:c>
      <x:c r="E53" s="15" t="str">
        <x:v>跨港海员会</x:v>
      </x:c>
      <x:c r="F53" s="15" t="str">
        <x:v>哥本哈根</x:v>
      </x:c>
      <x:c r="G53" s="30" t="n">
        <x:v>2</x:v>
      </x:c>
      <x:c r="H53" s="30" t="n">
        <x:v>1</x:v>
      </x:c>
      <x:c r="I53" s="30" t="n">
        <x:v>8200</x:v>
      </x:c>
      <x:c r="J53" s="15" t="str">
        <x:v>1 套</x:v>
      </x:c>
      <x:c r="K53" s="30" t="n">
        <x:v>900</x:v>
      </x:c>
      <x:c r="L53" s="30" t="n">
        <x:v>8</x:v>
      </x:c>
      <x:c r="M53" s="15" t="str">
        <x:v>船体伤害（HP）：0；帆具伤害（点）：0；船员失能基值（人）：0；士气（点）：0</x:v>
      </x:c>
      <x:c r="N53" s="30" t="n">
        <x:v>0</x:v>
      </x:c>
      <x:c r="O53" s="30" t="n">
        <x:v>100</x:v>
      </x:c>
      <x:c r="P53" s="15" t="str">
        <x:v>甲板</x:v>
      </x:c>
      <x:c r="Q53" s="30" t="n">
        <x:v>1</x:v>
      </x:c>
      <x:c r="R53" s="30" t="str"/>
      <x:c r="S53" s="30" t="n">
        <x:v>0.12</x:v>
      </x:c>
      <x:c r="T53" s="15" t="str">
        <x:v>把“护货／压帆／撤离”设成三色快捷令，一次命令两艘僚船。</x:v>
      </x:c>
      <x:c r="U53" s="15" t="str">
        <x:v>信号官需在岗；雾中距离缩短。</x:v>
      </x:c>
      <x:c r="V53" s="15" t="str">
        <x:v>操作所需船员（人）：2；编组命令可选目标：2；指令传达延迟（秒）：2</x:v>
      </x:c>
      <x:c r="W53" s="15" t="str"/>
      <x:c r="X53" s="15" t="str">
        <x:v>原创游戏装备与初值；文化造型取材不等于历史复原。</x:v>
      </x:c>
      <x:c r="Y53" s="15" t="str">
        <x:v>FC00</x:v>
      </x:c>
      <x:c r="Z53" s="15" t="str">
        <x:v>游戏初值。射程为有效交战距离；装填为单炮/单组完整循环；绝非历史实测。</x:v>
      </x:c>
      <x:c r="AA53" s="15" t="str"/>
      <x:c r="AB53" s="15" t="str">
        <x:v>近战装备无弹药；绳、网与救援器的专用消耗按器械 charges 计。</x:v>
      </x:c>
      <x:c r="AC53" s="15" t="str">
        <x:v>银币</x:v>
      </x:c>
      <x:c r="AD53" s="30" t="str"/>
      <x:c r="AE53" s="15" t="str"/>
    </x:row>
    <x:row r="54" ht="42" customHeight="1">
      <x:c r="A54" s="13" t="str">
        <x:v>W049</x:v>
      </x:c>
      <x:c r="B54" s="13" t="str">
        <x:v>陶罐抛投架</x:v>
      </x:c>
      <x:c r="C54" s="13" t="str">
        <x:v>甲板器械</x:v>
      </x:c>
      <x:c r="D54" s="13" t="str">
        <x:v>火罐投射器</x:v>
      </x:c>
      <x:c r="E54" s="13" t="str">
        <x:v>地中海—群岛工坊</x:v>
      </x:c>
      <x:c r="F54" s="13" t="str">
        <x:v>亚历山大</x:v>
      </x:c>
      <x:c r="G54" s="27" t="n">
        <x:v>3</x:v>
      </x:c>
      <x:c r="H54" s="27" t="n">
        <x:v>3</x:v>
      </x:c>
      <x:c r="I54" s="27" t="n">
        <x:v>14000</x:v>
      </x:c>
      <x:c r="J54" s="13" t="str">
        <x:v>1 台</x:v>
      </x:c>
      <x:c r="K54" s="27" t="n">
        <x:v>160</x:v>
      </x:c>
      <x:c r="L54" s="27" t="n">
        <x:v>32</x:v>
      </x:c>
      <x:c r="M54" s="13" t="str">
        <x:v>船体伤害（HP）：12；帆具伤害（点）：6；船员失能基值（人）：2；士气（点）：7</x:v>
      </x:c>
      <x:c r="N54" s="27" t="n">
        <x:v>0</x:v>
      </x:c>
      <x:c r="O54" s="27" t="n">
        <x:v>66</x:v>
      </x:c>
      <x:c r="P54" s="13" t="str">
        <x:v>甲板</x:v>
      </x:c>
      <x:c r="Q54" s="27" t="n">
        <x:v>1</x:v>
      </x:c>
      <x:c r="R54" s="27" t="str"/>
      <x:c r="S54" s="27" t="n">
        <x:v>0.65</x:v>
      </x:c>
      <x:c r="T54" s="13" t="str">
        <x:v>向帆脚或岸炮补给堆制造火点，逼敌抽人处理。</x:v>
      </x:c>
      <x:c r="U54" s="13" t="str">
        <x:v>雨天效果差，靠近目标时要注意风向。</x:v>
      </x:c>
      <x:c r="V54" s="13" t="str">
        <x:v>操作所需船员（人）：4；是否使用抛物线射击：True</x:v>
      </x:c>
      <x:c r="W54" s="13" t="str">
        <x:v>炽火陶罐；烟幕罐弹</x:v>
      </x:c>
      <x:c r="X54" s="13" t="str">
        <x:v>原创游戏装备与初值；文化造型取材不等于历史复原。</x:v>
      </x:c>
      <x:c r="Y54" s="13" t="str">
        <x:v>FC00</x:v>
      </x:c>
      <x:c r="Z54" s="13" t="str">
        <x:v>游戏初值。射程为有效交战距离；装填为单炮/单组完整循环；绝非历史实测。</x:v>
      </x:c>
      <x:c r="AA54" s="13" t="str">
        <x:v>W029；W026</x:v>
      </x:c>
      <x:c r="AB54" s="13" t="str">
        <x:v>舰炮每次射击消耗 1 发；甲板班每组齐射消耗 1 份；消耗按 10 发包拆分，剩余保留。</x:v>
      </x:c>
      <x:c r="AC54" s="13" t="str">
        <x:v>银币</x:v>
      </x:c>
      <x:c r="AD54" s="27" t="str"/>
      <x:c r="AE54" s="13" t="str"/>
    </x:row>
    <x:row r="55" ht="42" customHeight="1">
      <x:c r="A55" s="15" t="str">
        <x:v>W050</x:v>
      </x:c>
      <x:c r="B55" s="15" t="str">
        <x:v>海上救生筏绞架</x:v>
      </x:c>
      <x:c r="C55" s="15" t="str">
        <x:v>甲板器械</x:v>
      </x:c>
      <x:c r="D55" s="15" t="str">
        <x:v>救援器械</x:v>
      </x:c>
      <x:c r="E55" s="15" t="str">
        <x:v>太平洋—斯瓦希里</x:v>
      </x:c>
      <x:c r="F55" s="15" t="str">
        <x:v>蒙巴萨</x:v>
      </x:c>
      <x:c r="G55" s="30" t="n">
        <x:v>2</x:v>
      </x:c>
      <x:c r="H55" s="30" t="n">
        <x:v>0</x:v>
      </x:c>
      <x:c r="I55" s="30" t="n">
        <x:v>7600</x:v>
      </x:c>
      <x:c r="J55" s="15" t="str">
        <x:v>1 套</x:v>
      </x:c>
      <x:c r="K55" s="30" t="n">
        <x:v>65</x:v>
      </x:c>
      <x:c r="L55" s="30" t="n">
        <x:v>15</x:v>
      </x:c>
      <x:c r="M55" s="15" t="str">
        <x:v>船体伤害（HP）：0；帆具伤害（点）：0；船员失能基值（人）：0；士气（点）：0</x:v>
      </x:c>
      <x:c r="N55" s="30" t="n">
        <x:v>0</x:v>
      </x:c>
      <x:c r="O55" s="30" t="n">
        <x:v>100</x:v>
      </x:c>
      <x:c r="P55" s="15" t="str">
        <x:v>甲板</x:v>
      </x:c>
      <x:c r="Q55" s="30" t="n">
        <x:v>1</x:v>
      </x:c>
      <x:c r="R55" s="30" t="str"/>
      <x:c r="S55" s="30" t="n">
        <x:v>0.25</x:v>
      </x:c>
      <x:c r="T55" s="15" t="str">
        <x:v>放出救生筏接回友军、俘虏或商船船员，救援也能完成战斗目标。</x:v>
      </x:c>
      <x:c r="U55" s="15" t="str">
        <x:v>需要靠近危险海域；回收期间限制急转弯。</x:v>
      </x:c>
      <x:c r="V55" s="15" t="str">
        <x:v>操作所需船员（人）：4；每轮救援容量（人/轮）：12；恢复期转向评级增减（点）：-25</x:v>
      </x:c>
      <x:c r="W55" s="15" t="str"/>
      <x:c r="X55" s="15" t="str">
        <x:v>原创游戏装备与初值；文化造型取材不等于历史复原。</x:v>
      </x:c>
      <x:c r="Y55" s="15" t="str">
        <x:v>FC00</x:v>
      </x:c>
      <x:c r="Z55" s="15" t="str">
        <x:v>游戏初值。射程为有效交战距离；装填为单炮/单组完整循环；绝非历史实测。</x:v>
      </x:c>
      <x:c r="AA55" s="15" t="str"/>
      <x:c r="AB55" s="15" t="str">
        <x:v>近战装备无弹药；绳、网与救援器的专用消耗按器械 charges 计。</x:v>
      </x:c>
      <x:c r="AC55" s="15" t="str">
        <x:v>银币</x:v>
      </x:c>
      <x:c r="AD55" s="30" t="str"/>
      <x:c r="AE55" s="15" t="str"/>
    </x:row>
    <x:row r="56" ht="42" customHeight="1">
      <x:c r="A56" s="13" t="str">
        <x:v>W051</x:v>
      </x:c>
      <x:c r="B56" s="13" t="str">
        <x:v>浪刃水手弯刀</x:v>
      </x:c>
      <x:c r="C56" s="13" t="str">
        <x:v>白刃装备</x:v>
      </x:c>
      <x:c r="D56" s="13" t="str">
        <x:v>水手刀</x:v>
      </x:c>
      <x:c r="E56" s="13" t="str">
        <x:v>各地远洋海员</x:v>
      </x:c>
      <x:c r="F56" s="13" t="str">
        <x:v>里斯本</x:v>
      </x:c>
      <x:c r="G56" s="27" t="n">
        <x:v>0</x:v>
      </x:c>
      <x:c r="H56" s="27" t="n">
        <x:v>0</x:v>
      </x:c>
      <x:c r="I56" s="27" t="n">
        <x:v>280</x:v>
      </x:c>
      <x:c r="J56" s="13" t="str">
        <x:v>1 人装备套</x:v>
      </x:c>
      <x:c r="K56" s="27" t="n">
        <x:v>2</x:v>
      </x:c>
      <x:c r="L56" s="27" t="n">
        <x:v>3</x:v>
      </x:c>
      <x:c r="M56" s="13" t="str">
        <x:v>船体伤害（HP）：0；帆具伤害（点）：0；船员失能基值（人）：2；士气（点）：2</x:v>
      </x:c>
      <x:c r="N56" s="27" t="n">
        <x:v>0</x:v>
      </x:c>
      <x:c r="O56" s="27" t="n">
        <x:v>75</x:v>
      </x:c>
      <x:c r="P56" s="13" t="str">
        <x:v>海员装备</x:v>
      </x:c>
      <x:c r="Q56" s="27" t="n">
        <x:v>1</x:v>
      </x:c>
      <x:c r="R56" s="27" t="str"/>
      <x:c r="S56" s="27" t="n">
        <x:v>0</x:v>
      </x:c>
      <x:c r="T56" s="13" t="str">
        <x:v>攻防兼顾，适合普通登船水手。</x:v>
      </x:c>
      <x:c r="U56" s="13" t="str">
        <x:v>面对盾阵与长兵器开场较慢。</x:v>
      </x:c>
      <x:c r="V56" s="13" t="str">
        <x:v>白刃攻击力增减（点）：6</x:v>
      </x:c>
      <x:c r="W56" s="13" t="str"/>
      <x:c r="X56" s="13" t="str">
        <x:v>原创游戏装备与初值；文化造型取材不等于历史复原。</x:v>
      </x:c>
      <x:c r="Y56" s="13" t="str">
        <x:v>FC00</x:v>
      </x:c>
      <x:c r="Z56" s="13" t="str">
        <x:v>装备周期与近战力量均为原创抽象值；crew_incapacitated 进入队伍白刃公式，不逐人自动杀伤。</x:v>
      </x:c>
      <x:c r="AA56" s="13" t="str"/>
      <x:c r="AB56" s="13" t="str">
        <x:v>近战装备无弹药；绳、网与救援器的专用消耗按器械 charges 计。</x:v>
      </x:c>
      <x:c r="AC56" s="13" t="str">
        <x:v>银币</x:v>
      </x:c>
      <x:c r="AD56" s="27" t="str"/>
      <x:c r="AE56" s="13" t="str">
        <x:v>近战动作周期；不是舰炮装填</x:v>
      </x:c>
    </x:row>
    <x:row r="57" ht="42" customHeight="1">
      <x:c r="A57" s="15" t="str">
        <x:v>W052</x:v>
      </x:c>
      <x:c r="B57" s="15" t="str">
        <x:v>银线决斗细剑</x:v>
      </x:c>
      <x:c r="C57" s="15" t="str">
        <x:v>白刃装备</x:v>
      </x:c>
      <x:c r="D57" s="15" t="str">
        <x:v>决斗剑</x:v>
      </x:c>
      <x:c r="E57" s="15" t="str">
        <x:v>伊比利亚—法国</x:v>
      </x:c>
      <x:c r="F57" s="15" t="str">
        <x:v>塞维利亚</x:v>
      </x:c>
      <x:c r="G57" s="30" t="n">
        <x:v>3</x:v>
      </x:c>
      <x:c r="H57" s="30" t="n">
        <x:v>2</x:v>
      </x:c>
      <x:c r="I57" s="30" t="n">
        <x:v>1250</x:v>
      </x:c>
      <x:c r="J57" s="15" t="str">
        <x:v>1 人装备套</x:v>
      </x:c>
      <x:c r="K57" s="30" t="n">
        <x:v>2</x:v>
      </x:c>
      <x:c r="L57" s="30" t="n">
        <x:v>2.6</x:v>
      </x:c>
      <x:c r="M57" s="15" t="str">
        <x:v>船体伤害（HP）：0；帆具伤害（点）：0；船员失能基值（人）：2；士气（点）：4</x:v>
      </x:c>
      <x:c r="N57" s="30" t="n">
        <x:v>0</x:v>
      </x:c>
      <x:c r="O57" s="30" t="n">
        <x:v>75</x:v>
      </x:c>
      <x:c r="P57" s="15" t="str">
        <x:v>海员装备</x:v>
      </x:c>
      <x:c r="Q57" s="30" t="n">
        <x:v>1</x:v>
      </x:c>
      <x:c r="R57" s="30" t="str"/>
      <x:c r="S57" s="30" t="n">
        <x:v>0</x:v>
      </x:c>
      <x:c r="T57" s="15" t="str">
        <x:v>军官决斗和夺旗时提高主动权。</x:v>
      </x:c>
      <x:c r="U57" s="15" t="str">
        <x:v>不适合狭窄拥挤通道的大队混战。</x:v>
      </x:c>
      <x:c r="V57" s="15" t="str">
        <x:v>海员单挑优势增减（点）：12</x:v>
      </x:c>
      <x:c r="W57" s="15" t="str"/>
      <x:c r="X57" s="15" t="str">
        <x:v>原创游戏装备与初值；文化造型取材不等于历史复原。</x:v>
      </x:c>
      <x:c r="Y57" s="15" t="str">
        <x:v>FC00</x:v>
      </x:c>
      <x:c r="Z57" s="15" t="str">
        <x:v>装备周期与近战力量均为原创抽象值；crew_incapacitated 进入队伍白刃公式，不逐人自动杀伤。</x:v>
      </x:c>
      <x:c r="AA57" s="15" t="str"/>
      <x:c r="AB57" s="15" t="str">
        <x:v>近战装备无弹药；绳、网与救援器的专用消耗按器械 charges 计。</x:v>
      </x:c>
      <x:c r="AC57" s="15" t="str">
        <x:v>银币</x:v>
      </x:c>
      <x:c r="AD57" s="30" t="str"/>
      <x:c r="AE57" s="15" t="str">
        <x:v>近战动作周期；不是舰炮装填</x:v>
      </x:c>
    </x:row>
    <x:row r="58" ht="42" customHeight="1">
      <x:c r="A58" s="13" t="str">
        <x:v>W053</x:v>
      </x:c>
      <x:c r="B58" s="13" t="str">
        <x:v>破门短斧</x:v>
      </x:c>
      <x:c r="C58" s="13" t="str">
        <x:v>白刃装备</x:v>
      </x:c>
      <x:c r="D58" s="13" t="str">
        <x:v>登舷斧</x:v>
      </x:c>
      <x:c r="E58" s="13" t="str">
        <x:v>北海</x:v>
      </x:c>
      <x:c r="F58" s="13" t="str">
        <x:v>卑尔根</x:v>
      </x:c>
      <x:c r="G58" s="27" t="n">
        <x:v>1</x:v>
      </x:c>
      <x:c r="H58" s="27" t="n">
        <x:v>1</x:v>
      </x:c>
      <x:c r="I58" s="27" t="n">
        <x:v>450</x:v>
      </x:c>
      <x:c r="J58" s="13" t="str">
        <x:v>1 人装备套</x:v>
      </x:c>
      <x:c r="K58" s="27" t="n">
        <x:v>2</x:v>
      </x:c>
      <x:c r="L58" s="27" t="n">
        <x:v>3.6</x:v>
      </x:c>
      <x:c r="M58" s="13" t="str">
        <x:v>船体伤害（HP）：0；帆具伤害（点）：0；船员失能基值（人）：3；士气（点）：3</x:v>
      </x:c>
      <x:c r="N58" s="27" t="n">
        <x:v>0</x:v>
      </x:c>
      <x:c r="O58" s="27" t="n">
        <x:v>75</x:v>
      </x:c>
      <x:c r="P58" s="13" t="str">
        <x:v>海员装备</x:v>
      </x:c>
      <x:c r="Q58" s="27" t="n">
        <x:v>1</x:v>
      </x:c>
      <x:c r="R58" s="27" t="str"/>
      <x:c r="S58" s="27" t="n">
        <x:v>0</x:v>
      </x:c>
      <x:c r="T58" s="13" t="str">
        <x:v>砍开舱门、栏板和防登网。</x:v>
      </x:c>
      <x:c r="U58" s="13" t="str">
        <x:v>攻击节奏慢，遭遇快速军官时吃亏。</x:v>
      </x:c>
      <x:c r="V58" s="13" t="str">
        <x:v>清除登船障碍时间增减（秒）：-4</x:v>
      </x:c>
      <x:c r="W58" s="13" t="str"/>
      <x:c r="X58" s="13" t="str">
        <x:v>原创游戏装备与初值；文化造型取材不等于历史复原。</x:v>
      </x:c>
      <x:c r="Y58" s="13" t="str">
        <x:v>FC00</x:v>
      </x:c>
      <x:c r="Z58" s="13" t="str">
        <x:v>装备周期与近战力量均为原创抽象值；crew_incapacitated 进入队伍白刃公式，不逐人自动杀伤。</x:v>
      </x:c>
      <x:c r="AA58" s="13" t="str"/>
      <x:c r="AB58" s="13" t="str">
        <x:v>近战装备无弹药；绳、网与救援器的专用消耗按器械 charges 计。</x:v>
      </x:c>
      <x:c r="AC58" s="13" t="str">
        <x:v>银币</x:v>
      </x:c>
      <x:c r="AD58" s="27" t="str"/>
      <x:c r="AE58" s="13" t="str">
        <x:v>近战动作周期；不是舰炮装填</x:v>
      </x:c>
    </x:row>
    <x:row r="59" ht="42" customHeight="1">
      <x:c r="A59" s="15" t="str">
        <x:v>W054</x:v>
      </x:c>
      <x:c r="B59" s="15" t="str">
        <x:v>甲板长柄枪</x:v>
      </x:c>
      <x:c r="C59" s="15" t="str">
        <x:v>白刃装备</x:v>
      </x:c>
      <x:c r="D59" s="15" t="str">
        <x:v>长兵器</x:v>
      </x:c>
      <x:c r="E59" s="15" t="str">
        <x:v>地中海—东亚</x:v>
      </x:c>
      <x:c r="F59" s="15" t="str">
        <x:v>威尼斯</x:v>
      </x:c>
      <x:c r="G59" s="30" t="n">
        <x:v>1</x:v>
      </x:c>
      <x:c r="H59" s="30" t="n">
        <x:v>1</x:v>
      </x:c>
      <x:c r="I59" s="30" t="n">
        <x:v>360</x:v>
      </x:c>
      <x:c r="J59" s="15" t="str">
        <x:v>1 人装备套</x:v>
      </x:c>
      <x:c r="K59" s="30" t="n">
        <x:v>2</x:v>
      </x:c>
      <x:c r="L59" s="30" t="n">
        <x:v>3.8</x:v>
      </x:c>
      <x:c r="M59" s="15" t="str">
        <x:v>船体伤害（HP）：0；帆具伤害（点）：0；船员失能基值（人）：2；士气（点）：3</x:v>
      </x:c>
      <x:c r="N59" s="30" t="n">
        <x:v>0</x:v>
      </x:c>
      <x:c r="O59" s="30" t="n">
        <x:v>75</x:v>
      </x:c>
      <x:c r="P59" s="15" t="str">
        <x:v>海员装备</x:v>
      </x:c>
      <x:c r="Q59" s="30" t="n">
        <x:v>1</x:v>
      </x:c>
      <x:c r="R59" s="30" t="str"/>
      <x:c r="S59" s="30" t="n">
        <x:v>0</x:v>
      </x:c>
      <x:c r="T59" s="15" t="str">
        <x:v>守住甲板狭口，把第一批敌人推回船边。</x:v>
      </x:c>
      <x:c r="U59" s="15" t="str">
        <x:v>在敌船低矮内舱效能 -25%。</x:v>
      </x:c>
      <x:c r="V59" s="15" t="str">
        <x:v>白刃防御力增减（点）：10；首次碰撞推退距离（米）：2</x:v>
      </x:c>
      <x:c r="W59" s="15" t="str"/>
      <x:c r="X59" s="15" t="str">
        <x:v>原创游戏装备与初值；文化造型取材不等于历史复原。</x:v>
      </x:c>
      <x:c r="Y59" s="15" t="str">
        <x:v>FC00</x:v>
      </x:c>
      <x:c r="Z59" s="15" t="str">
        <x:v>装备周期与近战力量均为原创抽象值；crew_incapacitated 进入队伍白刃公式，不逐人自动杀伤。</x:v>
      </x:c>
      <x:c r="AA59" s="15" t="str"/>
      <x:c r="AB59" s="15" t="str">
        <x:v>近战装备无弹药；绳、网与救援器的专用消耗按器械 charges 计。</x:v>
      </x:c>
      <x:c r="AC59" s="15" t="str">
        <x:v>银币</x:v>
      </x:c>
      <x:c r="AD59" s="30" t="str"/>
      <x:c r="AE59" s="15" t="str">
        <x:v>近战动作周期；不是舰炮装填</x:v>
      </x:c>
    </x:row>
    <x:row r="60" ht="42" customHeight="1">
      <x:c r="A60" s="13" t="str">
        <x:v>W055</x:v>
      </x:c>
      <x:c r="B60" s="13" t="str">
        <x:v>漆藤盾与短刀</x:v>
      </x:c>
      <x:c r="C60" s="13" t="str">
        <x:v>白刃装备</x:v>
      </x:c>
      <x:c r="D60" s="13" t="str">
        <x:v>盾刀组</x:v>
      </x:c>
      <x:c r="E60" s="13" t="str">
        <x:v>马来—东亚交流</x:v>
      </x:c>
      <x:c r="F60" s="13" t="str">
        <x:v>马六甲</x:v>
      </x:c>
      <x:c r="G60" s="27" t="n">
        <x:v>2</x:v>
      </x:c>
      <x:c r="H60" s="27" t="n">
        <x:v>2</x:v>
      </x:c>
      <x:c r="I60" s="27" t="n">
        <x:v>720</x:v>
      </x:c>
      <x:c r="J60" s="13" t="str">
        <x:v>1 人装备套</x:v>
      </x:c>
      <x:c r="K60" s="27" t="n">
        <x:v>2</x:v>
      </x:c>
      <x:c r="L60" s="27" t="n">
        <x:v>3.3</x:v>
      </x:c>
      <x:c r="M60" s="13" t="str">
        <x:v>船体伤害（HP）：0；帆具伤害（点）：0；船员失能基值（人）：1；士气（点）：3</x:v>
      </x:c>
      <x:c r="N60" s="27" t="n">
        <x:v>0</x:v>
      </x:c>
      <x:c r="O60" s="27" t="n">
        <x:v>75</x:v>
      </x:c>
      <x:c r="P60" s="13" t="str">
        <x:v>海员装备</x:v>
      </x:c>
      <x:c r="Q60" s="27" t="n">
        <x:v>1</x:v>
      </x:c>
      <x:c r="R60" s="27" t="str"/>
      <x:c r="S60" s="27" t="n">
        <x:v>0</x:v>
      </x:c>
      <x:c r="T60" s="13" t="str">
        <x:v>先登船的人在远射压制下也能建立立足点。</x:v>
      </x:c>
      <x:c r="U60" s="13" t="str">
        <x:v>进攻伤害较低，攀爬速度 -10%。</x:v>
      </x:c>
      <x:c r="V60" s="13" t="str">
        <x:v>接舷远程攻击伤害倍率：0.65；白刃防御力增减（点）：8</x:v>
      </x:c>
      <x:c r="W60" s="13" t="str"/>
      <x:c r="X60" s="13" t="str">
        <x:v>原创游戏装备与初值；文化造型取材不等于历史复原。</x:v>
      </x:c>
      <x:c r="Y60" s="13" t="str">
        <x:v>FC00</x:v>
      </x:c>
      <x:c r="Z60" s="13" t="str">
        <x:v>装备周期与近战力量均为原创抽象值；crew_incapacitated 进入队伍白刃公式，不逐人自动杀伤。</x:v>
      </x:c>
      <x:c r="AA60" s="13" t="str"/>
      <x:c r="AB60" s="13" t="str">
        <x:v>近战装备无弹药；绳、网与救援器的专用消耗按器械 charges 计。</x:v>
      </x:c>
      <x:c r="AC60" s="13" t="str">
        <x:v>银币</x:v>
      </x:c>
      <x:c r="AD60" s="27" t="str"/>
      <x:c r="AE60" s="13" t="str">
        <x:v>近战动作周期；不是舰炮装填</x:v>
      </x:c>
    </x:row>
    <x:row r="61" ht="42" customHeight="1">
      <x:c r="A61" s="15" t="str">
        <x:v>W056</x:v>
      </x:c>
      <x:c r="B61" s="15" t="str">
        <x:v>绗缝海卫装</x:v>
      </x:c>
      <x:c r="C61" s="15" t="str">
        <x:v>白刃装备</x:v>
      </x:c>
      <x:c r="D61" s="15" t="str">
        <x:v>防护装备</x:v>
      </x:c>
      <x:c r="E61" s="15" t="str">
        <x:v>各地港卫</x:v>
      </x:c>
      <x:c r="F61" s="15" t="str">
        <x:v>马赛</x:v>
      </x:c>
      <x:c r="G61" s="30" t="n">
        <x:v>2</x:v>
      </x:c>
      <x:c r="H61" s="30" t="n">
        <x:v>1</x:v>
      </x:c>
      <x:c r="I61" s="30" t="n">
        <x:v>590</x:v>
      </x:c>
      <x:c r="J61" s="15" t="str">
        <x:v>1 人装备套</x:v>
      </x:c>
      <x:c r="K61" s="30" t="n">
        <x:v>2</x:v>
      </x:c>
      <x:c r="L61" s="30" t="n">
        <x:v>3.4</x:v>
      </x:c>
      <x:c r="M61" s="15" t="str">
        <x:v>船体伤害（HP）：0；帆具伤害（点）：0；船员失能基值（人）：1；士气（点）：2</x:v>
      </x:c>
      <x:c r="N61" s="30" t="n">
        <x:v>0</x:v>
      </x:c>
      <x:c r="O61" s="30" t="n">
        <x:v>75</x:v>
      </x:c>
      <x:c r="P61" s="15" t="str">
        <x:v>海员装备</x:v>
      </x:c>
      <x:c r="Q61" s="30" t="n">
        <x:v>1</x:v>
      </x:c>
      <x:c r="R61" s="30" t="str"/>
      <x:c r="S61" s="30" t="n">
        <x:v>0</x:v>
      </x:c>
      <x:c r="T61" s="15" t="str">
        <x:v>提高突击队持续战斗能力与伤后恢复机会。</x:v>
      </x:c>
      <x:c r="U61" s="15" t="str">
        <x:v>热带炎热时疲劳更快。</x:v>
      </x:c>
      <x:c r="V61" s="15" t="str">
        <x:v>登船队生存效果倍率：1.2；船员炎热疲劳倍率：1.12</x:v>
      </x:c>
      <x:c r="W61" s="15" t="str"/>
      <x:c r="X61" s="15" t="str">
        <x:v>原创游戏装备与初值；文化造型取材不等于历史复原。</x:v>
      </x:c>
      <x:c r="Y61" s="15" t="str">
        <x:v>FC00</x:v>
      </x:c>
      <x:c r="Z61" s="15" t="str">
        <x:v>装备周期与近战力量均为原创抽象值；crew_incapacitated 进入队伍白刃公式，不逐人自动杀伤。</x:v>
      </x:c>
      <x:c r="AA61" s="15" t="str"/>
      <x:c r="AB61" s="15" t="str">
        <x:v>近战装备无弹药；绳、网与救援器的专用消耗按器械 charges 计。</x:v>
      </x:c>
      <x:c r="AC61" s="15" t="str">
        <x:v>银币</x:v>
      </x:c>
      <x:c r="AD61" s="30" t="str"/>
      <x:c r="AE61" s="15" t="str">
        <x:v>近战动作周期；不是舰炮装填</x:v>
      </x:c>
    </x:row>
    <x:row r="62" ht="42" customHeight="1">
      <x:c r="A62" s="13" t="str">
        <x:v>W057</x:v>
      </x:c>
      <x:c r="B62" s="13" t="str">
        <x:v>黑鞘打刀</x:v>
      </x:c>
      <x:c r="C62" s="13" t="str">
        <x:v>白刃装备</x:v>
      </x:c>
      <x:c r="D62" s="13" t="str">
        <x:v>军官刀</x:v>
      </x:c>
      <x:c r="E62" s="13" t="str">
        <x:v>日本</x:v>
      </x:c>
      <x:c r="F62" s="13" t="str">
        <x:v>堺</x:v>
      </x:c>
      <x:c r="G62" s="27" t="n">
        <x:v>3</x:v>
      </x:c>
      <x:c r="H62" s="27" t="n">
        <x:v>3</x:v>
      </x:c>
      <x:c r="I62" s="27" t="n">
        <x:v>1450</x:v>
      </x:c>
      <x:c r="J62" s="13" t="str">
        <x:v>1 人装备套</x:v>
      </x:c>
      <x:c r="K62" s="27" t="n">
        <x:v>2</x:v>
      </x:c>
      <x:c r="L62" s="27" t="n">
        <x:v>2.9</x:v>
      </x:c>
      <x:c r="M62" s="13" t="str">
        <x:v>船体伤害（HP）：0；帆具伤害（点）：0；船员失能基值（人）：3；士气（点）：4</x:v>
      </x:c>
      <x:c r="N62" s="27" t="n">
        <x:v>0</x:v>
      </x:c>
      <x:c r="O62" s="27" t="n">
        <x:v>75</x:v>
      </x:c>
      <x:c r="P62" s="13" t="str">
        <x:v>海员装备</x:v>
      </x:c>
      <x:c r="Q62" s="27" t="n">
        <x:v>1</x:v>
      </x:c>
      <x:c r="R62" s="27" t="str"/>
      <x:c r="S62" s="27" t="n">
        <x:v>0</x:v>
      </x:c>
      <x:c r="T62" s="13" t="str">
        <x:v>擅长抓住敌队进攻后的短暂反击窗口。</x:v>
      </x:c>
      <x:c r="U62" s="13" t="str">
        <x:v>要先守住节奏，不直接增加远程力量。</x:v>
      </x:c>
      <x:c r="V62" s="13" t="str">
        <x:v>接舷反击窗口（秒）：2；海员单挑优势增减（点）：8</x:v>
      </x:c>
      <x:c r="W62" s="13" t="str"/>
      <x:c r="X62" s="13" t="str">
        <x:v>原创游戏装备与初值；文化造型取材不等于历史复原。</x:v>
      </x:c>
      <x:c r="Y62" s="13" t="str">
        <x:v>FC00</x:v>
      </x:c>
      <x:c r="Z62" s="13" t="str">
        <x:v>装备周期与近战力量均为原创抽象值；crew_incapacitated 进入队伍白刃公式，不逐人自动杀伤。</x:v>
      </x:c>
      <x:c r="AA62" s="13" t="str"/>
      <x:c r="AB62" s="13" t="str">
        <x:v>近战装备无弹药；绳、网与救援器的专用消耗按器械 charges 计。</x:v>
      </x:c>
      <x:c r="AC62" s="13" t="str">
        <x:v>银币</x:v>
      </x:c>
      <x:c r="AD62" s="27" t="str"/>
      <x:c r="AE62" s="13" t="str">
        <x:v>近战动作周期；不是舰炮装填</x:v>
      </x:c>
    </x:row>
    <x:row r="63" ht="42" customHeight="1">
      <x:c r="A63" s="15" t="str">
        <x:v>W058</x:v>
      </x:c>
      <x:c r="B63" s="15" t="str">
        <x:v>海纹克里斯短刃</x:v>
      </x:c>
      <x:c r="C63" s="15" t="str">
        <x:v>白刃装备</x:v>
      </x:c>
      <x:c r="D63" s="15" t="str">
        <x:v>短刃</x:v>
      </x:c>
      <x:c r="E63" s="15" t="str">
        <x:v>马来群岛</x:v>
      </x:c>
      <x:c r="F63" s="15" t="str">
        <x:v>望加锡</x:v>
      </x:c>
      <x:c r="G63" s="30" t="n">
        <x:v>3</x:v>
      </x:c>
      <x:c r="H63" s="30" t="n">
        <x:v>2</x:v>
      </x:c>
      <x:c r="I63" s="30" t="n">
        <x:v>1100</x:v>
      </x:c>
      <x:c r="J63" s="15" t="str">
        <x:v>1 人装备套</x:v>
      </x:c>
      <x:c r="K63" s="30" t="n">
        <x:v>2</x:v>
      </x:c>
      <x:c r="L63" s="30" t="n">
        <x:v>2.4</x:v>
      </x:c>
      <x:c r="M63" s="15" t="str">
        <x:v>船体伤害（HP）：0；帆具伤害（点）：0；船员失能基值（人）：2；士气（点）：3</x:v>
      </x:c>
      <x:c r="N63" s="30" t="n">
        <x:v>0</x:v>
      </x:c>
      <x:c r="O63" s="30" t="n">
        <x:v>75</x:v>
      </x:c>
      <x:c r="P63" s="15" t="str">
        <x:v>海员装备</x:v>
      </x:c>
      <x:c r="Q63" s="30" t="n">
        <x:v>1</x:v>
      </x:c>
      <x:c r="R63" s="30" t="str"/>
      <x:c r="S63" s="30" t="n">
        <x:v>0</x:v>
      </x:c>
      <x:c r="T63" s="15" t="str">
        <x:v>快速穿过舷梯和舱门，适合抢旗、夺舵。</x:v>
      </x:c>
      <x:c r="U63" s="15" t="str">
        <x:v>在开阔甲板面对长枪优势小。</x:v>
      </x:c>
      <x:c r="V63" s="15" t="str">
        <x:v>狭窄舱室攻击力增减（点）：12；攀爬速度倍率：1.12</x:v>
      </x:c>
      <x:c r="W63" s="15" t="str"/>
      <x:c r="X63" s="15" t="str">
        <x:v>原创游戏装备与初值；文化造型取材不等于历史复原。</x:v>
      </x:c>
      <x:c r="Y63" s="15" t="str">
        <x:v>FC00</x:v>
      </x:c>
      <x:c r="Z63" s="15" t="str">
        <x:v>装备周期与近战力量均为原创抽象值；crew_incapacitated 进入队伍白刃公式，不逐人自动杀伤。</x:v>
      </x:c>
      <x:c r="AA63" s="15" t="str"/>
      <x:c r="AB63" s="15" t="str">
        <x:v>近战装备无弹药；绳、网与救援器的专用消耗按器械 charges 计。</x:v>
      </x:c>
      <x:c r="AC63" s="15" t="str">
        <x:v>银币</x:v>
      </x:c>
      <x:c r="AD63" s="30" t="str"/>
      <x:c r="AE63" s="15" t="str">
        <x:v>近战动作周期；不是舰炮装填</x:v>
      </x:c>
    </x:row>
    <x:row r="64" ht="42" customHeight="1">
      <x:c r="A64" s="13" t="str">
        <x:v>W059</x:v>
      </x:c>
      <x:c r="B64" s="13" t="str">
        <x:v>靛金塔尔瓦弯刀</x:v>
      </x:c>
      <x:c r="C64" s="13" t="str">
        <x:v>白刃装备</x:v>
      </x:c>
      <x:c r="D64" s="13" t="str">
        <x:v>弯刀</x:v>
      </x:c>
      <x:c r="E64" s="13" t="str">
        <x:v>印度</x:v>
      </x:c>
      <x:c r="F64" s="13" t="str">
        <x:v>苏拉特</x:v>
      </x:c>
      <x:c r="G64" s="27" t="n">
        <x:v>3</x:v>
      </x:c>
      <x:c r="H64" s="27" t="n">
        <x:v>3</x:v>
      </x:c>
      <x:c r="I64" s="27" t="n">
        <x:v>1380</x:v>
      </x:c>
      <x:c r="J64" s="13" t="str">
        <x:v>1 人装备套</x:v>
      </x:c>
      <x:c r="K64" s="27" t="n">
        <x:v>2</x:v>
      </x:c>
      <x:c r="L64" s="27" t="n">
        <x:v>3.1</x:v>
      </x:c>
      <x:c r="M64" s="13" t="str">
        <x:v>船体伤害（HP）：0；帆具伤害（点）：0；船员失能基值（人）：3；士气（点）：4</x:v>
      </x:c>
      <x:c r="N64" s="27" t="n">
        <x:v>0</x:v>
      </x:c>
      <x:c r="O64" s="27" t="n">
        <x:v>75</x:v>
      </x:c>
      <x:c r="P64" s="13" t="str">
        <x:v>海员装备</x:v>
      </x:c>
      <x:c r="Q64" s="27" t="n">
        <x:v>1</x:v>
      </x:c>
      <x:c r="R64" s="27" t="str"/>
      <x:c r="S64" s="27" t="n">
        <x:v>0</x:v>
      </x:c>
      <x:c r="T64" s="13" t="str">
        <x:v>从侧通道切入，给受阻的正面小队创造推进机会。</x:v>
      </x:c>
      <x:c r="U64" s="13" t="str">
        <x:v>被堵在单一通道时失去侧击加成。</x:v>
      </x:c>
      <x:c r="V64" s="13" t="str">
        <x:v>侧翼登船攻击力增减（点）：12；集结恢复士气（点）：3</x:v>
      </x:c>
      <x:c r="W64" s="13" t="str"/>
      <x:c r="X64" s="13" t="str">
        <x:v>原创游戏装备与初值；文化造型取材不等于历史复原。</x:v>
      </x:c>
      <x:c r="Y64" s="13" t="str">
        <x:v>FC00</x:v>
      </x:c>
      <x:c r="Z64" s="13" t="str">
        <x:v>装备周期与近战力量均为原创抽象值；crew_incapacitated 进入队伍白刃公式，不逐人自动杀伤。</x:v>
      </x:c>
      <x:c r="AA64" s="13" t="str"/>
      <x:c r="AB64" s="13" t="str">
        <x:v>近战装备无弹药；绳、网与救援器的专用消耗按器械 charges 计。</x:v>
      </x:c>
      <x:c r="AC64" s="13" t="str">
        <x:v>银币</x:v>
      </x:c>
      <x:c r="AD64" s="27" t="str"/>
      <x:c r="AE64" s="13" t="str">
        <x:v>近战动作周期；不是舰炮装填</x:v>
      </x:c>
    </x:row>
    <x:row r="65" ht="42" customHeight="1">
      <x:c r="A65" s="16" t="str">
        <x:v>W060</x:v>
      </x:c>
      <x:c r="B65" s="16" t="str">
        <x:v>护手短棍与绳套</x:v>
      </x:c>
      <x:c r="C65" s="16" t="str">
        <x:v>白刃装备</x:v>
      </x:c>
      <x:c r="D65" s="16" t="str">
        <x:v>捕获装备</x:v>
      </x:c>
      <x:c r="E65" s="16" t="str">
        <x:v>自由港调停人</x:v>
      </x:c>
      <x:c r="F65" s="16" t="str">
        <x:v>托尔图加</x:v>
      </x:c>
      <x:c r="G65" s="32" t="n">
        <x:v>2</x:v>
      </x:c>
      <x:c r="H65" s="32" t="n">
        <x:v>1</x:v>
      </x:c>
      <x:c r="I65" s="32" t="n">
        <x:v>620</x:v>
      </x:c>
      <x:c r="J65" s="16" t="str">
        <x:v>1 人装备套</x:v>
      </x:c>
      <x:c r="K65" s="32" t="n">
        <x:v>2</x:v>
      </x:c>
      <x:c r="L65" s="32" t="n">
        <x:v>3.2</x:v>
      </x:c>
      <x:c r="M65" s="16" t="str">
        <x:v>船体伤害（HP）：0；帆具伤害（点）：0；船员失能基值（人）：1；士气（点）：5</x:v>
      </x:c>
      <x:c r="N65" s="32" t="n">
        <x:v>0</x:v>
      </x:c>
      <x:c r="O65" s="32" t="n">
        <x:v>75</x:v>
      </x:c>
      <x:c r="P65" s="16" t="str">
        <x:v>海员装备</x:v>
      </x:c>
      <x:c r="Q65" s="32" t="n">
        <x:v>1</x:v>
      </x:c>
      <x:c r="R65" s="32" t="str"/>
      <x:c r="S65" s="32" t="n">
        <x:v>0</x:v>
      </x:c>
      <x:c r="T65" s="16" t="str">
        <x:v>在优势明确时以控制和招降完成俘获，保留更多可交换或招募船员。</x:v>
      </x:c>
      <x:c r="U65" s="16" t="str">
        <x:v>面对满士气重甲突击队效果弱。</x:v>
      </x:c>
      <x:c r="V65" s="16" t="str">
        <x:v>俘获后船员恢复倍率：1.3；劝降压力增减（点）：8</x:v>
      </x:c>
      <x:c r="W65" s="16" t="str"/>
      <x:c r="X65" s="16" t="str">
        <x:v>原创游戏装备与初值；文化造型取材不等于历史复原。</x:v>
      </x:c>
      <x:c r="Y65" s="16" t="str">
        <x:v>FC00</x:v>
      </x:c>
      <x:c r="Z65" s="16" t="str">
        <x:v>装备周期与近战力量均为原创抽象值；crew_incapacitated 进入队伍白刃公式，不逐人自动杀伤。</x:v>
      </x:c>
      <x:c r="AA65" s="16" t="str"/>
      <x:c r="AB65" s="16" t="str">
        <x:v>近战装备无弹药；绳、网与救援器的专用消耗按器械 charges 计。</x:v>
      </x:c>
      <x:c r="AC65" s="16" t="str">
        <x:v>银币</x:v>
      </x:c>
      <x:c r="AD65" s="32" t="str"/>
      <x:c r="AE65" s="16" t="str">
        <x:v>近战动作周期；不是舰炮装填</x:v>
      </x:c>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c r="AA66" s="2"/>
      <x:c r="AB66" s="2"/>
      <x:c r="AC66" s="2"/>
      <x:c r="AD66" s="2"/>
      <x:c r="AE66" s="2"/>
    </x:row>
  </x:sheetData>
  <x:pageMargins left="0.7" right="0.7" top="0.75" bottom="0.75" header="0.3" footer="0.3"/>
  <x:tableParts count="1">
    <x:tablePart xmlns:r="http://schemas.openxmlformats.org/officeDocument/2006/relationships" r:id="Ra827350539f3488c"/>
  </x:tableParts>
</x:worksheet>
</file>

<file path=xl/worksheets/sheet19.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44" hidden="0" customWidth="1"/>
    <x:col min="3" max="3" width="44" hidden="0" customWidth="1"/>
    <x:col min="4" max="4" width="44" hidden="0" customWidth="1"/>
    <x:col min="5" max="5" width="44" hidden="0" customWidth="1"/>
    <x:col min="6" max="6" width="44" hidden="0" customWidth="1"/>
    <x:col min="7" max="7" width="44" hidden="0" customWidth="1"/>
    <x:col min="8" max="8" width="44" hidden="0" customWidth="1"/>
    <x:col min="9" max="9" width="44" hidden="0" customWidth="1"/>
    <x:col min="10" max="10" width="44" hidden="0" customWidth="1"/>
  </x:cols>
  <x:sheetData>
    <x:row r="1">
      <x:c r="A1" s="2"/>
      <x:c r="B1" s="2"/>
      <x:c r="C1" s="2"/>
      <x:c r="D1" s="2"/>
      <x:c r="E1" s="2"/>
      <x:c r="F1" s="2"/>
      <x:c r="G1" s="2"/>
      <x:c r="H1" s="2"/>
      <x:c r="I1" s="2"/>
      <x:c r="J1" s="2"/>
    </x:row>
    <x:row r="2" ht="28" customHeight="1">
      <x:c r="A2" s="3" t="str">
        <x:v>海战操作与结算规则</x:v>
      </x:c>
      <x:c r="B2" s="2"/>
      <x:c r="C2" s="2"/>
      <x:c r="D2" s="2"/>
      <x:c r="E2" s="2"/>
      <x:c r="F2" s="2"/>
      <x:c r="G2" s="2"/>
      <x:c r="H2" s="2"/>
      <x:c r="I2" s="2"/>
      <x:c r="J2" s="2"/>
    </x:row>
    <x:row r="3">
      <x:c r="A3" s="2"/>
      <x:c r="B3" s="2"/>
      <x:c r="C3" s="2"/>
      <x:c r="D3" s="2"/>
      <x:c r="E3" s="2"/>
      <x:c r="F3" s="2"/>
      <x:c r="G3" s="2"/>
      <x:c r="H3" s="2"/>
      <x:c r="I3" s="2"/>
      <x:c r="J3" s="2"/>
    </x:row>
    <x:row r="4">
      <x:c r="A4" s="2"/>
      <x:c r="B4" s="2"/>
      <x:c r="C4" s="2"/>
      <x:c r="D4" s="2"/>
      <x:c r="E4" s="2"/>
      <x:c r="F4" s="2"/>
      <x:c r="G4" s="2"/>
      <x:c r="H4" s="2"/>
      <x:c r="I4" s="2"/>
      <x:c r="J4" s="2"/>
    </x:row>
    <x:row r="5" ht="34" customHeight="1">
      <x:c r="A5" s="10" t="str">
        <x:v>编号</x:v>
      </x:c>
      <x:c r="B5" s="10" t="str">
        <x:v>名称</x:v>
      </x:c>
      <x:c r="C5" s="10" t="str">
        <x:v>规则环节</x:v>
      </x:c>
      <x:c r="D5" s="10" t="str">
        <x:v>玩家操作</x:v>
      </x:c>
      <x:c r="E5" s="10" t="str">
        <x:v>处理与结算</x:v>
      </x:c>
      <x:c r="F5" s="10" t="str">
        <x:v>界面反馈</x:v>
      </x:c>
      <x:c r="G5" s="10" t="str">
        <x:v>基础参数</x:v>
      </x:c>
      <x:c r="H5" s="10" t="str">
        <x:v>关联船上职位</x:v>
      </x:c>
      <x:c r="I5" s="10" t="str">
        <x:v>实际操作示例</x:v>
      </x:c>
      <x:c r="J5" s="10" t="str">
        <x:v>资料编号</x:v>
      </x:c>
    </x:row>
    <x:row r="6" ht="57" customHeight="1">
      <x:c r="A6" s="12" t="str">
        <x:v>CB001</x:v>
      </x:c>
      <x:c r="B6" s="12" t="str">
        <x:v>一旗舰、四僚船</x:v>
      </x:c>
      <x:c r="C6" s="12" t="str">
        <x:v>战斗组织</x:v>
      </x:c>
      <x:c r="D6" s="12" t="str">
        <x:v>玩家随时点选旗舰或僚船，下达航线、目标与船员调度；旗舰掌握全队战略令。</x:v>
      </x:c>
      <x:c r="E6" s="12" t="str">
        <x:v>可主动控制船最多 5 艘：1 旗舰 + 4 僚船。护送任务 NPC 与拖带战利船不占玩家作战名额，但不能直接当作额外火力编队。</x:v>
      </x:c>
      <x:c r="F6" s="12" t="str">
        <x:v>屏幕下沿只排 5 张船卡；卡上分列船体、帆具、炮组、士气。</x:v>
      </x:c>
      <x:c r="G6" s="12" t="str">
        <x:v>旗舰数量（艘）：1；僚舰上限（艘）：4；可直接控制的船只上限（艘）：5</x:v>
      </x:c>
      <x:c r="H6" s="12" t="str">
        <x:v>副官允许给两艘僚船共享同一意图；各舰船长负责未被点选时维持已下命令。</x:v>
      </x:c>
      <x:c r="I6" s="12" t="str">
        <x:v>两艘货船、一艘探险舟、一艘护卫舰加旗舰，仍能完成跨洋商队与战斗组合。</x:v>
      </x:c>
      <x:c r="J6" s="12" t="str">
        <x:v>FC00</x:v>
      </x:c>
    </x:row>
    <x:row r="7" ht="42" customHeight="1">
      <x:c r="A7" s="15" t="str">
        <x:v>CB002</x:v>
      </x:c>
      <x:c r="B7" s="15" t="str">
        <x:v>接战先定意图</x:v>
      </x:c>
      <x:c r="C7" s="15" t="str">
        <x:v>接敌前</x:v>
      </x:c>
      <x:c r="D7" s="15" t="str">
        <x:v>在发现目标时选择绕行、警告停船、护送穿越、夺取目标或击沉，不必一见船就切战斗。</x:v>
      </x:c>
      <x:c r="E7" s="15" t="str">
        <x:v>视野内有敌意交互才进入战术时间；任务目标决定结算，商船驶离危险水域也算胜利。</x:v>
      </x:c>
      <x:c r="F7" s="15" t="str">
        <x:v>目标旗上显示当前意图和成功条件；货物价值、敌舰船型、已知关系一屏可见。</x:v>
      </x:c>
      <x:c r="G7" s="15" t="str">
        <x:v>预警距离（米）：700；初始敌情可见字段：4</x:v>
      </x:c>
      <x:c r="H7" s="15" t="str">
        <x:v>瞭望员识别远船剪影；翻译官可在交火前提出特定谈判选项。</x:v>
      </x:c>
      <x:c r="I7" s="15" t="str">
        <x:v>发现两艘私掠快船，选择护送穿越，让慢商船先走，玩家只需拆掉一艘追兵的帆。</x:v>
      </x:c>
      <x:c r="J7" s="15" t="str">
        <x:v>FC00</x:v>
      </x:c>
    </x:row>
    <x:row r="8" ht="57" customHeight="1">
      <x:c r="A8" s="13" t="str">
        <x:v>CB003</x:v>
      </x:c>
      <x:c r="B8" s="13" t="str">
        <x:v>战场继承世界海路</x:v>
      </x:c>
      <x:c r="C8" s="13" t="str">
        <x:v>接敌生成</x:v>
      </x:c>
      <x:c r="D8" s="13" t="str">
        <x:v>以当前位置、航向、时间、风向、海图与附近岸线进入战斗。</x:v>
      </x:c>
      <x:c r="E8" s="13" t="str">
        <x:v>船舶相对位置由实际接近方向生成。岛屿、沙洲、港口炮台与任务运输船保留原地理关系；胜负后从真实结束点继续航行。</x:v>
      </x:c>
      <x:c r="F8" s="13" t="str">
        <x:v>战场边缘标出通往世界航线的海路扇区；世界坐标与海风箭头不跳变。</x:v>
      </x:c>
      <x:c r="G8" s="13" t="str">
        <x:v>典型战场宽度（米）：3600；脱离航路扇区宽度（度）：55</x:v>
      </x:c>
      <x:c r="H8" s="13" t="str">
        <x:v>测绘师让已探水道显示深度；未知水道只显示观察到的水色。</x:v>
      </x:c>
      <x:c r="I8" s="13" t="str">
        <x:v>在马六甲海峡东口被尾追，进入战斗后敌船仍在后方，岸线与浅滩成为真实逃生路线。</x:v>
      </x:c>
      <x:c r="J8" s="13" t="str">
        <x:v>FC00</x:v>
      </x:c>
    </x:row>
    <x:row r="9" ht="57" customHeight="1">
      <x:c r="A9" s="15" t="str">
        <x:v>CB004</x:v>
      </x:c>
      <x:c r="B9" s="15" t="str">
        <x:v>可暂停实时与排队命令</x:v>
      </x:c>
      <x:c r="C9" s="15" t="str">
        <x:v>时间和指令</x:v>
      </x:c>
      <x:c r="D9" s="15" t="str">
        <x:v>空格暂停；拖路线、选射击时机、排队最多 3 条舰船动作后恢复时间。</x:v>
      </x:c>
      <x:c r="E9" s="15" t="str">
        <x:v>暂停允许完整规划。提供 0.5×、1×、2×；无敌人可影响时可快速离场，不要求反复等待空航。动作依次执行，屏幕一直显示下一步。</x:v>
      </x:c>
      <x:c r="F9" s="15" t="str">
        <x:v>路线节点编号 1—3；炮组环显示装填完成时刻；暂停时水面静止而规划线仍可调整。</x:v>
      </x:c>
      <x:c r="G9" s="15" t="str">
        <x:v>时间倍率选项：0；0.5；1；2；每船排队指令数（条）：3；默认旗语传令延迟（秒）：2</x:v>
      </x:c>
      <x:c r="H9" s="15" t="str">
        <x:v>信号官降低同队命令延迟并打开两船同步动作。</x:v>
      </x:c>
      <x:c r="I9" s="15" t="str">
        <x:v>暂停设“先收半帆—转右 70°—射敌艉”，恢复后看舰船按三个节点完成。</x:v>
      </x:c>
      <x:c r="J9" s="15" t="str">
        <x:v>FC00</x:v>
      </x:c>
    </x:row>
    <x:row r="10" ht="57" customHeight="1">
      <x:c r="A10" s="13" t="str">
        <x:v>CB005</x:v>
      </x:c>
      <x:c r="B10" s="13" t="str">
        <x:v>四个读得懂的战斗状态</x:v>
      </x:c>
      <x:c r="C10" s="13" t="str">
        <x:v>舰船状态</x:v>
      </x:c>
      <x:c r="D10" s="13" t="str">
        <x:v>围绕操帆、船体、武器、士气分配人手，不操作抽象的全能能量条。</x:v>
      </x:c>
      <x:c r="E10" s="13" t="str">
        <x:v>操帆含帆具 0—100 与帆位；船体含 HP、区段与进水；武器显示各炮组装填；士气 0—100 影响听令和投降。可用船员人数是岗位分配的共同预算。</x:v>
      </x:c>
      <x:c r="F10" s="13" t="str">
        <x:v>船卡用四种固定颜色，点开仅展开相关船舶剖面与岗位。</x:v>
      </x:c>
      <x:c r="G10" s="13" t="str">
        <x:v>帆具完整度上限（点）：100；士气上限（点）：100；火势上限（点）：100；进水值上限（点）：100</x:v>
      </x:c>
      <x:c r="H10" s="13" t="str">
        <x:v>副官可把一套岗位配置存成贸易／炮战／登舷三档。</x:v>
      </x:c>
      <x:c r="I10" s="13" t="str">
        <x:v>敌人炮轰右舷后，玩家看到右炮组停火、船体进水上升、仍有完整左炮和帆装可用。</x:v>
      </x:c>
      <x:c r="J10" s="13" t="str">
        <x:v>FC00</x:v>
      </x:c>
    </x:row>
    <x:row r="11" ht="57" customHeight="1">
      <x:c r="A11" s="15" t="str">
        <x:v>CB006</x:v>
      </x:c>
      <x:c r="B11" s="15" t="str">
        <x:v>风位决定路线价值</x:v>
      </x:c>
      <x:c r="C11" s="15" t="str">
        <x:v>操船</x:v>
      </x:c>
      <x:c r="D11" s="15" t="str">
        <x:v>拖动预览线时立即比较迎风、横风、顺风的速度差。</x:v>
      </x:c>
      <x:c r="E11" s="15" t="str">
        <x:v>以船艏与来风夹角 θ 取速度系数；基础横帆禁航角 60°、纵帆与拉丁帆 45°、硬帆 50°、蟹爪帆 45°。θ 约 90—135° 通常最快，个船与改造覆盖基础值。</x:v>
      </x:c>
      <x:c r="F11" s="15" t="str">
        <x:v>路线颜色随预计航速变化；显示“迎风死区”“好风角”和下一段到达秒数。</x:v>
      </x:c>
      <x:c r="G11" s="15" t="str">
        <x:v>横帆逆风禁航半角（度）：60；纵帆逆风禁航半角（度）：45；中式硬帆逆风禁航半角（度）：50；蟹爪帆逆风禁航半角（度）：45；有利风参考风速（节）：16</x:v>
      </x:c>
      <x:c r="H11" s="15" t="str">
        <x:v>航海长显示未来 12 s 的风向变化；帆缆长可在阵风到来前排队调帆。</x:v>
      </x:c>
      <x:c r="I11" s="15" t="str">
        <x:v>轻型拉丁帆船沿 46° 迎风离开，追赶的横帆大船必须多做一次折返。</x:v>
      </x:c>
      <x:c r="J11" s="15" t="str">
        <x:v>FC00</x:v>
      </x:c>
    </x:row>
    <x:row r="12" ht="57" customHeight="1">
      <x:c r="A12" s="13" t="str">
        <x:v>CB007</x:v>
      </x:c>
      <x:c r="B12" s="13" t="str">
        <x:v>三档帆位是明确取舍</x:v>
      </x:c>
      <x:c r="C12" s="13" t="str">
        <x:v>操帆</x:v>
      </x:c>
      <x:c r="D12" s="13" t="str">
        <x:v>在全帆、战帆、缩帆中点击切换；主动收帆不是停用玩法。</x:v>
      </x:c>
      <x:c r="E12" s="13" t="str">
        <x:v>全帆速度 100%，转向基值；战帆速度 78%，转向 +12，炮击横摇惩罚乘 0.8；缩帆速度 50%，风暴帆伤乘 0.45。伤帆时每档仍使用当前可用帆面积。</x:v>
      </x:c>
      <x:c r="F12" s="13" t="str">
        <x:v>帆布在模型上真实收放，速度预期与射界随变化同步更新。</x:v>
      </x:c>
      <x:c r="G12" s="13" t="str">
        <x:v>全速状态航速倍率：1；战斗航速倍率：0.78；战斗转向评级增减（点）：12；礁区航速倍率：0.5；缩帆状态风暴伤害倍率：0.45；基础换帆时间（秒）：7</x:v>
      </x:c>
      <x:c r="H12" s="13" t="str">
        <x:v>帆缆长将切换缩为 4 s，并可为特定船设置第四个文化帆位。</x:v>
      </x:c>
      <x:c r="I12" s="13" t="str">
        <x:v>在敌舰前方收成战帆，少走 20 m 就完成转向，使右舷先拿到射界。</x:v>
      </x:c>
      <x:c r="J12" s="13" t="str">
        <x:v>FC00</x:v>
      </x:c>
    </x:row>
    <x:row r="13" ht="57" customHeight="1">
      <x:c r="A13" s="15" t="str">
        <x:v>CB008</x:v>
      </x:c>
      <x:c r="B13" s="15" t="str">
        <x:v>转向、惯性与船艉穿越</x:v>
      </x:c>
      <x:c r="C13" s="15" t="str">
        <x:v>操船</x:v>
      </x:c>
      <x:c r="D13" s="15" t="str">
        <x:v>用弧形航迹下令；掉头期间允许修正终点，但舰船不会瞬移或原地旋转。</x:v>
      </x:c>
      <x:c r="E13" s="15" t="str">
        <x:v>航速越高弧线越大；turn_rating 0—100 转成理想速度下的角速度 0.4 + 0.035×评分（°/s）。帆船低于 1.5 节时舵效仅 35%；桨与换端能力另行处理。</x:v>
      </x:c>
      <x:c r="F13" s="15" t="str">
        <x:v>拖路线时同时显示船宽扫过区域与预计艉部位置，避免只看一个小点。</x:v>
      </x:c>
      <x:c r="G13" s="15" t="str">
        <x:v>基础转向角速度（度/秒）：0.4；每点转向评级增加角速度（度/秒/点）：0.035；低速阈值（节）：1.5；低速舵效倍率：0.35</x:v>
      </x:c>
      <x:c r="H13" s="15" t="str">
        <x:v>操舵手画出未来 10 s 的船艉轨迹，提醒能否成功纵射。</x:v>
      </x:c>
      <x:c r="I13" s="15" t="str">
        <x:v>转向 70 的护卫舰理想角速度 2.85°/s；转向 35 的重舰只有 1.625°/s。</x:v>
      </x:c>
      <x:c r="J13" s="15" t="str">
        <x:v>FC00</x:v>
      </x:c>
    </x:row>
    <x:row r="14" ht="72" customHeight="1">
      <x:c r="A14" s="13" t="str">
        <x:v>CB009</x:v>
      </x:c>
      <x:c r="B14" s="13" t="str">
        <x:v>桨帆与换端有独立答案</x:v>
      </x:c>
      <x:c r="C14" s="13" t="str">
        <x:v>文化推进</x:v>
      </x:c>
      <x:c r="D14" s="13" t="str">
        <x:v>桨帆船选冲桨、匀桨、反桨；Proa 类点选换端而不是画掉头圆。</x:v>
      </x:c>
      <x:c r="E14" s="13" t="str">
        <x:v>匀桨不受风向影响，使用 ship.oar_speed_knots；冲桨用船型技能速度和持续秒数，结束后 25 s 内不能再次冲桨。换端船转换帆与舵的工作端，不能同时保持满速。</x:v>
      </x:c>
      <x:c r="F14" s="13" t="str">
        <x:v>桨列动作与鼓点对应；换端船的艏标识会移到另一端。</x:v>
      </x:c>
      <x:c r="G14" s="13" t="str">
        <x:v>划桨冲刺恢复时间（秒）：25；默认倒桨航速（节）：2.5；默认换艏时间（秒）：6；换艏后航速保留比例：0.35</x:v>
      </x:c>
      <x:c r="H14" s="13" t="str">
        <x:v>帆缆长处理换端帆；操舵手决定反桨转向效率。</x:v>
      </x:c>
      <x:c r="I14" s="13" t="str">
        <x:v>无风时龟船仍可用 4.5 节靠近，普通横帆舰必须保护自身艉部；支架艇则借换端避开炮线。</x:v>
      </x:c>
      <x:c r="J14" s="13" t="str">
        <x:v>FC00</x:v>
      </x:c>
    </x:row>
    <x:row r="15" ht="72" customHeight="1">
      <x:c r="A15" s="15" t="str">
        <x:v>CB010</x:v>
      </x:c>
      <x:c r="B15" s="15" t="str">
        <x:v>潮汐、吃水与浅滩</x:v>
      </x:c>
      <x:c r="C15" s="15" t="str">
        <x:v>水域</x:v>
      </x:c>
      <x:c r="D15" s="15" t="str">
        <x:v>在水深图上选择实际能走的通道，必要时抬舵、减载或等涨潮。</x:v>
      </x:c>
      <x:c r="E15" s="15" t="str">
        <x:v>可通行深度 = 海床水深 + 当时潮高；若小于当前吃水，会搁浅减速至 0。轻触只结算一次剐蹭伤害，继续顶着浅滩不能把碰撞当连续攻击。退回深水、抛部分货物或涨潮可脱困。</x:v>
      </x:c>
      <x:c r="F15" s="15" t="str">
        <x:v>深浅用清晰等深线与航迹红段标注；未测水域显示不确定带而非假精确。</x:v>
      </x:c>
      <x:c r="G15" s="15" t="str">
        <x:v>搁浅基础船体伤害（最大 HP 比例）：0.06；已测水深预览距离（米）：200；潮汐更新周期（游戏分钟）：10</x:v>
      </x:c>
      <x:c r="H15" s="15" t="str">
        <x:v>测绘师绘制可靠通道；航海长预测潮窗；船匠判断减载多少足以浮起。</x:v>
      </x:c>
      <x:c r="I15" s="15" t="str">
        <x:v>吃水 1.2 m 的浅船穿过 1.6 m 航道，吃水 4 m 的护卫舰只能绕岛。</x:v>
      </x:c>
      <x:c r="J15" s="15" t="str">
        <x:v>FC00</x:v>
      </x:c>
    </x:row>
    <x:row r="16" ht="57" customHeight="1">
      <x:c r="A16" s="13" t="str">
        <x:v>CB011</x:v>
      </x:c>
      <x:c r="B16" s="13" t="str">
        <x:v>四向武器组和真实射界</x:v>
      </x:c>
      <x:c r="C16" s="13" t="str">
        <x:v>炮战</x:v>
      </x:c>
      <x:c r="D16" s="13" t="str">
        <x:v>分别选择左舷、右舷、船艏、船艉；允许不同方向使用不同目标与弹种。</x:v>
      </x:c>
      <x:c r="E16" s="13" t="str">
        <x:v>侧舷基本射界为本舷法线 ±40°，艏艉炮为前后轴 ±18°。gun_ports 为每舷门数，不能把同一门炮算两次。甲板旋炮依据器械自身转角。</x:v>
      </x:c>
      <x:c r="F16" s="13" t="str">
        <x:v>水面四个淡色扇形带可开关，失去射界的目标线变成虚线并显示“转向 8° 可射”。</x:v>
      </x:c>
      <x:c r="G16" s="13" t="str">
        <x:v>侧舷半射界（度）：40；艏艉追击炮半射界（度）：18；武器分组：左舷；右舷；艏；艉；甲板</x:v>
      </x:c>
      <x:c r="H16" s="13" t="str">
        <x:v>炮术长能锁定弹道扇区而非单船，使舰队穿越时按顺序齐射。</x:v>
      </x:c>
      <x:c r="I16" s="13" t="str">
        <x:v>一艘 gun_ports=8 的船有左右各 8 处侧炮安装点；两侧可以各装 6 门长炮与 2 门短炮。</x:v>
      </x:c>
      <x:c r="J16" s="13" t="str">
        <x:v>FC00</x:v>
      </x:c>
    </x:row>
    <x:row r="17" ht="57" customHeight="1">
      <x:c r="A17" s="15" t="str">
        <x:v>CB012</x:v>
      </x:c>
      <x:c r="B17" s="15" t="str">
        <x:v>装填由实际炮班完成</x:v>
      </x:c>
      <x:c r="C17" s="15" t="str">
        <x:v>岗位</x:v>
      </x:c>
      <x:c r="D17" s="15" t="str">
        <x:v>给当前开火舷分配炮手，另一舷可待机、预装或抢修；轻、中、重炮需要不同人数。</x:v>
      </x:c>
      <x:c r="E17" s="15" t="str">
        <x:v>每炮满编基础为轻炮 2 人、中炮 4 人、重炮 6 人。可用炮门数由分配人手决定，缺人时先减少同时工作炮数。跨舷换岗用 4 s，已完成装填保留。</x:v>
      </x:c>
      <x:c r="F17" s="15" t="str">
        <x:v>每个炮点显示实心或空心圆，装填环只画可工作的炮；炮术卡显示“8/12 门可用”。</x:v>
      </x:c>
      <x:c r="G17" s="15" t="str">
        <x:v>每门轻炮所需炮手（人）：2；每门中型炮所需炮手（人）：4；每门重炮所需炮手（人）：6；跨甲板转运时间（秒）：4</x:v>
      </x:c>
      <x:c r="H17" s="15" t="str">
        <x:v>炮术长可使用“预装另一舷”，副官存岗位模板，火药师安排特种弹切换。</x:v>
      </x:c>
      <x:c r="I17" s="15" t="str">
        <x:v>12 门中炮需要 48 人；只分配 32 人就工作 8 门，不让系统暗中给全部炮降速。</x:v>
      </x:c>
      <x:c r="J17" s="15" t="str">
        <x:v>FC00</x:v>
      </x:c>
    </x:row>
    <x:row r="18" ht="72" customHeight="1">
      <x:c r="A18" s="13" t="str">
        <x:v>CB013</x:v>
      </x:c>
      <x:c r="B18" s="13" t="str">
        <x:v>瞄准需要稳住几秒</x:v>
      </x:c>
      <x:c r="C18" s="13" t="str">
        <x:v>射击</x:v>
      </x:c>
      <x:c r="D18" s="13" t="str">
        <x:v>选择船体、索具、甲板或特定区段；稳向瞄准更久，命中提示上升。</x:v>
      </x:c>
      <x:c r="E18" s="13" t="str">
        <x:v>单发基础命中 = 武器基础命中率 × 距离系数 × 海况系数 × 目标姿态；距离系数从近距 1 线性降至极限射程 0.4。稳向 3 s 增加 10 个百分点，最高 95%。数值提示是预测，不等于必命中。</x:v>
      </x:c>
      <x:c r="F18" s="13" t="str">
        <x:v>目标环逐渐收拢；海况和转向造成的散布分别显示在两条小标签上。</x:v>
      </x:c>
      <x:c r="G18" s="13" t="str">
        <x:v>极限射程命中率倍率：0.4；稳定瞄准所需时间（秒）：3；稳定瞄准命中率加成（百分点）：10；命中率上限（%）：95</x:v>
      </x:c>
      <x:c r="H18" s="13" t="str">
        <x:v>瞭望员标明敌船真实尺寸与速度；炮术长可保持 2 s 的离线预测点。</x:v>
      </x:c>
      <x:c r="I18" s="13" t="str">
        <x:v>基础 80% 的长炮在半射程先变为 56%，稳向后 66%；北海横浪系数 0.8 再修正到 52.8%。</x:v>
      </x:c>
      <x:c r="J18" s="13" t="str">
        <x:v>FC00</x:v>
      </x:c>
    </x:row>
    <x:row r="19" ht="72" customHeight="1">
      <x:c r="A19" s="15" t="str">
        <x:v>CB014</x:v>
      </x:c>
      <x:c r="B19" s="15" t="str">
        <x:v>船体分区与纵射</x:v>
      </x:c>
      <x:c r="C19" s="15" t="str">
        <x:v>损伤</x:v>
      </x:c>
      <x:c r="D19" s="15" t="str">
        <x:v>攻击敌艏、中央炮廊、艉舵或水线；选择部位会改变战果。</x:v>
      </x:c>
      <x:c r="E19" s="15" t="str">
        <x:v>船体 HP 按艏 25%、中 50%、艉 25% 分配且总和等于整船 HP。HP 只扣一次。区段归零使该区相关炮位停用；艉舵区失效使转向降为 25%。沿艏艉轴纵射命中时伤害 ×1.3，但要求夹角 ≤15°。</x:v>
      </x:c>
      <x:c r="F19" s="15" t="str">
        <x:v>击中后对应木壳破损，不用整船统一变黑；舰船剖面亮出受损区。</x:v>
      </x:c>
      <x:c r="G19" s="15" t="str">
        <x:v>船艏 HP 分配比例：0.25；船中 HP 分配比例：0.5；船艉 HP 分配比例：0.25；纵射判定角度（度）：15；纵射伤害倍率：1.3；舵损毁后的转向倍率：0.25</x:v>
      </x:c>
      <x:c r="H19" s="15" t="str">
        <x:v>操舵手制造纵射角；船匠可优先保住舵区或主炮廊。</x:v>
      </x:c>
      <x:c r="I19" s="15" t="str">
        <x:v>目标中央很厚，玩家绕到艉后以长炮纵射，先让舵台失灵再要求停船。</x:v>
      </x:c>
      <x:c r="J19" s="15" t="str">
        <x:v>FC00</x:v>
      </x:c>
    </x:row>
    <x:row r="20" ht="72" customHeight="1">
      <x:c r="A20" s="13" t="str">
        <x:v>CB015</x:v>
      </x:c>
      <x:c r="B20" s="13" t="str">
        <x:v>武器和弹种分开结算</x:v>
      </x:c>
      <x:c r="C20" s="13" t="str">
        <x:v>炮战</x:v>
      </x:c>
      <x:c r="D20" s="13" t="str">
        <x:v>先选择炮组，再选其兼容弹药；切换到不同目标不会自动替玩家换弹。</x:v>
      </x:c>
      <x:c r="E20" s="13" t="str">
        <x:v>weapon.damage 是单发基值；ammo.special_effect 乘基值。船体伤害 = max(基值×0.15, 基值−max(护甲−穿透,0))。弹种仅改变自己声明的参数；基础铁弹各乘数为 1。</x:v>
      </x:c>
      <x:c r="F20" s="13" t="str">
        <x:v>装配与战斗都把“炮”与“弹”分成两栏，显示实际射程、装填和预计目标效果。</x:v>
      </x:c>
      <x:c r="G20" s="13" t="str">
        <x:v>船体最低保底伤害比例：0.15；每包弹药发数（发）：10；切换弹种是否等待当前装填完成：True</x:v>
      </x:c>
      <x:c r="H20" s="13" t="str">
        <x:v>火药师解锁预备弹架，让下一轮特种弹切换不多占 3 s。</x:v>
      </x:c>
      <x:c r="I20" s="13" t="str">
        <x:v>六磅炮 hull 44、穿透 8 打护甲 25 的船，铁弹基础伤害为 27；链弹则把主要收益转给索具。</x:v>
      </x:c>
      <x:c r="J20" s="13" t="str">
        <x:v>FC00</x:v>
      </x:c>
    </x:row>
    <x:row r="21" ht="72" customHeight="1">
      <x:c r="A21" s="15" t="str">
        <x:v>CB016</x:v>
      </x:c>
      <x:c r="B21" s="15" t="str">
        <x:v>断帆提供完整的捕获路线</x:v>
      </x:c>
      <x:c r="C21" s="15" t="str">
        <x:v>帆具损伤</x:v>
      </x:c>
      <x:c r="D21" s="15" t="str">
        <x:v>点选前帆、主帆或后帆；也可为僚船设置“只打索具”。</x:v>
      </x:c>
      <x:c r="E21" s="15" t="str">
        <x:v>帆具总值 100，前/主/后按 30/45/25 分配；独桅与特殊船按可见帆数量重分。总值 &lt;70/40/15 时帆速乘 0.85/0.6/0.2，桨推进仍可用。船上修帆可先补到 50，之后需更多时间或港口。</x:v>
      </x:c>
      <x:c r="F21" s="15" t="str">
        <x:v>实际帆片破洞或落下；敌船速度预测线明显缩短。</x:v>
      </x:c>
      <x:c r="G21" s="15" t="str">
        <x:v>帆具完整度分段效果：70；40；15；各状态航速倍率：0.85；0.6；0.2；海上帆具快速修复上限（点）：50</x:v>
      </x:c>
      <x:c r="H21" s="15" t="str">
        <x:v>帆缆长执行“保主桅”把损伤先留在可舍弃帆片；船匠准备替帆。</x:v>
      </x:c>
      <x:c r="I21" s="15" t="str">
        <x:v>一艘全船仍很完整的盖伦被两轮链弹压到帆具 35，只能以 60% 帆速前进，足够让对手招降。</x:v>
      </x:c>
      <x:c r="J21" s="15" t="str">
        <x:v>FC00</x:v>
      </x:c>
    </x:row>
    <x:row r="22" ht="87" customHeight="1">
      <x:c r="A22" s="13" t="str">
        <x:v>CB017</x:v>
      </x:c>
      <x:c r="B22" s="13" t="str">
        <x:v>火和水争夺船员</x:v>
      </x:c>
      <x:c r="C22" s="13" t="str">
        <x:v>损伤处理</x:v>
      </x:c>
      <x:c r="D22" s="13" t="str">
        <x:v>从炮手、帆手或突击队抽人去灭火、排水、补洞；明确点选工作区。</x:v>
      </x:c>
      <x:c r="E22" s="13" t="str">
        <x:v>火强与进水各 0—100。火每秒造成火强×0.08 船体损伤与×0.02 帆损；10 人灭火每秒降 3，10 人排水每秒降 2。先补洞才能停止该破口新增进水。船体 HP=0 进入 60 s 沉没期，只能撤人；进水满且持续 45 s 亦失去浮力。</x:v>
      </x:c>
      <x:c r="F22" s="13" t="str">
        <x:v>船员调度条同步减少可用炮；火点、喷流与吃水变化都在船上可见。</x:v>
      </x:c>
      <x:c r="G22" s="13" t="str">
        <x:v>每点火势船体伤害（HP/秒）：0.08；每点火势帆具伤害（点/秒）：0.02；每 10 名船员灭火量（火势点/秒）：3；每 10 名船员排水量（进水点/秒）：2；沉没撤离窗口（秒）：60；进水达上限后沉没等待时间（秒）：45</x:v>
      </x:c>
      <x:c r="H22" s="13" t="str">
        <x:v>船匠封舱与补洞；船医照料撤回人员；补给长可把备用布与木材送到受损舰。</x:v>
      </x:c>
      <x:c r="I22" s="13" t="str">
        <x:v>右舷起火时临时停掉 4 门中炮，抽 16 人灭火；保住船后再回岗，代价清楚可见。</x:v>
      </x:c>
      <x:c r="J22" s="13" t="str">
        <x:v>FC00</x:v>
      </x:c>
    </x:row>
    <x:row r="23" ht="57" customHeight="1">
      <x:c r="A23" s="15" t="str">
        <x:v>CB018</x:v>
      </x:c>
      <x:c r="B23" s="15" t="str">
        <x:v>烟、夜与视线双方相同</x:v>
      </x:c>
      <x:c r="C23" s="15" t="str">
        <x:v>战场视线</x:v>
      </x:c>
      <x:c r="D23" s="15" t="str">
        <x:v>利用炮烟、烟罐、岛体和夜色遮蔽转向；也可发信号弹照亮目标。</x:v>
      </x:c>
      <x:c r="E23" s="15" t="str">
        <x:v>浓烟内目标不可精确点选，只能向预测区域射击；穿烟远射命中乘 0.35。烟按当前风方向漂移，岛屿真正挡住低平弹道，臼炮可越过部分障碍。</x:v>
      </x:c>
      <x:c r="F23" s="15" t="str">
        <x:v>烟不遮住己方 UI 船卡；目标线断开并显示最后观测影。</x:v>
      </x:c>
      <x:c r="G23" s="15" t="str">
        <x:v>穿烟射击命中率倍率：0.35；最后目击标记保留时间（秒）：20；烟幕随风漂移系数：0.35</x:v>
      </x:c>
      <x:c r="H23" s="15" t="str">
        <x:v>瞭望员保持较长最后观测轨迹；信号官用旗灯让僚船在夜里仍跟随意图。</x:v>
      </x:c>
      <x:c r="I23" s="15" t="str">
        <x:v>炮战后把烟放在敌护卫舰前，右转脱离；敌人仍可向旧影开炮，不能锁住真实新位置。</x:v>
      </x:c>
      <x:c r="J23" s="15" t="str">
        <x:v>FC00</x:v>
      </x:c>
    </x:row>
    <x:row r="24" ht="72" customHeight="1">
      <x:c r="A24" s="13" t="str">
        <x:v>CB019</x:v>
      </x:c>
      <x:c r="B24" s="13" t="str">
        <x:v>士气是可操作的战果</x:v>
      </x:c>
      <x:c r="C24" s="13" t="str">
        <x:v>士气</x:v>
      </x:c>
      <x:c r="D24" s="13" t="str">
        <x:v>用压制、夺旗、击毁桅杆、保护友船或及时撤回突击队改变双方信心。</x:v>
      </x:c>
      <x:c r="E24" s="13" t="str">
        <x:v>普通目标士气初值 70；军舰 85、精锐 95。主桅失效 -15、邻近旗舰败退 -20、一次吃到 ≥25% 船体伤害 -12、成功救援 +8。士气 &lt;25 且己方战力低于敌方一半时进入招降窗口。</x:v>
      </x:c>
      <x:c r="F24" s="13" t="str">
        <x:v>士气变化浮出具体原因，小旗逐渐垂落；不靠隐藏随机判定突然整船投降。</x:v>
      </x:c>
      <x:c r="G24" s="13" t="str">
        <x:v>商船初始士气（点）：70；正规海军初始士气（点）：85；精锐船队初始士气（点）：95；投降窗口士气阈值（点）：25；投降判定所需敌我战力比：0.5</x:v>
      </x:c>
      <x:c r="H24" s="13" t="str">
        <x:v>乐师在非交火空窗鼓舞；副官集结士气；登船战长可用夺旗打击顽强敌手。</x:v>
      </x:c>
      <x:c r="I24" s="13" t="str">
        <x:v>对手船体还有 55%，但主桅断、旗舰离去、甲板受压，招降成为有理有据的选择。</x:v>
      </x:c>
      <x:c r="J24" s="13" t="str">
        <x:v>FC00</x:v>
      </x:c>
    </x:row>
    <x:row r="25" ht="72" customHeight="1">
      <x:c r="A25" s="15" t="str">
        <x:v>CB020</x:v>
      </x:c>
      <x:c r="B25" s="15" t="str">
        <x:v>停船、投降与条件俘获</x:v>
      </x:c>
      <x:c r="C25" s="15" t="str">
        <x:v>招降</x:v>
      </x:c>
      <x:c r="D25" s="15" t="str">
        <x:v>在 450 m 内提出停火要求，选择索取货物、赎金、船只或撤离承诺。</x:v>
      </x:c>
      <x:c r="E25" s="15" t="str">
        <x:v>招降窗口内普通敌船根据可见条件接受；重要敌军官保留明确任务条件。敌方接受后双方该目标停止自动射击，玩家可接收而非继续轰沉。拒绝会说明“仍有援军／使命未完／未失去机动”等原因。</x:v>
      </x:c>
      <x:c r="F25" s="15" t="str">
        <x:v>屏幕出现 2—4 项具体条件，列出立即得到的货物、银币和关系变化。</x:v>
      </x:c>
      <x:c r="G25" s="15" t="str">
        <x:v>喊话距离（米）：450；投降应答时间（秒）：5；停火应答时间（秒）：2</x:v>
      </x:c>
      <x:c r="H25" s="15" t="str">
        <x:v>翻译官打开地区契约条件；船长声望影响敌人愿不愿信守。</x:v>
      </x:c>
      <x:c r="I25" s="15" t="str">
        <x:v>让满载茶叶的商船交出 30 单位货物并离去，所得稳定，船壳与人员都不必毁掉。</x:v>
      </x:c>
      <x:c r="J25" s="15" t="str">
        <x:v>FC00</x:v>
      </x:c>
    </x:row>
    <x:row r="26" ht="72" customHeight="1">
      <x:c r="A26" s="13" t="str">
        <x:v>CB021</x:v>
      </x:c>
      <x:c r="B26" s="13" t="str">
        <x:v>登舷先建立连接</x:v>
      </x:c>
      <x:c r="C26" s="13" t="str">
        <x:v>登舷准备</x:v>
      </x:c>
      <x:c r="D26" s="13" t="str">
        <x:v>目标减速后接近、投钩、横靠；选择 8—40 人突击队并决定后援规模。</x:v>
      </x:c>
      <x:c r="E26" s="13" t="str">
        <x:v>起始要求距离 ≤30 m、目标速度 ≤4 节、相对速度 ≤2 节；基础接舷准备 6 s。连接是场景中的绳与桥，可被切断。登舷不冻结海战，其余船仍可移动救援或压制。</x:v>
      </x:c>
      <x:c r="F26" s="13" t="str">
        <x:v>两船之间显示连接强度与队伍人数，航线提示对方继续转向会如何拉扯绳缆。</x:v>
      </x:c>
      <x:c r="G26" s="13" t="str">
        <x:v>接舷触发距离（米）：30；适用目标最高航速（节）：4；最大允许相对速度（节）：2；登船准备时间（秒）：6；登船队人数下限（人）：8；登船队人数上限（人）：40</x:v>
      </x:c>
      <x:c r="H26" s="13" t="str">
        <x:v>登船战长缩短集结；操舵手降低靠舷失位；船医设置伤员回撤线。</x:v>
      </x:c>
      <x:c r="I26" s="13" t="str">
        <x:v>用链弹把商船压到 3 节，派 24 人先登，剩余 12 人保留作轮换。</x:v>
      </x:c>
      <x:c r="J26" s="13" t="str">
        <x:v>FC00</x:v>
      </x:c>
    </x:row>
    <x:row r="27" ht="72" customHeight="1">
      <x:c r="A27" s="15" t="str">
        <x:v>CB022</x:v>
      </x:c>
      <x:c r="B27" s="15" t="str">
        <x:v>甲板三路与任务式白刃</x:v>
      </x:c>
      <x:c r="C27" s="15" t="str">
        <x:v>白刃战</x:v>
      </x:c>
      <x:c r="D27" s="15" t="str">
        <x:v>选择艏路、主甲板或艉路推进，并下达守住、强攻、侧击、夺舵、夺旗、撤回之一。</x:v>
      </x:c>
      <x:c r="E27" s="15" t="str">
        <x:v>每 5 s 结算一轮。有效队伍力量 = 可用人数×(10+装备进攻加值)×(0.5+士气/200)×地形系数。优势方推进控制度；夺取艉旗与舵台可直接提高招降压力。人员损失按双方力量和装备周期抽象结算。</x:v>
      </x:c>
      <x:c r="F27" s="15" t="str">
        <x:v>两船局部放大出现三个清楚通道，2D 队伍剪影展示推线，不变成另一套大型动作游戏。</x:v>
      </x:c>
      <x:c r="G27" s="15" t="str">
        <x:v>白刃结算轮间隔（秒）：5；每名船员基础战力（点/人）：10；占领控制度目标（点）：100；战力达两倍优势时每轮控制度增量（点）：20</x:v>
      </x:c>
      <x:c r="H27" s="15" t="str">
        <x:v>登船战长提供侧击通道；船医主动撤回一组伤员；副官安排第二批接替。</x:v>
      </x:c>
      <x:c r="I27" s="15" t="str">
        <x:v>正面盾队守主甲板、快刃队绕艉夺舵，赢得船的控制权而不是必须击倒所有人。</x:v>
      </x:c>
      <x:c r="J27" s="15" t="str">
        <x:v>FC00</x:v>
      </x:c>
    </x:row>
    <x:row r="28" ht="57" customHeight="1">
      <x:c r="A28" s="13" t="str">
        <x:v>CB023</x:v>
      </x:c>
      <x:c r="B28" s="13" t="str">
        <x:v>军官对决是高潮选项</x:v>
      </x:c>
      <x:c r="C28" s="13" t="str">
        <x:v>白刃关键事件</x:v>
      </x:c>
      <x:c r="D28" s="13" t="str">
        <x:v>双方军官碰面时可接受对决，或由小队战术继续推进。</x:v>
      </x:c>
      <x:c r="E28" s="13" t="str">
        <x:v>对决用“试探—压迫—反击”三类招式意图，玩家可暂停读对手动作线索。胜利造成士气 -18 与一个通道控制 +30；不自动夺走仍有完整舰队支持的敌船。</x:v>
      </x:c>
      <x:c r="F28" s="13" t="str">
        <x:v>以独特头像、半身像描述和像素甲板动作呈现；人物气质影响招式台词。</x:v>
      </x:c>
      <x:c r="G28" s="13" t="str">
        <x:v>单挑引发的士气变化（点）：18；单挑通道控制增减（点）：30；单挑最多交锋次数（次）：5</x:v>
      </x:c>
      <x:c r="H28" s="13" t="str">
        <x:v>不同招募军官带来新读招方式，而不是一律增加攻击力。</x:v>
      </x:c>
      <x:c r="I28" s="13" t="str">
        <x:v>冷静老船长用一次守势诱出贵族剑客的压迫招，反击获胜后敌旗旁队伍开始后退。</x:v>
      </x:c>
      <x:c r="J28" s="13" t="str">
        <x:v>FC00</x:v>
      </x:c>
    </x:row>
    <x:row r="29" ht="72" customHeight="1">
      <x:c r="A29" s="15" t="str">
        <x:v>CB024</x:v>
      </x:c>
      <x:c r="B29" s="15" t="str">
        <x:v>战利船、货物与拖带</x:v>
      </x:c>
      <x:c r="C29" s="15" t="str">
        <x:v>战后处置</x:v>
      </x:c>
      <x:c r="D29" s="15" t="str">
        <x:v>在海上决定转货、派接收船员、拖带船壳或释放敌船，受己方实际舱位限制。</x:v>
      </x:c>
      <x:c r="E29" s="15" t="str">
        <x:v>新获完整船需要 crew_min 才可独立航行。若玩家已占满 5 个作战名额，可设为无武器的战利拖带对象；需至少 ceil(crew_min×0.3) 接收船员，最多同时拖带 1 艘。到港后入预备舰队再编队。</x:v>
      </x:c>
      <x:c r="F29" s="15" t="str">
        <x:v>战利界面列出能转移多少、派出后哪艘己船缺人，以及航速损失。</x:v>
      </x:c>
      <x:c r="G29" s="15" t="str">
        <x:v>可同时拖带的战利船上限（艘）：1；战利船最低接管船员比例：0.3；拖带航速倍率：0.65</x:v>
      </x:c>
      <x:c r="H29" s="15" t="str">
        <x:v>补给长快速分货；船匠评估船壳修理价；会计师对比赎金、货物与船价。</x:v>
      </x:c>
      <x:c r="I29" s="15" t="str">
        <x:v>抢到重商船却只余 12 名闲员，无法凭空新增满编第 6 艘战舰，只能转货或带回船壳。</x:v>
      </x:c>
      <x:c r="J29" s="15" t="str">
        <x:v>FC00</x:v>
      </x:c>
    </x:row>
    <x:row r="30" ht="57" customHeight="1">
      <x:c r="A30" s="13" t="str">
        <x:v>CB025</x:v>
      </x:c>
      <x:c r="B30" s="13" t="str">
        <x:v>救援也是海战胜利</x:v>
      </x:c>
      <x:c r="C30" s="13" t="str">
        <x:v>任务与救援</x:v>
      </x:c>
      <x:c r="D30" s="13" t="str">
        <x:v>命令一船灭火、一船拖救、一船掩护；点落水群体或漂浮任务箱执行回收。</x:v>
      </x:c>
      <x:c r="E30" s="13" t="str">
        <x:v>救援量受器械与队伍限制。任务可按救回人数、保住档案、保护民船或拖到出口结算，不要求击沉敌舰。失能海员属于伤员，永久伤亡由战役规则统一决定。</x:v>
      </x:c>
      <x:c r="F30" s="13" t="str">
        <x:v>救援目标显示人数与剩余时间，回收后在船卡上增加乘员占用。</x:v>
      </x:c>
      <x:c r="G30" s="13" t="str">
        <x:v>基础救生艇容量（人）：6；基础单轮救援时间（秒）：18；救援距离（米）：45</x:v>
      </x:c>
      <x:c r="H30" s="13" t="str">
        <x:v>船医把伤员更快转为稳定状态；航海长选择靠风侧；帆缆长保持低速。</x:v>
      </x:c>
      <x:c r="I30" s="13" t="str">
        <x:v>运输船起火，玩家救回 36 人、保住药箱并离开，即使敌船仍在海上也能完成主目标。</x:v>
      </x:c>
      <x:c r="J30" s="13" t="str">
        <x:v>FC00</x:v>
      </x:c>
    </x:row>
    <x:row r="31" ht="57" customHeight="1">
      <x:c r="A31" s="15" t="str">
        <x:v>CB026</x:v>
      </x:c>
      <x:c r="B31" s="15" t="str">
        <x:v>撤离是一条能操出来的路线</x:v>
      </x:c>
      <x:c r="C31" s="15" t="str">
        <x:v>脱战</x:v>
      </x:c>
      <x:c r="D31" s="15" t="str">
        <x:v>选择与世界航线相连的出口扇区，先让慢船撤，再让护卫舰断后。</x:v>
      </x:c>
      <x:c r="E31" s="15" t="str">
        <x:v>进入出口且距最近能追击敌船 ≥900 m、连续 15 s 未受命中即可离场。断桅、烟幕、浅滩和风差都可以制造距离；任务目标决定允许带走哪些船。</x:v>
      </x:c>
      <x:c r="F31" s="15" t="str">
        <x:v>出口显示“距离差／最后命中计时”两项，离场船保持已脱离状态，不会被拉回战场。</x:v>
      </x:c>
      <x:c r="G31" s="15" t="str">
        <x:v>脱离所需敌我距离（米）：900；脱离所需未受击时间（秒）：15</x:v>
      </x:c>
      <x:c r="H31" s="15" t="str">
        <x:v>操舵手选更短出口弧线；航海长利用顺风；副官以尾灯令让僚船分批退出。</x:v>
      </x:c>
      <x:c r="I31" s="15" t="str">
        <x:v>商船先过出口，旗舰用链弹停住追船后自己撤；没有必须杀掉最后敌人的等待。</x:v>
      </x:c>
      <x:c r="J31" s="15" t="str">
        <x:v>FC00</x:v>
      </x:c>
    </x:row>
    <x:row r="32" ht="72" customHeight="1">
      <x:c r="A32" s="13" t="str">
        <x:v>CB027</x:v>
      </x:c>
      <x:c r="B32" s="13" t="str">
        <x:v>职位改变操作方式</x:v>
      </x:c>
      <x:c r="C32" s="13" t="str">
        <x:v>船员协作</x:v>
      </x:c>
      <x:c r="D32" s="13" t="str">
        <x:v>在每艘船有限岗位中安排不同海员；把主动命令与担当职位绑定。</x:v>
      </x:c>
      <x:c r="E32" s="13" t="str">
        <x:v>航海长开风窗预测，操舵手开船艉路径，帆缆长开分档帆，炮术长开延迟齐射，火药师管弹种，登船战长管通道，船匠管区段，船医管撤回，信号官管同步，补给长管海上物资交接。</x:v>
      </x:c>
      <x:c r="F32" s="13" t="str">
        <x:v>点击人物头像展示其实际新增按钮与可触发对象，单看属性数字不替代功能说明。</x:v>
      </x:c>
      <x:c r="G32" s="13" t="str">
        <x:v>每船可同时执行的主动指令槽（个）：4；职位指令基础冷却（秒）：45</x:v>
      </x:c>
      <x:c r="H32" s="13" t="str">
        <x:v>上述 10 个职位各开一种操作；高阶人物可让已有操作产生不同结果，具体人物表优先。</x:v>
      </x:c>
      <x:c r="I32" s="13" t="str">
        <x:v>炮术长让两船延迟到同一秒发射；另一位炮术长则让当前舷留两门持续打帆，玩法不同。</x:v>
      </x:c>
      <x:c r="J32" s="13" t="str">
        <x:v>FC00</x:v>
      </x:c>
    </x:row>
    <x:row r="33" ht="72" customHeight="1">
      <x:c r="A33" s="15" t="str">
        <x:v>CB028</x:v>
      </x:c>
      <x:c r="B33" s="15" t="str">
        <x:v>小舰队 UI 与 HD-2D 可读性</x:v>
      </x:c>
      <x:c r="C33" s="15" t="str">
        <x:v>界面与表现</x:v>
      </x:c>
      <x:c r="D33" s="15" t="str">
        <x:v>默认远中景看整支小舰队；按住选船键短暂贴近，暂停时可打开海图规划。</x:v>
      </x:c>
      <x:c r="E33" s="15" t="str">
        <x:v>镜头保留可读船侧与帆影，海面反光不遮蔽炮线。角色用日式像素立绘头像与短台词，船体保持 3D 体积、像素纹理、清晰灯光。战斗场景无需所有船员头像同时说话。</x:v>
      </x:c>
      <x:c r="F33" s="15" t="str">
        <x:v>5 船卡、单船 4 命令、1 当前目标卡；只为被选船画详细炮界，其余显示简化意图。</x:v>
      </x:c>
      <x:c r="G33" s="15" t="str">
        <x:v>船只状态卡数量上限（张）：5；同时显示的情境指令数量（个）：4；同时显示的语音气泡（个）：2</x:v>
      </x:c>
      <x:c r="H33" s="15" t="str">
        <x:v>人物语气分别是冷淡、热血、老练等；台词负责解释机会，例如“他把船尾交给我们了”。</x:v>
      </x:c>
      <x:c r="I33" s="15" t="str">
        <x:v>夜战里珠白帆、暖舱灯与橘色炮光形成层次，敌我不只靠近似红蓝船皮辨认。</x:v>
      </x:c>
      <x:c r="J33" s="15" t="str">
        <x:v>FC00</x:v>
      </x:c>
    </x:row>
    <x:row r="34" ht="72" customHeight="1">
      <x:c r="A34" s="13" t="str">
        <x:v>CB029</x:v>
      </x:c>
      <x:c r="B34" s="13" t="str">
        <x:v>岸炮、链闸与港口目标</x:v>
      </x:c>
      <x:c r="C34" s="13" t="str">
        <x:v>港战</x:v>
      </x:c>
      <x:c r="D34" s="13" t="str">
        <x:v>点选炮台、链闸、物资驳船或港口指挥旗，决定先压制哪一个。</x:v>
      </x:c>
      <x:c r="E34" s="13" t="str">
        <x:v>港战设施有独立 HP 与作用：岸炮 650 HP，链闸 450 HP，补给驳船 500 HP。打掉补给驳船使敌炮装填 +25%；解开链闸比击沉港内全队更快。战果影响港口开放和短期交易。</x:v>
      </x:c>
      <x:c r="F34" s="13" t="str">
        <x:v>设施上显示被摧毁或夺取的实际后果；港口不因随便几炮自动易主。</x:v>
      </x:c>
      <x:c r="G34" s="13" t="str">
        <x:v>岸防炮台耐久（HP）：650；封港铁链耐久（HP）：450；补给驳船耐久（HP）：500；敌方失去补给后装填时间倍率：1.25</x:v>
      </x:c>
      <x:c r="H34" s="13" t="str">
        <x:v>考古学者或测绘师可提前找到旧水道；火药师为固定目标挑臼炮弹；翻译官处理战后条件。</x:v>
      </x:c>
      <x:c r="I34" s="13" t="str">
        <x:v>利用雾接近侧水道，拆链闸护粮船进入港口即可解围，不需要轰掉整座城市。</x:v>
      </x:c>
      <x:c r="J34" s="13" t="str">
        <x:v>FC00</x:v>
      </x:c>
    </x:row>
    <x:row r="35" ht="57" customHeight="1">
      <x:c r="A35" s="15" t="str">
        <x:v>CB030</x:v>
      </x:c>
      <x:c r="B35" s="15" t="str">
        <x:v>胜利条件与奖励构成</x:v>
      </x:c>
      <x:c r="C35" s="15" t="str">
        <x:v>任务结算</x:v>
      </x:c>
      <x:c r="D35" s="15" t="str">
        <x:v>开战前能查看主目标、可选目标及毁货代价；战后立即查看各项实际完成。</x:v>
      </x:c>
      <x:c r="E35" s="15" t="str">
        <x:v>奖励由固定报酬、任务保全度、俘获物、港口关系与航道状态组成。沉船只给少量残货；完整俘获、无损护送、救援和封锁突破有各自奖励。</x:v>
      </x:c>
      <x:c r="F35" s="15" t="str">
        <x:v>结算表把钱、货、图纸、关系、市场变化分列，清楚显示因玩家选择少了什么或多了什么。</x:v>
      </x:c>
      <x:c r="G35" s="15" t="str">
        <x:v>沉没货物可打捞比例：0.15；完好俘获可保留货物比例：0.9；基础合约奖励倍率：1.0</x:v>
      </x:c>
      <x:c r="H35" s="15" t="str">
        <x:v>交易长评估货物留卖；会计师解释纯收益；驻港管事把贸易机会接到港口表。</x:v>
      </x:c>
      <x:c r="I35" s="15" t="str">
        <x:v>击沉宝船只捞回 15% 货物；断帆逼降可取 90% 保存货，另需考虑装载和关系代价。</x:v>
      </x:c>
      <x:c r="J35" s="15" t="str">
        <x:v>FC00</x:v>
      </x:c>
    </x:row>
    <x:row r="36" ht="72" customHeight="1">
      <x:c r="A36" s="13" t="str">
        <x:v>CB031</x:v>
      </x:c>
      <x:c r="B36" s="13" t="str">
        <x:v>阵型是角色与距离</x:v>
      </x:c>
      <x:c r="C36" s="13" t="str">
        <x:v>舰队战术</x:v>
      </x:c>
      <x:c r="D36" s="13" t="str">
        <x:v>选择预设阵型后，给每个位置指定护卫、货船、机动或支援角色。</x:v>
      </x:c>
      <x:c r="E36" s="13" t="str">
        <x:v>阵型保存相对航向与间距，船舶按实际风、吃水和转弯能力赶到位置；不会瞬移成整齐几何。僚船优先执行角色意图：护货舰拦截威胁，机动舰争取侧后方，支援舰保持转移距离。</x:v>
      </x:c>
      <x:c r="F36" s="13" t="str">
        <x:v>阵型点位显示虚线目标与到位时间；偏离原因只报当前最相关项。</x:v>
      </x:c>
      <x:c r="G36" s="13" t="str">
        <x:v>最小阵型船距（米）：90；默认阵型船距（米）：160；阵位抵达容许误差（米）：45</x:v>
      </x:c>
      <x:c r="H36" s="13" t="str">
        <x:v>副官解锁两组独立小队；信号官让阵型转向时的命令更连贯。</x:v>
      </x:c>
      <x:c r="I36" s="13" t="str">
        <x:v>一艘吃水浅的巡防舟不会为了排队冲上暗礁，仍保护货船经过同一海域的可行路线。</x:v>
      </x:c>
      <x:c r="J36" s="13" t="str">
        <x:v>FC00</x:v>
      </x:c>
    </x:row>
    <x:row r="37" ht="87" customHeight="1">
      <x:c r="A37" s="16" t="str">
        <x:v>CB032</x:v>
      </x:c>
      <x:c r="B37" s="16" t="str">
        <x:v>装配容量与数值口径</x:v>
      </x:c>
      <x:c r="C37" s="16" t="str">
        <x:v>船厂与成长</x:v>
      </x:c>
      <x:c r="D37" s="16" t="str">
        <x:v>在船厂分别编辑船体改造、武器点、弹药库存与人员岗位，改造预览直接显示航速吃水变化。</x:v>
      </x:c>
      <x:c r="E37" s="16" t="str">
        <x:v>船体改造按结构/帆装/货舱/甲板/船艏/船艉各 1 槽，另有船型规定的通用槽；同名不叠加。武器点是另一层：每舷 gun_ports 门、forward_mounts、rear_mounts、deck_weapon_slots。舰炮每门购买，弹药按包。船只 A 解锁，工艺按 D/A 双条件。</x:v>
      </x:c>
      <x:c r="F37" s="16" t="str">
        <x:v>图纸来源、地区文化、材料与银币分列；可在港口间比较同一艘船如何改出不同用途。</x:v>
      </x:c>
      <x:c r="G37" s="16" t="str">
        <x:v>投资等级阈值（发展或武装点数）：0；100；250；450；700；1000；每单位食物可供应水手日（人·游戏日）：300；每单位淡水可供应水手日（人·游戏日）：200；每舱容单位约合体积（立方米）：1；基准航速参考风速（节）：16</x:v>
      </x:c>
      <x:c r="H37" s="16" t="str">
        <x:v>船匠降低施工天数并开启文化改造；武器装备重量限制见每船上限；所有基础数值可用于后续调参，不追加平衡工作。</x:v>
      </x:c>
      <x:c r="I37" s="16" t="str">
        <x:v>同一艘盖伦可改水密舱做耐损护货舰，或装轻骨外壳与后倾桅做快船，两个结构改造不能同时占一个槽。</x:v>
      </x:c>
      <x:c r="J37" s="16" t="str">
        <x:v>FC00</x:v>
      </x:c>
    </x:row>
    <x:row r="38">
      <x:c r="A38" s="2"/>
      <x:c r="B38" s="2"/>
      <x:c r="C38" s="2"/>
      <x:c r="D38" s="2"/>
      <x:c r="E38" s="2"/>
      <x:c r="F38" s="2"/>
      <x:c r="G38" s="2"/>
      <x:c r="H38" s="2"/>
      <x:c r="I38" s="2"/>
      <x:c r="J38" s="2"/>
    </x:row>
  </x:sheetData>
  <x:pageMargins left="0.7" right="0.7" top="0.75" bottom="0.75" header="0.3" footer="0.3"/>
  <x:tableParts count="1">
    <x:tablePart xmlns:r="http://schemas.openxmlformats.org/officeDocument/2006/relationships" r:id="Rf8e1693931ef40eb"/>
  </x:tableParts>
</x:worksheet>
</file>

<file path=xl/worksheets/sheet20.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44" hidden="0" customWidth="1"/>
    <x:col min="3" max="3" width="13" hidden="0" customWidth="1"/>
    <x:col min="4" max="4" width="13" hidden="0" customWidth="1"/>
    <x:col min="5" max="5" width="44" hidden="0" customWidth="1"/>
    <x:col min="6" max="6" width="44" hidden="0" customWidth="1"/>
    <x:col min="7" max="7" width="44" hidden="0" customWidth="1"/>
    <x:col min="8" max="8" width="44" hidden="0" customWidth="1"/>
    <x:col min="9" max="9" width="44" hidden="0" customWidth="1"/>
    <x:col min="10" max="10" width="44" hidden="0" customWidth="1"/>
    <x:col min="11" max="11" width="44" hidden="0" customWidth="1"/>
    <x:col min="12" max="12" width="44" hidden="0" customWidth="1"/>
    <x:col min="13" max="13" width="44" hidden="0" customWidth="1"/>
  </x:cols>
  <x:sheetData>
    <x:row r="1">
      <x:c r="A1" s="2"/>
      <x:c r="B1" s="2"/>
      <x:c r="C1" s="2"/>
      <x:c r="D1" s="2"/>
      <x:c r="E1" s="2"/>
      <x:c r="F1" s="2"/>
      <x:c r="G1" s="2"/>
      <x:c r="H1" s="2"/>
      <x:c r="I1" s="2"/>
      <x:c r="J1" s="2"/>
      <x:c r="K1" s="2"/>
      <x:c r="L1" s="2"/>
      <x:c r="M1" s="2"/>
    </x:row>
    <x:row r="2" ht="28" customHeight="1">
      <x:c r="A2" s="3" t="str">
        <x:v>五船舰队的战术编队</x:v>
      </x:c>
      <x:c r="B2" s="2"/>
      <x:c r="C2" s="2"/>
      <x:c r="D2" s="2"/>
      <x:c r="E2" s="2"/>
      <x:c r="F2" s="2"/>
      <x:c r="G2" s="2"/>
      <x:c r="H2" s="2"/>
      <x:c r="I2" s="2"/>
      <x:c r="J2" s="2"/>
      <x:c r="K2" s="2"/>
      <x:c r="L2" s="2"/>
      <x:c r="M2" s="2"/>
    </x:row>
    <x:row r="3">
      <x:c r="A3" s="2"/>
      <x:c r="B3" s="2"/>
      <x:c r="C3" s="2"/>
      <x:c r="D3" s="2"/>
      <x:c r="E3" s="2"/>
      <x:c r="F3" s="2"/>
      <x:c r="G3" s="2"/>
      <x:c r="H3" s="2"/>
      <x:c r="I3" s="2"/>
      <x:c r="J3" s="2"/>
      <x:c r="K3" s="2"/>
      <x:c r="L3" s="2"/>
      <x:c r="M3" s="2"/>
    </x:row>
    <x:row r="4">
      <x:c r="A4" s="2"/>
      <x:c r="B4" s="2"/>
      <x:c r="C4" s="2"/>
      <x:c r="D4" s="2"/>
      <x:c r="E4" s="2"/>
      <x:c r="F4" s="2"/>
      <x:c r="G4" s="2"/>
      <x:c r="H4" s="2"/>
      <x:c r="I4" s="2"/>
      <x:c r="J4" s="2"/>
      <x:c r="K4" s="2"/>
      <x:c r="L4" s="2"/>
      <x:c r="M4" s="2"/>
    </x:row>
    <x:row r="5" ht="34" customHeight="1">
      <x:c r="A5" s="10" t="str">
        <x:v>编号</x:v>
      </x:c>
      <x:c r="B5" s="10" t="str">
        <x:v>名称</x:v>
      </x:c>
      <x:c r="C5" s="10" t="str">
        <x:v>最少船数</x:v>
      </x:c>
      <x:c r="D5" s="10" t="str">
        <x:v>最多船数</x:v>
      </x:c>
      <x:c r="E5" s="10" t="str">
        <x:v>编队相对位置（米）</x:v>
      </x:c>
      <x:c r="F5" s="10" t="str">
        <x:v>作战意图</x:v>
      </x:c>
      <x:c r="G5" s="10" t="str">
        <x:v>玩家操作</x:v>
      </x:c>
      <x:c r="H5" s="10" t="str">
        <x:v>阵型优势</x:v>
      </x:c>
      <x:c r="I5" s="10" t="str">
        <x:v>弱点</x:v>
      </x:c>
      <x:c r="J5" s="10" t="str">
        <x:v>推荐船型ID</x:v>
      </x:c>
      <x:c r="K5" s="10" t="str">
        <x:v>适用海况</x:v>
      </x:c>
      <x:c r="L5" s="10" t="str">
        <x:v>坐标说明</x:v>
      </x:c>
      <x:c r="M5" s="10" t="str">
        <x:v>资料编号</x:v>
      </x:c>
    </x:row>
    <x:row r="6" ht="132" customHeight="1">
      <x:c r="A6" s="12" t="str">
        <x:v>FM001</x:v>
      </x:c>
      <x:c r="B6" s="12" t="str">
        <x:v>长灯纵列</x:v>
      </x:c>
      <x:c r="C6" s="26" t="n">
        <x:v>3</x:v>
      </x:c>
      <x:c r="D6" s="26" t="n">
        <x:v>5</x:v>
      </x:c>
      <x:c r="E6" s="12" t="str">
        <x:v>战术职责：旗舰；阵位前向坐标（米）：0；阵位右舷方向坐标（米）：0；战术职责：炮战僚舰一；阵位前向坐标（米）：-160；阵位右舷方向坐标（米）：0；战术职责：炮战僚舰二；阵位前向坐标（米）：-320；阵位右舷方向坐标（米）：0；战术职责：支援舰；阵位前向坐标（米）：-480；阵位右舷方向坐标（米）：0；战术职责：尾卫；阵位前向坐标（米）：-640；阵位右舷方向坐标（米）：0</x:v>
      </x:c>
      <x:c r="F6" s="12" t="str">
        <x:v>让同一舷持续开火，少互相挡炮。</x:v>
      </x:c>
      <x:c r="G6" s="12" t="str">
        <x:v>指定沿敌舰队平行的长航线，统一选左舷或右舷。</x:v>
      </x:c>
      <x:c r="H6" s="12" t="str">
        <x:v>火力方向清楚，适合重舰保持稳定瞄准。</x:v>
      </x:c>
      <x:c r="I6" s="12" t="str">
        <x:v>转向时后舰反应慢，易被敌人穿头或断尾。</x:v>
      </x:c>
      <x:c r="J6" s="12" t="str">
        <x:v>S006；S012；S063</x:v>
      </x:c>
      <x:c r="K6" s="12" t="str">
        <x:v>开阔水域、稳定横风</x:v>
      </x:c>
      <x:c r="L6" s="12" t="str">
        <x:v>以旗舰艏向为前，右舷为正；形状随实际船数缩减，航迹按风位与水深执行。</x:v>
      </x:c>
      <x:c r="M6" s="12" t="str">
        <x:v>FC00</x:v>
      </x:c>
    </x:row>
    <x:row r="7" ht="132" customHeight="1">
      <x:c r="A7" s="15" t="str">
        <x:v>FM002</x:v>
      </x:c>
      <x:c r="B7" s="15" t="str">
        <x:v>菱灯护货</x:v>
      </x:c>
      <x:c r="C7" s="30" t="n">
        <x:v>3</x:v>
      </x:c>
      <x:c r="D7" s="30" t="n">
        <x:v>5</x:v>
      </x:c>
      <x:c r="E7" s="15" t="str">
        <x:v>战术职责：旗舰；阵位前向坐标（米）：0；阵位右舷方向坐标（米）：0；战术职责：货船；阵位前向坐标（米）：-180；阵位右舷方向坐标（米）：0；战术职责：左护卫；阵位前向坐标（米）：-150；阵位右舷方向坐标（米）：-170；战术职责：右护卫；阵位前向坐标（米）：-150；阵位右舷方向坐标（米）：170；战术职责：尾卫；阵位前向坐标（米）：-360；阵位右舷方向坐标（米）：0</x:v>
      </x:c>
      <x:c r="F7" s="15" t="str">
        <x:v>把易受击的货船藏在保护面内。</x:v>
      </x:c>
      <x:c r="G7" s="15" t="str">
        <x:v>选择主要来敌方向，菱形整体偏向威胁侧。</x:v>
      </x:c>
      <x:c r="H7" s="15" t="str">
        <x:v>两侧护卫能先承受追击，货船沿中线穿越。</x:v>
      </x:c>
      <x:c r="I7" s="15" t="str">
        <x:v>整体速度受货船限制；舰炮不是全部能射同一目标。</x:v>
      </x:c>
      <x:c r="J7" s="15" t="str">
        <x:v>S010；S063；S003</x:v>
      </x:c>
      <x:c r="K7" s="15" t="str">
        <x:v>跨洋护送、敌快船从两侧逼近</x:v>
      </x:c>
      <x:c r="L7" s="15" t="str">
        <x:v>以旗舰艏向为前，右舷为正；形状随实际船数缩减，航迹按风位与水深执行。</x:v>
      </x:c>
      <x:c r="M7" s="15" t="str">
        <x:v>FC00</x:v>
      </x:c>
    </x:row>
    <x:row r="8" ht="132" customHeight="1">
      <x:c r="A8" s="13" t="str">
        <x:v>FM003</x:v>
      </x:c>
      <x:c r="B8" s="13" t="str">
        <x:v>弯月双钩</x:v>
      </x:c>
      <x:c r="C8" s="27" t="n">
        <x:v>4</x:v>
      </x:c>
      <x:c r="D8" s="27" t="n">
        <x:v>5</x:v>
      </x:c>
      <x:c r="E8" s="13" t="str">
        <x:v>战术职责：旗舰；阵位前向坐标（米）：0；阵位右舷方向坐标（米）：0；战术职责：左钩；阵位前向坐标（米）：120；阵位右舷方向坐标（米）：-270；战术职责：右钩；阵位前向坐标（米）：120；阵位右舷方向坐标（米）：270；战术职责：左支援；阵位前向坐标（米）：-110；阵位右舷方向坐标（米）：-150；战术职责：右支援；阵位前向坐标（米）：-110；阵位右舷方向坐标（米）：150</x:v>
      </x:c>
      <x:c r="F8" s="13" t="str">
        <x:v>逼敌船选择暴露一侧。</x:v>
      </x:c>
      <x:c r="G8" s="13" t="str">
        <x:v>旗舰压住正面，手动给两个钩位各画绕侧航线。</x:v>
      </x:c>
      <x:c r="H8" s="13" t="str">
        <x:v>能同时打船体与索具，迫使敌人放弃一条逃路。</x:v>
      </x:c>
      <x:c r="I8" s="13" t="str">
        <x:v>需要机动优势，重舰很难按时到位。</x:v>
      </x:c>
      <x:c r="J8" s="13" t="str">
        <x:v>S015；S032；S062</x:v>
      </x:c>
      <x:c r="K8" s="13" t="str">
        <x:v>中等风力、无狭窄礁道</x:v>
      </x:c>
      <x:c r="L8" s="13" t="str">
        <x:v>以旗舰艏向为前，右舷为正；形状随实际船数缩减，航迹按风位与水深执行。</x:v>
      </x:c>
      <x:c r="M8" s="13" t="str">
        <x:v>FC00</x:v>
      </x:c>
    </x:row>
    <x:row r="9" ht="132" customHeight="1">
      <x:c r="A9" s="15" t="str">
        <x:v>FM004</x:v>
      </x:c>
      <x:c r="B9" s="15" t="str">
        <x:v>破浪楔</x:v>
      </x:c>
      <x:c r="C9" s="30" t="n">
        <x:v>3</x:v>
      </x:c>
      <x:c r="D9" s="30" t="n">
        <x:v>5</x:v>
      </x:c>
      <x:c r="E9" s="15" t="str">
        <x:v>战术职责：旗舰；阵位前向坐标（米）：0；阵位右舷方向坐标（米）：0；战术职责：左翼；阵位前向坐标（米）：-130；阵位右舷方向坐标（米）：-130；战术职责：右翼；阵位前向坐标（米）：-130；阵位右舷方向坐标（米）：130；战术职责：左后；阵位前向坐标（米）：-280；阵位右舷方向坐标（米）：-220；战术职责：右后；阵位前向坐标（米）：-280；阵位右舷方向坐标（米）：220</x:v>
      </x:c>
      <x:c r="F9" s="15" t="str">
        <x:v>冲开封锁线，让后续船获得通过窗口。</x:v>
      </x:c>
      <x:c r="G9" s="15" t="str">
        <x:v>选定两敌船间的突破点；左右翼提前瞄准其帆。</x:v>
      </x:c>
      <x:c r="H9" s="15" t="str">
        <x:v>舰艏保护强的船能带路，后方船不用同时挨火。</x:v>
      </x:c>
      <x:c r="I9" s="15" t="str">
        <x:v>旗舰若失速会把整阵堵住。</x:v>
      </x:c>
      <x:c r="J9" s="15" t="str">
        <x:v>S012；S033；S056</x:v>
      </x:c>
      <x:c r="K9" s="15" t="str">
        <x:v>需强行穿过稀疏封锁</x:v>
      </x:c>
      <x:c r="L9" s="15" t="str">
        <x:v>以旗舰艏向为前，右舷为正；形状随实际船数缩减，航迹按风位与水深执行。</x:v>
      </x:c>
      <x:c r="M9" s="15" t="str">
        <x:v>FC00</x:v>
      </x:c>
    </x:row>
    <x:row r="10" ht="132" customHeight="1">
      <x:c r="A10" s="13" t="str">
        <x:v>FM005</x:v>
      </x:c>
      <x:c r="B10" s="13" t="str">
        <x:v>剪潮双舷</x:v>
      </x:c>
      <x:c r="C10" s="27" t="n">
        <x:v>2</x:v>
      </x:c>
      <x:c r="D10" s="27" t="n">
        <x:v>5</x:v>
      </x:c>
      <x:c r="E10" s="13" t="str">
        <x:v>战术职责：旗舰；阵位前向坐标（米）：0；阵位右舷方向坐标（米）：-160；战术职责：侧击舰；阵位前向坐标（米）：0；阵位右舷方向坐标（米）：160；战术职责：后卫；阵位前向坐标（米）：-230；阵位右舷方向坐标（米）：0；战术职责：左备援；阵位前向坐标（米）：-260；阵位右舷方向坐标（米）：-210；战术职责：右备援；阵位前向坐标（米）：-260；阵位右舷方向坐标（米）：210</x:v>
      </x:c>
      <x:c r="F10" s="13" t="str">
        <x:v>两舰从目标两边平行掠过。</x:v>
      </x:c>
      <x:c r="G10" s="13" t="str">
        <x:v>为两艘前船各选相反内舷，同步在目标侧面开火。</x:v>
      </x:c>
      <x:c r="H10" s="13" t="str">
        <x:v>敌船难以同时保住两个受击面，适合迫降。</x:v>
      </x:c>
      <x:c r="I10" s="13" t="str">
        <x:v>两船若误入同一侧就失去配合价值。</x:v>
      </x:c>
      <x:c r="J10" s="13" t="str">
        <x:v>S005；S011；S062</x:v>
      </x:c>
      <x:c r="K10" s="13" t="str">
        <x:v>有足够通行宽度的追击战</x:v>
      </x:c>
      <x:c r="L10" s="13" t="str">
        <x:v>以旗舰艏向为前，右舷为正；形状随实际船数缩减，航迹按风位与水深执行。</x:v>
      </x:c>
      <x:c r="M10" s="13" t="str">
        <x:v>FC00</x:v>
      </x:c>
    </x:row>
    <x:row r="11" ht="132" customHeight="1">
      <x:c r="A11" s="15" t="str">
        <x:v>FM006</x:v>
      </x:c>
      <x:c r="B11" s="15" t="str">
        <x:v>雁影斜列</x:v>
      </x:c>
      <x:c r="C11" s="30" t="n">
        <x:v>3</x:v>
      </x:c>
      <x:c r="D11" s="30" t="n">
        <x:v>5</x:v>
      </x:c>
      <x:c r="E11" s="15" t="str">
        <x:v>战术职责：旗舰；阵位前向坐标（米）：0；阵位右舷方向坐标（米）：0；战术职责：僚舰一；阵位前向坐标（米）：-130；阵位右舷方向坐标（米）：110；战术职责：僚舰二；阵位前向坐标（米）：-260；阵位右舷方向坐标（米）：220；战术职责：僚舰三；阵位前向坐标（米）：-390；阵位右舷方向坐标（米）：330；战术职责：尾卫；阵位前向坐标（米）：-520；阵位右舷方向坐标（米）：440</x:v>
      </x:c>
      <x:c r="F11" s="15" t="str">
        <x:v>利用侧后风保持速度并相互掩护。</x:v>
      </x:c>
      <x:c r="G11" s="15" t="str">
        <x:v>把开放一侧朝敌方；根据风向一键镜像整阵。</x:v>
      </x:c>
      <x:c r="H11" s="15" t="str">
        <x:v>每船能看清前方与敌侧，适合边撤边射。</x:v>
      </x:c>
      <x:c r="I11" s="15" t="str">
        <x:v>占横向水面大，窄海不便。</x:v>
      </x:c>
      <x:c r="J11" s="15" t="str">
        <x:v>S008；S031；S039</x:v>
      </x:c>
      <x:c r="K11" s="15" t="str">
        <x:v>稳定侧后风、快速长航或撤离</x:v>
      </x:c>
      <x:c r="L11" s="15" t="str">
        <x:v>以旗舰艏向为前，右舷为正；形状随实际船数缩减，航迹按风位与水深执行。</x:v>
      </x:c>
      <x:c r="M11" s="15" t="str">
        <x:v>FC00</x:v>
      </x:c>
    </x:row>
    <x:row r="12" ht="132" customHeight="1">
      <x:c r="A12" s="13" t="str">
        <x:v>FM007</x:v>
      </x:c>
      <x:c r="B12" s="13" t="str">
        <x:v>锚门扇阵</x:v>
      </x:c>
      <x:c r="C12" s="27" t="n">
        <x:v>3</x:v>
      </x:c>
      <x:c r="D12" s="27" t="n">
        <x:v>5</x:v>
      </x:c>
      <x:c r="E12" s="13" t="str">
        <x:v>战术职责：旗舰；阵位前向坐标（米）：0；阵位右舷方向坐标（米）：0；战术职责：左艏炮舰；阵位前向坐标（米）：-90；阵位右舷方向坐标（米）：-200；战术职责：右艏炮舰；阵位前向坐标（米）：-90；阵位右舷方向坐标（米）：200；战术职责：补给舰；阵位前向坐标（米）：-250；阵位右舷方向坐标（米）：0；战术职责：机动哨；阵位前向坐标（米）：160；阵位右舷方向坐标（米）：0</x:v>
      </x:c>
      <x:c r="F12" s="13" t="str">
        <x:v>用艏炮扇面控制港湾入口。</x:v>
      </x:c>
      <x:c r="G12" s="13" t="str">
        <x:v>给前三船设双锚位置，机动哨引导敌舰进入交叉区。</x:v>
      </x:c>
      <x:c r="H12" s="13" t="str">
        <x:v>桨帆与重艏炮各自发挥，不必假装成战列舰。</x:v>
      </x:c>
      <x:c r="I12" s="13" t="str">
        <x:v>敌人可选择绕行；换阵需要起锚时间。</x:v>
      </x:c>
      <x:c r="J12" s="13" t="str">
        <x:v>S016；S017；S033</x:v>
      </x:c>
      <x:c r="K12" s="13" t="str">
        <x:v>海峡、港湾、静风或逆潮</x:v>
      </x:c>
      <x:c r="L12" s="13" t="str">
        <x:v>以旗舰艏向为前，右舷为正；形状随实际船数缩减，航迹按风位与水深执行。</x:v>
      </x:c>
      <x:c r="M12" s="13" t="str">
        <x:v>FC00</x:v>
      </x:c>
    </x:row>
    <x:row r="13" ht="132" customHeight="1">
      <x:c r="A13" s="15" t="str">
        <x:v>FM008</x:v>
      </x:c>
      <x:c r="B13" s="15" t="str">
        <x:v>星火疏阵</x:v>
      </x:c>
      <x:c r="C13" s="30" t="n">
        <x:v>3</x:v>
      </x:c>
      <x:c r="D13" s="30" t="n">
        <x:v>5</x:v>
      </x:c>
      <x:c r="E13" s="15" t="str">
        <x:v>战术职责：旗舰；阵位前向坐标（米）：0；阵位右舷方向坐标（米）：0；战术职责：左哨；阵位前向坐标（米）：120；阵位右舷方向坐标（米）：-360；战术职责：右哨；阵位前向坐标（米）：120；阵位右舷方向坐标（米）：360；战术职责：左后；阵位前向坐标（米）：-310；阵位右舷方向坐标（米）：-250；战术职责：右后；阵位前向坐标（米）：-310；阵位右舷方向坐标（米）：250</x:v>
      </x:c>
      <x:c r="F13" s="15" t="str">
        <x:v>分散火罐、臼炮和烟幕影响。</x:v>
      </x:c>
      <x:c r="G13" s="15" t="str">
        <x:v>每船追踪一个目标扇区，以旗令统一转向。</x:v>
      </x:c>
      <x:c r="H13" s="15" t="str">
        <x:v>敌区域武器难覆盖多船，适合雾夜搜救。</x:v>
      </x:c>
      <x:c r="I13" s="15" t="str">
        <x:v>火力不集中，某艘被围时支援要时间。</x:v>
      </x:c>
      <x:c r="J13" s="15" t="str">
        <x:v>S004；S028；S072</x:v>
      </x:c>
      <x:c r="K13" s="15" t="str">
        <x:v>夜雾、救援、敌方臼炮较多</x:v>
      </x:c>
      <x:c r="L13" s="15" t="str">
        <x:v>以旗舰艏向为前，右舷为正；形状随实际船数缩减，航迹按风位与水深执行。</x:v>
      </x:c>
      <x:c r="M13" s="15" t="str">
        <x:v>FC00</x:v>
      </x:c>
    </x:row>
    <x:row r="14" ht="132" customHeight="1">
      <x:c r="A14" s="13" t="str">
        <x:v>FM009</x:v>
      </x:c>
      <x:c r="B14" s="13" t="str">
        <x:v>尾灯断后</x:v>
      </x:c>
      <x:c r="C14" s="27" t="n">
        <x:v>3</x:v>
      </x:c>
      <x:c r="D14" s="27" t="n">
        <x:v>5</x:v>
      </x:c>
      <x:c r="E14" s="13" t="str">
        <x:v>战术职责：旗舰；阵位前向坐标（米）：-280；阵位右舷方向坐标（米）：0；战术职责：离场货船；阵位前向坐标（米）：140；阵位右舷方向坐标（米）：0；战术职责：前卫；阵位前向坐标（米）：0；阵位右舷方向坐标（米）：-120；战术职责：烟幕支援；阵位前向坐标（米）：-120；阵位右舷方向坐标（米）：150；战术职责：机动断后；阵位前向坐标（米）：-420；阵位右舷方向坐标（米）：100</x:v>
      </x:c>
      <x:c r="F14" s="13" t="str">
        <x:v>慢船先走，快舰逐段放弃接触。</x:v>
      </x:c>
      <x:c r="G14" s="13" t="str">
        <x:v>选择世界出口，按前到后顺序允许离场；断后船优先切帆。</x:v>
      </x:c>
      <x:c r="H14" s="13" t="str">
        <x:v>可以取得护送胜利而无需歼灭所有敌人。</x:v>
      </x:c>
      <x:c r="I14" s="13" t="str">
        <x:v>最后一舰必须仍有速度或烟幕能力。</x:v>
      </x:c>
      <x:c r="J14" s="13" t="str">
        <x:v>S005；S060；S031</x:v>
      </x:c>
      <x:c r="K14" s="13" t="str">
        <x:v>护送退出、满载返航</x:v>
      </x:c>
      <x:c r="L14" s="13" t="str">
        <x:v>以旗舰艏向为前，右舷为正；形状随实际船数缩减，航迹按风位与水深执行。</x:v>
      </x:c>
      <x:c r="M14" s="13" t="str">
        <x:v>FC00</x:v>
      </x:c>
    </x:row>
    <x:row r="15" ht="132" customHeight="1">
      <x:c r="A15" s="16" t="str">
        <x:v>FM010</x:v>
      </x:c>
      <x:c r="B15" s="16" t="str">
        <x:v>浪脊短链</x:v>
      </x:c>
      <x:c r="C15" s="32" t="n">
        <x:v>2</x:v>
      </x:c>
      <x:c r="D15" s="32" t="n">
        <x:v>5</x:v>
      </x:c>
      <x:c r="E15" s="16" t="str">
        <x:v>战术职责：旗舰；阵位前向坐标（米）：0；阵位右舷方向坐标（米）：0；战术职责：领航僚舟；阵位前向坐标（米）：140；阵位右舷方向坐标（米）：80；战术职责：货舟；阵位前向坐标（米）：-180；阵位右舷方向坐标（米）：40；战术职责：支援舟；阵位前向坐标（米）：-330；阵位右舷方向坐标（米）：-50；战术职责：后哨；阵位前向坐标（米）：-470；阵位右舷方向坐标（米）：30</x:v>
      </x:c>
      <x:c r="F15" s="16" t="str">
        <x:v>沿同一条涌浪与水道连续航行。</x:v>
      </x:c>
      <x:c r="G15" s="16" t="str">
        <x:v>领航舟先测深，后船沿已探足迹前进；遇转端时依次换端。</x:v>
      </x:c>
      <x:c r="H15" s="16" t="str">
        <x:v>适合双体舟、支架舟穿群岛与长距离寻岛。</x:v>
      </x:c>
      <x:c r="I15" s="16" t="str">
        <x:v>主力火力少；被正面重舰截住需要改道。</x:v>
      </x:c>
      <x:c r="J15" s="16" t="str">
        <x:v>S068；S069；S070；S071；S072</x:v>
      </x:c>
      <x:c r="K15" s="16" t="str">
        <x:v>浅礁、洋流、探索远航</x:v>
      </x:c>
      <x:c r="L15" s="16" t="str">
        <x:v>以旗舰艏向为前，右舷为正；形状随实际船数缩减，航迹按风位与水深执行。</x:v>
      </x:c>
      <x:c r="M15" s="16" t="str">
        <x:v>FC00</x:v>
      </x:c>
    </x:row>
    <x:row r="16">
      <x:c r="A16" s="2"/>
      <x:c r="B16" s="2"/>
      <x:c r="C16" s="2"/>
      <x:c r="D16" s="2"/>
      <x:c r="E16" s="2"/>
      <x:c r="F16" s="2"/>
      <x:c r="G16" s="2"/>
      <x:c r="H16" s="2"/>
      <x:c r="I16" s="2"/>
      <x:c r="J16" s="2"/>
      <x:c r="K16" s="2"/>
      <x:c r="L16" s="2"/>
      <x:c r="M16" s="2"/>
    </x:row>
  </x:sheetData>
  <x:pageMargins left="0.7" right="0.7" top="0.75" bottom="0.75" header="0.3" footer="0.3"/>
  <x:tableParts count="1">
    <x:tablePart xmlns:r="http://schemas.openxmlformats.org/officeDocument/2006/relationships" r:id="R24f1c3426822451c"/>
  </x:tableParts>
</x:worksheet>
</file>

<file path=xl/worksheets/sheet21.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44" hidden="0" customWidth="1"/>
    <x:col min="3" max="3" width="44" hidden="0" customWidth="1"/>
    <x:col min="4" max="4" width="44" hidden="0" customWidth="1"/>
    <x:col min="5" max="5" width="13" hidden="0" customWidth="1"/>
    <x:col min="6" max="6" width="13" hidden="0" customWidth="1"/>
    <x:col min="7" max="7" width="13" hidden="0" customWidth="1"/>
    <x:col min="8" max="8" width="13" hidden="0" customWidth="1"/>
    <x:col min="9" max="9" width="13" hidden="0" customWidth="1"/>
    <x:col min="10" max="10" width="44" hidden="0" customWidth="1"/>
    <x:col min="11" max="11" width="44" hidden="0" customWidth="1"/>
    <x:col min="12" max="12" width="44" hidden="0" customWidth="1"/>
    <x:col min="13" max="13" width="44" hidden="0" customWidth="1"/>
    <x:col min="14" max="14" width="44" hidden="0" customWidth="1"/>
  </x:cols>
  <x:sheetData>
    <x:row r="1">
      <x:c r="A1" s="2"/>
      <x:c r="B1" s="2"/>
      <x:c r="C1" s="2"/>
      <x:c r="D1" s="2"/>
      <x:c r="E1" s="2"/>
      <x:c r="F1" s="2"/>
      <x:c r="G1" s="2"/>
      <x:c r="H1" s="2"/>
      <x:c r="I1" s="2"/>
      <x:c r="J1" s="2"/>
      <x:c r="K1" s="2"/>
      <x:c r="L1" s="2"/>
      <x:c r="M1" s="2"/>
      <x:c r="N1" s="2"/>
    </x:row>
    <x:row r="2" ht="28" customHeight="1">
      <x:c r="A2" s="3" t="str">
        <x:v>风、海况与地形的航行表现</x:v>
      </x:c>
      <x:c r="B2" s="2"/>
      <x:c r="C2" s="2"/>
      <x:c r="D2" s="2"/>
      <x:c r="E2" s="2"/>
      <x:c r="F2" s="2"/>
      <x:c r="G2" s="2"/>
      <x:c r="H2" s="2"/>
      <x:c r="I2" s="2"/>
      <x:c r="J2" s="2"/>
      <x:c r="K2" s="2"/>
      <x:c r="L2" s="2"/>
      <x:c r="M2" s="2"/>
      <x:c r="N2" s="2"/>
    </x:row>
    <x:row r="3">
      <x:c r="A3" s="2"/>
      <x:c r="B3" s="2"/>
      <x:c r="C3" s="2"/>
      <x:c r="D3" s="2"/>
      <x:c r="E3" s="2"/>
      <x:c r="F3" s="2"/>
      <x:c r="G3" s="2"/>
      <x:c r="H3" s="2"/>
      <x:c r="I3" s="2"/>
      <x:c r="J3" s="2"/>
      <x:c r="K3" s="2"/>
      <x:c r="L3" s="2"/>
      <x:c r="M3" s="2"/>
      <x:c r="N3" s="2"/>
    </x:row>
    <x:row r="4">
      <x:c r="A4" s="2"/>
      <x:c r="B4" s="2"/>
      <x:c r="C4" s="2"/>
      <x:c r="D4" s="2"/>
      <x:c r="E4" s="2"/>
      <x:c r="F4" s="2"/>
      <x:c r="G4" s="2"/>
      <x:c r="H4" s="2"/>
      <x:c r="I4" s="2"/>
      <x:c r="J4" s="2"/>
      <x:c r="K4" s="2"/>
      <x:c r="L4" s="2"/>
      <x:c r="M4" s="2"/>
      <x:c r="N4" s="2"/>
    </x:row>
    <x:row r="5" ht="34" customHeight="1">
      <x:c r="A5" s="10" t="str">
        <x:v>编号</x:v>
      </x:c>
      <x:c r="B5" s="10" t="str">
        <x:v>名称</x:v>
      </x:c>
      <x:c r="C5" s="10" t="str">
        <x:v>海域</x:v>
      </x:c>
      <x:c r="D5" s="10" t="str">
        <x:v>高权重月份</x:v>
      </x:c>
      <x:c r="E5" s="10" t="str">
        <x:v>风速（节）</x:v>
      </x:c>
      <x:c r="F5" s="10" t="str">
        <x:v>风向变化（度）</x:v>
      </x:c>
      <x:c r="G5" s="10" t="str">
        <x:v>浪高（米）</x:v>
      </x:c>
      <x:c r="H5" s="10" t="str">
        <x:v>能见度（米）</x:v>
      </x:c>
      <x:c r="I5" s="10" t="str">
        <x:v>流速（节）</x:v>
      </x:c>
      <x:c r="J5" s="10" t="str">
        <x:v>影响参数</x:v>
      </x:c>
      <x:c r="K5" s="10" t="str">
        <x:v>应对动作</x:v>
      </x:c>
      <x:c r="L5" s="10" t="str">
        <x:v>HD-2D画面</x:v>
      </x:c>
      <x:c r="M5" s="10" t="str">
        <x:v>资料编号</x:v>
      </x:c>
      <x:c r="N5" s="10" t="str">
        <x:v>设计说明</x:v>
      </x:c>
    </x:row>
    <x:row r="6" ht="42" customHeight="1">
      <x:c r="A6" s="12" t="str">
        <x:v>SC001</x:v>
      </x:c>
      <x:c r="B6" s="12" t="str">
        <x:v>镜海微风</x:v>
      </x:c>
      <x:c r="C6" s="12" t="str">
        <x:v>R03；R06；R08</x:v>
      </x:c>
      <x:c r="D6" s="12" t="str">
        <x:v>4；5；9</x:v>
      </x:c>
      <x:c r="E6" s="26" t="n">
        <x:v>2</x:v>
      </x:c>
      <x:c r="F6" s="26" t="n">
        <x:v>8</x:v>
      </x:c>
      <x:c r="G6" s="26" t="n">
        <x:v>0.3</x:v>
      </x:c>
      <x:c r="H6" s="26" t="n">
        <x:v>2200</x:v>
      </x:c>
      <x:c r="I6" s="26" t="n">
        <x:v>0.4</x:v>
      </x:c>
      <x:c r="J6" s="12" t="str">
        <x:v>风帆航速倍率：0.35；舰炮命中率倍率：1.1</x:v>
      </x:c>
      <x:c r="K6" s="12" t="str">
        <x:v>桨帆与轻帆先行动，重帆船依靠艏艉炮守住自己。</x:v>
      </x:c>
      <x:c r="L6" s="12" t="str">
        <x:v>海面像碎金玻璃，低频波纹清楚映出帆影。</x:v>
      </x:c>
      <x:c r="M6" s="12" t="str">
        <x:v>FC00</x:v>
      </x:c>
      <x:c r="N6" s="12" t="str">
        <x:v>原创海战海况模板；季节仅作地区出现权重，不是精确气象预报。</x:v>
      </x:c>
    </x:row>
    <x:row r="7" ht="42" customHeight="1">
      <x:c r="A7" s="15" t="str">
        <x:v>SC002</x:v>
      </x:c>
      <x:c r="B7" s="15" t="str">
        <x:v>长风晴海</x:v>
      </x:c>
      <x:c r="C7" s="15" t="str">
        <x:v>R02；R04；R10</x:v>
      </x:c>
      <x:c r="D7" s="15" t="str">
        <x:v>3；4；5；9</x:v>
      </x:c>
      <x:c r="E7" s="30" t="n">
        <x:v>16</x:v>
      </x:c>
      <x:c r="F7" s="30" t="n">
        <x:v>5</x:v>
      </x:c>
      <x:c r="G7" s="30" t="n">
        <x:v>1.2</x:v>
      </x:c>
      <x:c r="H7" s="30" t="n">
        <x:v>3200</x:v>
      </x:c>
      <x:c r="I7" s="30" t="n">
        <x:v>0.8</x:v>
      </x:c>
      <x:c r="J7" s="15" t="str">
        <x:v>风帆航速倍率：1.0；舰炮命中率倍率：1.0</x:v>
      </x:c>
      <x:c r="K7" s="15" t="str">
        <x:v>最适合预定阵型，比较各文化船帆的风位差。</x:v>
      </x:c>
      <x:c r="L7" s="15" t="str">
        <x:v>深蓝海底色、细碎白浪，远帆边缘有明亮轮廓光。</x:v>
      </x:c>
      <x:c r="M7" s="15" t="str">
        <x:v>FC00</x:v>
      </x:c>
      <x:c r="N7" s="15" t="str">
        <x:v>原创海战海况模板；季节仅作地区出现权重，不是精确气象预报。</x:v>
      </x:c>
    </x:row>
    <x:row r="8" ht="42" customHeight="1">
      <x:c r="A8" s="13" t="str">
        <x:v>SC003</x:v>
      </x:c>
      <x:c r="B8" s="13" t="str">
        <x:v>北海横浪</x:v>
      </x:c>
      <x:c r="C8" s="13" t="str">
        <x:v>R01；R02</x:v>
      </x:c>
      <x:c r="D8" s="13" t="str">
        <x:v>10；11；12；1；2</x:v>
      </x:c>
      <x:c r="E8" s="27" t="n">
        <x:v>22</x:v>
      </x:c>
      <x:c r="F8" s="27" t="n">
        <x:v>12</x:v>
      </x:c>
      <x:c r="G8" s="27" t="n">
        <x:v>2.6</x:v>
      </x:c>
      <x:c r="H8" s="27" t="n">
        <x:v>2300</x:v>
      </x:c>
      <x:c r="I8" s="27" t="n">
        <x:v>1</x:v>
      </x:c>
      <x:c r="J8" s="13" t="str">
        <x:v>横摇状态炮击命中率倍率：0.8；满帆帆具持续伤害（点/分钟）：4</x:v>
      </x:c>
      <x:c r="K8" s="13" t="str">
        <x:v>缩成战帆稳定炮口；高舷商船不要把全侧面交给横浪。</x:v>
      </x:c>
      <x:c r="L8" s="13" t="str">
        <x:v>暗蓝斜浪一层层扫过，船体摇动与灯笼摆幅可读。</x:v>
      </x:c>
      <x:c r="M8" s="13" t="str">
        <x:v>FC00</x:v>
      </x:c>
      <x:c r="N8" s="13" t="str">
        <x:v>原创海战海况模板；季节仅作地区出现权重，不是精确气象预报。</x:v>
      </x:c>
    </x:row>
    <x:row r="9" ht="42" customHeight="1">
      <x:c r="A9" s="15" t="str">
        <x:v>SC004</x:v>
      </x:c>
      <x:c r="B9" s="15" t="str">
        <x:v>乳白海雾</x:v>
      </x:c>
      <x:c r="C9" s="15" t="str">
        <x:v>R01；R02；R09；R10</x:v>
      </x:c>
      <x:c r="D9" s="15" t="str">
        <x:v>3；4；5；6</x:v>
      </x:c>
      <x:c r="E9" s="30" t="n">
        <x:v>8</x:v>
      </x:c>
      <x:c r="F9" s="30" t="n">
        <x:v>8</x:v>
      </x:c>
      <x:c r="G9" s="30" t="n">
        <x:v>0.8</x:v>
      </x:c>
      <x:c r="H9" s="30" t="n">
        <x:v>450</x:v>
      </x:c>
      <x:c r="I9" s="30" t="n">
        <x:v>0.7</x:v>
      </x:c>
      <x:c r="J9" s="15" t="str">
        <x:v>目视被发现概率倍率：0.3；信号传达范围倍率：0.55</x:v>
      </x:c>
      <x:c r="K9" s="15" t="str">
        <x:v>用哨船与旗灯保持联系，避免全队挤成一个目标。</x:v>
      </x:c>
      <x:c r="L9" s="15" t="str">
        <x:v>白雾分层，近处暖舱灯和湿帆清晰，远船化作淡影。</x:v>
      </x:c>
      <x:c r="M9" s="15" t="str">
        <x:v>FC00</x:v>
      </x:c>
      <x:c r="N9" s="15" t="str">
        <x:v>原创海战海况模板；季节仅作地区出现权重，不是精确气象预报。</x:v>
      </x:c>
    </x:row>
    <x:row r="10" ht="42" customHeight="1">
      <x:c r="A10" s="13" t="str">
        <x:v>SC005</x:v>
      </x:c>
      <x:c r="B10" s="13" t="str">
        <x:v>热带雨幕</x:v>
      </x:c>
      <x:c r="C10" s="13" t="str">
        <x:v>R04；R05；R07；R08；R10</x:v>
      </x:c>
      <x:c r="D10" s="13" t="str">
        <x:v>5；6；7；8；9</x:v>
      </x:c>
      <x:c r="E10" s="27" t="n">
        <x:v>18</x:v>
      </x:c>
      <x:c r="F10" s="27" t="n">
        <x:v>20</x:v>
      </x:c>
      <x:c r="G10" s="27" t="n">
        <x:v>1.8</x:v>
      </x:c>
      <x:c r="H10" s="27" t="n">
        <x:v>1000</x:v>
      </x:c>
      <x:c r="I10" s="27" t="n">
        <x:v>0.8</x:v>
      </x:c>
      <x:c r="J10" s="13" t="str">
        <x:v>无遮蔽时装填时间倍率：1.25；起火概率倍率：0.4；甲板作业疲劳倍率：1.1</x:v>
      </x:c>
      <x:c r="K10" s="13" t="str">
        <x:v>把炮手移到有遮板的炮组，适合用雨幕掩护补给与撤离。</x:v>
      </x:c>
      <x:c r="L10" s="13" t="str">
        <x:v>斜细雨、灰绿海面和金色港灯，炮火短暂照亮雨丝。</x:v>
      </x:c>
      <x:c r="M10" s="13" t="str">
        <x:v>FC00</x:v>
      </x:c>
      <x:c r="N10" s="13" t="str">
        <x:v>原创海战海况模板；季节仅作地区出现权重，不是精确气象预报。</x:v>
      </x:c>
    </x:row>
    <x:row r="11" ht="42" customHeight="1">
      <x:c r="A11" s="15" t="str">
        <x:v>SC006</x:v>
      </x:c>
      <x:c r="B11" s="15" t="str">
        <x:v>季风顺潮</x:v>
      </x:c>
      <x:c r="C11" s="15" t="str">
        <x:v>R05；R06；R07；R08</x:v>
      </x:c>
      <x:c r="D11" s="15" t="str">
        <x:v>6；7；8</x:v>
      </x:c>
      <x:c r="E11" s="30" t="n">
        <x:v>20</x:v>
      </x:c>
      <x:c r="F11" s="30" t="n">
        <x:v>8</x:v>
      </x:c>
      <x:c r="G11" s="30" t="n">
        <x:v>2</x:v>
      </x:c>
      <x:c r="H11" s="30" t="n">
        <x:v>2600</x:v>
      </x:c>
      <x:c r="I11" s="30" t="n">
        <x:v>2</x:v>
      </x:c>
      <x:c r="J11" s="15" t="str">
        <x:v>优势航向航速增减（节）：1.5；逆流航速增减（节）：-1.5</x:v>
      </x:c>
      <x:c r="K11" s="15" t="str">
        <x:v>选择顺季风曲线进行奔袭或离场，返航要另找时间窗。</x:v>
      </x:c>
      <x:c r="L11" s="15" t="str">
        <x:v>大片有方向的浪纹，低云边缘透出暖光。</x:v>
      </x:c>
      <x:c r="M11" s="15" t="str">
        <x:v>FC00</x:v>
      </x:c>
      <x:c r="N11" s="15" t="str">
        <x:v>原创海战海况模板；季节仅作地区出现权重，不是精确气象预报。</x:v>
      </x:c>
    </x:row>
    <x:row r="12" ht="42" customHeight="1">
      <x:c r="A12" s="13" t="str">
        <x:v>SC007</x:v>
      </x:c>
      <x:c r="B12" s="13" t="str">
        <x:v>海峡急流</x:v>
      </x:c>
      <x:c r="C12" s="13" t="str">
        <x:v>R03；R06；R08；R09</x:v>
      </x:c>
      <x:c r="D12" s="13" t="str">
        <x:v>1；2；3；4；5；6；7；8；9；10；11；12</x:v>
      </x:c>
      <x:c r="E12" s="27" t="n">
        <x:v>12</x:v>
      </x:c>
      <x:c r="F12" s="27" t="n">
        <x:v>10</x:v>
      </x:c>
      <x:c r="G12" s="27" t="n">
        <x:v>1</x:v>
      </x:c>
      <x:c r="H12" s="27" t="n">
        <x:v>2000</x:v>
      </x:c>
      <x:c r="I12" s="27" t="n">
        <x:v>3.5</x:v>
      </x:c>
      <x:c r="J12" s="13" t="str">
        <x:v>海流中转向漂移速度（米/秒）：1.8；锚泊船首定向加成（比例值）：0.15</x:v>
      </x:c>
      <x:c r="K12" s="13" t="str">
        <x:v>用浅船抄内弯、重艏炮落锚控口，转弯要算漂移。</x:v>
      </x:c>
      <x:c r="L12" s="13" t="str">
        <x:v>水色分成蓝绿两股流线，礁端拉出长白涡。</x:v>
      </x:c>
      <x:c r="M12" s="13" t="str">
        <x:v>FC00</x:v>
      </x:c>
      <x:c r="N12" s="13" t="str">
        <x:v>原创海战海况模板；季节仅作地区出现权重，不是精确气象预报。</x:v>
      </x:c>
    </x:row>
    <x:row r="13" ht="42" customHeight="1">
      <x:c r="A13" s="15" t="str">
        <x:v>SC008</x:v>
      </x:c>
      <x:c r="B13" s="15" t="str">
        <x:v>珊瑚泻湖</x:v>
      </x:c>
      <x:c r="C13" s="15" t="str">
        <x:v>R05；R08；R10；R12</x:v>
      </x:c>
      <x:c r="D13" s="15" t="str">
        <x:v>2；3；4；5；9；10</x:v>
      </x:c>
      <x:c r="E13" s="30" t="n">
        <x:v>11</x:v>
      </x:c>
      <x:c r="F13" s="30" t="n">
        <x:v>10</x:v>
      </x:c>
      <x:c r="G13" s="30" t="n">
        <x:v>0.6</x:v>
      </x:c>
      <x:c r="H13" s="30" t="n">
        <x:v>2800</x:v>
      </x:c>
      <x:c r="I13" s="30" t="n">
        <x:v>1.2</x:v>
      </x:c>
      <x:c r="J13" s="15" t="str">
        <x:v>已测水深显示范围（米）：350；重型船体航线限制：1</x:v>
      </x:c>
      <x:c r="K13" s="15" t="str">
        <x:v>小船走浅槽，重舰停在外缘；可让敌人选择追浅船或守深水。</x:v>
      </x:c>
      <x:c r="L13" s="15" t="str">
        <x:v>透明松石海面下可见珊瑚与浅沙，但未知区仍有深度留白。</x:v>
      </x:c>
      <x:c r="M13" s="15" t="str">
        <x:v>FC00</x:v>
      </x:c>
      <x:c r="N13" s="15" t="str">
        <x:v>原创海战海况模板；季节仅作地区出现权重，不是精确气象预报。</x:v>
      </x:c>
    </x:row>
    <x:row r="14" ht="57" customHeight="1">
      <x:c r="A14" s="13" t="str">
        <x:v>SC009</x:v>
      </x:c>
      <x:c r="B14" s="13" t="str">
        <x:v>骤起阵风</x:v>
      </x:c>
      <x:c r="C14" s="13" t="str">
        <x:v>R01；R03；R07；R09；R12</x:v>
      </x:c>
      <x:c r="D14" s="13" t="str">
        <x:v>3；4；9；10</x:v>
      </x:c>
      <x:c r="E14" s="27" t="n">
        <x:v>28</x:v>
      </x:c>
      <x:c r="F14" s="27" t="n">
        <x:v>35</x:v>
      </x:c>
      <x:c r="G14" s="27" t="n">
        <x:v>2.2</x:v>
      </x:c>
      <x:c r="H14" s="27" t="n">
        <x:v>2100</x:v>
      </x:c>
      <x:c r="I14" s="27" t="n">
        <x:v>0.9</x:v>
      </x:c>
      <x:c r="J14" s="13" t="str">
        <x:v>阵风间隔（秒）：35；阵风持续时间（秒）：8；满帆航速加成（比例值）：0.3；满帆每次阵风帆具伤害（点/次）：6</x:v>
      </x:c>
      <x:c r="K14" s="13" t="str">
        <x:v>提前调帆抓 8 s 加速窗，也可主动放弃极速保住主桅。</x:v>
      </x:c>
      <x:c r="L14" s="13" t="str">
        <x:v>一阵深色风影掠过海面，帆布先紧绷再发亮。</x:v>
      </x:c>
      <x:c r="M14" s="13" t="str">
        <x:v>FC00</x:v>
      </x:c>
      <x:c r="N14" s="13" t="str">
        <x:v>原创海战海况模板；季节仅作地区出现权重，不是精确气象预报。</x:v>
      </x:c>
    </x:row>
    <x:row r="15" ht="42" customHeight="1">
      <x:c r="A15" s="15" t="str">
        <x:v>SC010</x:v>
      </x:c>
      <x:c r="B15" s="15" t="str">
        <x:v>火炮后的无星夜</x:v>
      </x:c>
      <x:c r="C15" s="15" t="str">
        <x:v>R02；R03；R06；R10</x:v>
      </x:c>
      <x:c r="D15" s="15" t="str">
        <x:v>1；2；3；4；5；6；7；8；9；10；11；12</x:v>
      </x:c>
      <x:c r="E15" s="30" t="n">
        <x:v>9</x:v>
      </x:c>
      <x:c r="F15" s="30" t="n">
        <x:v>10</x:v>
      </x:c>
      <x:c r="G15" s="30" t="n">
        <x:v>1.1</x:v>
      </x:c>
      <x:c r="H15" s="30" t="n">
        <x:v>700</x:v>
      </x:c>
      <x:c r="I15" s="30" t="n">
        <x:v>0.5</x:v>
      </x:c>
      <x:c r="J15" s="15" t="str">
        <x:v>夜间被发现概率倍率：0.5；熄灯被侦测概率倍率：0.6；是否可使用星象导航：False</x:v>
      </x:c>
      <x:c r="K15" s="15" t="str">
        <x:v>照亮目标、熄灯转向或投假灯，双方都要选择看清还是隐藏。</x:v>
      </x:c>
      <x:c r="L15" s="15" t="str">
        <x:v>主画面为靛蓝与暖橙炮光，烟像短暂漂浮的墨层。</x:v>
      </x:c>
      <x:c r="M15" s="15" t="str">
        <x:v>FC00</x:v>
      </x:c>
      <x:c r="N15" s="15" t="str">
        <x:v>原创海战海况模板；季节仅作地区出现权重，不是精确气象预报。</x:v>
      </x:c>
    </x:row>
    <x:row r="16" ht="42" customHeight="1">
      <x:c r="A16" s="13" t="str">
        <x:v>SC011</x:v>
      </x:c>
      <x:c r="B16" s="13" t="str">
        <x:v>南岬风暴</x:v>
      </x:c>
      <x:c r="C16" s="13" t="str">
        <x:v>R11；R12</x:v>
      </x:c>
      <x:c r="D16" s="13" t="str">
        <x:v>5；6；7；8</x:v>
      </x:c>
      <x:c r="E16" s="27" t="n">
        <x:v>38</x:v>
      </x:c>
      <x:c r="F16" s="27" t="n">
        <x:v>25</x:v>
      </x:c>
      <x:c r="G16" s="27" t="n">
        <x:v>5</x:v>
      </x:c>
      <x:c r="H16" s="27" t="n">
        <x:v>900</x:v>
      </x:c>
      <x:c r="I16" s="27" t="n">
        <x:v>2.8</x:v>
      </x:c>
      <x:c r="J16" s="13" t="str">
        <x:v>满帆帆具持续伤害（点/分钟）：18；炮术命中率倍率：0.6；拖带航速倍率：0.75</x:v>
      </x:c>
      <x:c r="K16" s="13" t="str">
        <x:v>改用缩帆、互相保持视线，任务重点常转成救援和通过危险段。</x:v>
      </x:c>
      <x:c r="L16" s="13" t="str">
        <x:v>巨大暗蓝浪脊仍保持像素边缘，远处闪电只在瞬间显露双船剪影。</x:v>
      </x:c>
      <x:c r="M16" s="13" t="str">
        <x:v>FC00</x:v>
      </x:c>
      <x:c r="N16" s="13" t="str">
        <x:v>原创海战海况模板；季节仅作地区出现权重，不是精确气象预报。</x:v>
      </x:c>
    </x:row>
    <x:row r="17" ht="42" customHeight="1">
      <x:c r="A17" s="16" t="str">
        <x:v>SC012</x:v>
      </x:c>
      <x:c r="B17" s="16" t="str">
        <x:v>碎冰晨潮</x:v>
      </x:c>
      <x:c r="C17" s="16" t="str">
        <x:v>R01</x:v>
      </x:c>
      <x:c r="D17" s="16" t="str">
        <x:v>11；12；1；2；3</x:v>
      </x:c>
      <x:c r="E17" s="32" t="n">
        <x:v>14</x:v>
      </x:c>
      <x:c r="F17" s="32" t="n">
        <x:v>8</x:v>
      </x:c>
      <x:c r="G17" s="32" t="n">
        <x:v>1.2</x:v>
      </x:c>
      <x:c r="H17" s="32" t="n">
        <x:v>1800</x:v>
      </x:c>
      <x:c r="I17" s="32" t="n">
        <x:v>0.9</x:v>
      </x:c>
      <x:c r="J17" s="16" t="str">
        <x:v>触冰船体伤害（HP）：25；水道可用宽度倍率：0.6；船员寒冷疲劳倍率：1.25</x:v>
      </x:c>
      <x:c r="K17" s="16" t="str">
        <x:v>先开冰路再让货船跟随，火炮把浮冰当障碍而非无限爆炸物。</x:v>
      </x:c>
      <x:c r="L17" s="16" t="str">
        <x:v>灰青海面漂着薄冰，低太阳让帆和舱灯呈金粉色。</x:v>
      </x:c>
      <x:c r="M17" s="16" t="str">
        <x:v>FC00</x:v>
      </x:c>
      <x:c r="N17" s="16" t="str">
        <x:v>原创海战海况模板；季节仅作地区出现权重，不是精确气象预报。</x:v>
      </x:c>
    </x:row>
    <x:row r="18">
      <x:c r="A18" s="2"/>
      <x:c r="B18" s="2"/>
      <x:c r="C18" s="2"/>
      <x:c r="D18" s="2"/>
      <x:c r="E18" s="2"/>
      <x:c r="F18" s="2"/>
      <x:c r="G18" s="2"/>
      <x:c r="H18" s="2"/>
      <x:c r="I18" s="2"/>
      <x:c r="J18" s="2"/>
      <x:c r="K18" s="2"/>
      <x:c r="L18" s="2"/>
      <x:c r="M18" s="2"/>
      <x:c r="N18" s="2"/>
    </x:row>
  </x:sheetData>
  <x:pageMargins left="0.7" right="0.7" top="0.75" bottom="0.75" header="0.3" footer="0.3"/>
  <x:tableParts count="1">
    <x:tablePart xmlns:r="http://schemas.openxmlformats.org/officeDocument/2006/relationships" r:id="Rcbf3aeda500249e3"/>
  </x:tableParts>
</x:worksheet>
</file>

<file path=xl/worksheets/sheet2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44" hidden="0" customWidth="1"/>
    <x:col min="3" max="3" width="44" hidden="0" customWidth="1"/>
    <x:col min="4" max="4" width="44" hidden="0" customWidth="1"/>
    <x:col min="5" max="5" width="44" hidden="0" customWidth="1"/>
    <x:col min="6" max="6" width="13" hidden="0" customWidth="1"/>
    <x:col min="7" max="7" width="44" hidden="0" customWidth="1"/>
    <x:col min="8" max="8" width="44" hidden="0" customWidth="1"/>
    <x:col min="9" max="9" width="44" hidden="0" customWidth="1"/>
    <x:col min="10" max="10" width="44" hidden="0" customWidth="1"/>
    <x:col min="11" max="11" width="44" hidden="0" customWidth="1"/>
    <x:col min="12" max="12" width="44" hidden="0" customWidth="1"/>
    <x:col min="13" max="13" width="44" hidden="0" customWidth="1"/>
    <x:col min="14" max="14" width="44" hidden="0" customWidth="1"/>
    <x:col min="15" max="15" width="44" hidden="0" customWidth="1"/>
    <x:col min="16" max="16" width="44" hidden="0" customWidth="1"/>
  </x:cols>
  <x:sheetData>
    <x:row r="1">
      <x:c r="A1" s="2"/>
      <x:c r="B1" s="2"/>
      <x:c r="C1" s="2"/>
      <x:c r="D1" s="2"/>
      <x:c r="E1" s="2"/>
      <x:c r="F1" s="2"/>
      <x:c r="G1" s="2"/>
      <x:c r="H1" s="2"/>
      <x:c r="I1" s="2"/>
      <x:c r="J1" s="2"/>
      <x:c r="K1" s="2"/>
      <x:c r="L1" s="2"/>
      <x:c r="M1" s="2"/>
      <x:c r="N1" s="2"/>
      <x:c r="O1" s="2"/>
      <x:c r="P1" s="2"/>
    </x:row>
    <x:row r="2" ht="28" customHeight="1">
      <x:c r="A2" s="3" t="str">
        <x:v>有不同目标的海上遭遇</x:v>
      </x:c>
      <x:c r="B2" s="2"/>
      <x:c r="C2" s="2"/>
      <x:c r="D2" s="2"/>
      <x:c r="E2" s="2"/>
      <x:c r="F2" s="2"/>
      <x:c r="G2" s="2"/>
      <x:c r="H2" s="2"/>
      <x:c r="I2" s="2"/>
      <x:c r="J2" s="2"/>
      <x:c r="K2" s="2"/>
      <x:c r="L2" s="2"/>
      <x:c r="M2" s="2"/>
      <x:c r="N2" s="2"/>
      <x:c r="O2" s="2"/>
      <x:c r="P2" s="2"/>
    </x:row>
    <x:row r="3">
      <x:c r="A3" s="2"/>
      <x:c r="B3" s="2"/>
      <x:c r="C3" s="2"/>
      <x:c r="D3" s="2"/>
      <x:c r="E3" s="2"/>
      <x:c r="F3" s="2"/>
      <x:c r="G3" s="2"/>
      <x:c r="H3" s="2"/>
      <x:c r="I3" s="2"/>
      <x:c r="J3" s="2"/>
      <x:c r="K3" s="2"/>
      <x:c r="L3" s="2"/>
      <x:c r="M3" s="2"/>
      <x:c r="N3" s="2"/>
      <x:c r="O3" s="2"/>
      <x:c r="P3" s="2"/>
    </x:row>
    <x:row r="4">
      <x:c r="A4" s="2"/>
      <x:c r="B4" s="2"/>
      <x:c r="C4" s="2"/>
      <x:c r="D4" s="2"/>
      <x:c r="E4" s="2"/>
      <x:c r="F4" s="2"/>
      <x:c r="G4" s="2"/>
      <x:c r="H4" s="2"/>
      <x:c r="I4" s="2"/>
      <x:c r="J4" s="2"/>
      <x:c r="K4" s="2"/>
      <x:c r="L4" s="2"/>
      <x:c r="M4" s="2"/>
      <x:c r="N4" s="2"/>
      <x:c r="O4" s="2"/>
      <x:c r="P4" s="2"/>
    </x:row>
    <x:row r="5" ht="34" customHeight="1">
      <x:c r="A5" s="10" t="str">
        <x:v>编号</x:v>
      </x:c>
      <x:c r="B5" s="10" t="str">
        <x:v>名称</x:v>
      </x:c>
      <x:c r="C5" s="10" t="str">
        <x:v>海域</x:v>
      </x:c>
      <x:c r="D5" s="10" t="str">
        <x:v>关联港口ID</x:v>
      </x:c>
      <x:c r="E5" s="10" t="str">
        <x:v>关联港口</x:v>
      </x:c>
      <x:c r="F5" s="10" t="str">
        <x:v>推荐武装等级</x:v>
      </x:c>
      <x:c r="G5" s="10" t="str">
        <x:v>海况ID</x:v>
      </x:c>
      <x:c r="H5" s="10" t="str">
        <x:v>敌方舰队</x:v>
      </x:c>
      <x:c r="I5" s="10" t="str">
        <x:v>主要目标</x:v>
      </x:c>
      <x:c r="J5" s="10" t="str">
        <x:v>行动过程</x:v>
      </x:c>
      <x:c r="K5" s="10" t="str">
        <x:v>另一种完成方式</x:v>
      </x:c>
      <x:c r="L5" s="10" t="str">
        <x:v>额外目标</x:v>
      </x:c>
      <x:c r="M5" s="10" t="str">
        <x:v>奖励</x:v>
      </x:c>
      <x:c r="N5" s="10" t="str">
        <x:v>贸易与世界后续</x:v>
      </x:c>
      <x:c r="O5" s="10" t="str">
        <x:v>场景瞬间</x:v>
      </x:c>
      <x:c r="P5" s="10" t="str">
        <x:v>资料编号</x:v>
      </x:c>
    </x:row>
    <x:row r="6" ht="42" customHeight="1">
      <x:c r="A6" s="12" t="str">
        <x:v>EN001</x:v>
      </x:c>
      <x:c r="B6" s="12" t="str">
        <x:v>第一笔不该沉没的货</x:v>
      </x:c>
      <x:c r="C6" s="12" t="str">
        <x:v>R02</x:v>
      </x:c>
      <x:c r="D6" s="12" t="str">
        <x:v>P011</x:v>
      </x:c>
      <x:c r="E6" s="12" t="str">
        <x:v>里斯本</x:v>
      </x:c>
      <x:c r="F6" s="26" t="n">
        <x:v>0</x:v>
      </x:c>
      <x:c r="G6" s="12" t="str">
        <x:v>SC002</x:v>
      </x:c>
      <x:c r="H6" s="12" t="str">
        <x:v>船型 ID：S059；数量：2；战术职责：索取过路费的轻快私掠船</x:v>
      </x:c>
      <x:c r="I6" s="12" t="str">
        <x:v>把一艘 NPC 葡萄酒船带过出口，货物保全至少 70%。</x:v>
      </x:c>
      <x:c r="J6" s="12" t="str">
        <x:v>先安排护送路线；用入门炮打前来拦截的小船帆；护卫断后。</x:v>
      </x:c>
      <x:c r="K6" s="12" t="str">
        <x:v>付出 1200 银币过路费可保货，但少拿港务署奖励。</x:v>
      </x:c>
      <x:c r="L6" s="12" t="str">
        <x:v>迫降一艘敌船，首次体验不击沉获胜。</x:v>
      </x:c>
      <x:c r="M6" s="12" t="str">
        <x:v>银币奖励（银币）：7000；港口关系增减（点）：5；改造图纸 ID：M012</x:v>
      </x:c>
      <x:c r="N6" s="12" t="str">
        <x:v>里斯本酒商关系上升，未来 7 天酒类采购量 +15%。</x:v>
      </x:c>
      <x:c r="O6" s="12" t="str">
        <x:v>夕阳像金箔铺海，白帆小船从灯塔下第一次驶向远方。</x:v>
      </x:c>
      <x:c r="P6" s="12" t="str">
        <x:v>FC00</x:v>
      </x:c>
    </x:row>
    <x:row r="7" ht="57" customHeight="1">
      <x:c r="A7" s="15" t="str">
        <x:v>EN002</x:v>
      </x:c>
      <x:c r="B7" s="15" t="str">
        <x:v>蓝陶与炮烟</x:v>
      </x:c>
      <x:c r="C7" s="15" t="str">
        <x:v>R03</x:v>
      </x:c>
      <x:c r="D7" s="15" t="str">
        <x:v>P022；P021</x:v>
      </x:c>
      <x:c r="E7" s="15" t="str">
        <x:v>热那亚；马赛</x:v>
      </x:c>
      <x:c r="F7" s="30" t="n">
        <x:v>1</x:v>
      </x:c>
      <x:c r="G7" s="15" t="str">
        <x:v>SC001</x:v>
      </x:c>
      <x:c r="H7" s="15" t="str">
        <x:v>船型 ID：S014；数量：2；战术职责：意图接舷的桨帆艇；船型 ID：S013；数量：1；战术职责：装着被盗瓷器的货艇</x:v>
      </x:c>
      <x:c r="I7" s="15" t="str">
        <x:v>取得被盗的 20 单位瓷器，目标货艇船体保持 30% 以上。</x:v>
      </x:c>
      <x:c r="J7" s="15" t="str">
        <x:v>先拦住两艘桨艇，再拆货艇帆，派小队接收货物。</x:v>
      </x:c>
      <x:c r="K7" s="15" t="str">
        <x:v>逼货艇船长交货；若货艇沉没只能完成低额残货回收。</x:v>
      </x:c>
      <x:c r="L7" s="15" t="str">
        <x:v>全场不使用火罐。</x:v>
      </x:c>
      <x:c r="M7" s="15" t="str">
        <x:v>银币奖励（银币）：14000；额外载货量（舱容单位）：完整瓷器最多 8 单位可留作报酬；改造图纸 ID：M016</x:v>
      </x:c>
      <x:c r="N7" s="15" t="str">
        <x:v>热那亚艺术品订单恢复 10 天；完整追回额外开启一单精品陶器订单。</x:v>
      </x:c>
      <x:c r="O7" s="15" t="str">
        <x:v>蓝白陶片纹帆与橘色炮烟互相呼应，海面漂着几只密封木箱。</x:v>
      </x:c>
      <x:c r="P7" s="15" t="str">
        <x:v>FC00</x:v>
      </x:c>
    </x:row>
    <x:row r="8" ht="57" customHeight="1">
      <x:c r="A8" s="13" t="str">
        <x:v>EN003</x:v>
      </x:c>
      <x:c r="B8" s="13" t="str">
        <x:v>追上最后一封信</x:v>
      </x:c>
      <x:c r="C8" s="13" t="str">
        <x:v>R01</x:v>
      </x:c>
      <x:c r="D8" s="13" t="str">
        <x:v>P004；P009</x:v>
      </x:c>
      <x:c r="E8" s="13" t="str">
        <x:v>吕贝克；里加</x:v>
      </x:c>
      <x:c r="F8" s="27" t="n">
        <x:v>2</x:v>
      </x:c>
      <x:c r="G8" s="13" t="str">
        <x:v>SC003</x:v>
      </x:c>
      <x:c r="H8" s="13" t="str">
        <x:v>船型 ID：S005；数量：1；战术职责：携带伪造通行证的快速护卫舰；船型 ID：S004；数量：1；战术职责：阻止追击的炮艇</x:v>
      </x:c>
      <x:c r="I8" s="13" t="str">
        <x:v>在信使穿过海峡出口前拿到文件；限战术时间 9 分钟。</x:v>
      </x:c>
      <x:c r="J8" s="13" t="str">
        <x:v>艏炮追射索具，派浅吃水舰切近岸路线，必要时舍弃与炮艇对射。</x:v>
      </x:c>
      <x:c r="K8" s="13" t="str">
        <x:v>先发现假证据线索，可远距旗语让信使主动停船。</x:v>
      </x:c>
      <x:c r="L8" s="13" t="str">
        <x:v>己方货船完全不受损。</x:v>
      </x:c>
      <x:c r="M8" s="13" t="str">
        <x:v>银币奖励（银币）：26000；港口关系增减（点）：8；改造图纸 ID：M006</x:v>
      </x:c>
      <x:c r="N8" s="13" t="str">
        <x:v>解除未来 12 天的贸易文件检查延迟；两港交易手续费 -1 个百分点。</x:v>
      </x:c>
      <x:c r="O8" s="13" t="str">
        <x:v>横浪中一张红蜡信封贴在海图上，追逐沿长灯信号展开。</x:v>
      </x:c>
      <x:c r="P8" s="13" t="str">
        <x:v>FC00</x:v>
      </x:c>
    </x:row>
    <x:row r="9" ht="42" customHeight="1">
      <x:c r="A9" s="15" t="str">
        <x:v>EN004</x:v>
      </x:c>
      <x:c r="B9" s="15" t="str">
        <x:v>珍珠绳下的暗影</x:v>
      </x:c>
      <x:c r="C9" s="15" t="str">
        <x:v>R06</x:v>
      </x:c>
      <x:c r="D9" s="15" t="str">
        <x:v>P058；P055</x:v>
      </x:c>
      <x:c r="E9" s="15" t="str">
        <x:v>巴士拉；马斯喀特</x:v>
      </x:c>
      <x:c r="F9" s="30" t="n">
        <x:v>1</x:v>
      </x:c>
      <x:c r="G9" s="15" t="str">
        <x:v>SC007</x:v>
      </x:c>
      <x:c r="H9" s="15" t="str">
        <x:v>船型 ID：S030；数量：2；战术职责：掠夺采珠队的快船</x:v>
      </x:c>
      <x:c r="I9" s="15" t="str">
        <x:v>保护两队潜水者各完成 3 次采珠回收，不能放弃仍在水下的队伍。</x:v>
      </x:c>
      <x:c r="J9" s="15" t="str">
        <x:v>让采珠船落锚，护卫在上流拦截，敌接近时先召回潜水队再移动。</x:v>
      </x:c>
      <x:c r="K9" s="15" t="str">
        <x:v>以 12 单位普通珠货换取对方离开，仍可完成保护但失去货奖。</x:v>
      </x:c>
      <x:c r="L9" s="15" t="str">
        <x:v>回收一只旧铜印章任务物。</x:v>
      </x:c>
      <x:c r="M9" s="15" t="str">
        <x:v>银币奖励（银币）：16000；独特奖励：深蓝铜印章探索线索；改造图纸 ID：M032</x:v>
      </x:c>
      <x:c r="N9" s="15" t="str">
        <x:v>巴士拉采珠行会开放珍珠采购配额 15 天。</x:v>
      </x:c>
      <x:c r="O9" s="15" t="str">
        <x:v>松石浅海上铜铃摇晃，潜水绳影在船下变细。</x:v>
      </x:c>
      <x:c r="P9" s="15" t="str">
        <x:v>FC00</x:v>
      </x:c>
    </x:row>
    <x:row r="10" ht="57" customHeight="1">
      <x:c r="A10" s="13" t="str">
        <x:v>EN005</x:v>
      </x:c>
      <x:c r="B10" s="13" t="str">
        <x:v>把星灯从火里带回来</x:v>
      </x:c>
      <x:c r="C10" s="13" t="str">
        <x:v>R05</x:v>
      </x:c>
      <x:c r="D10" s="13" t="str">
        <x:v>P048</x:v>
      </x:c>
      <x:c r="E10" s="13" t="str">
        <x:v>蒙巴萨</x:v>
      </x:c>
      <x:c r="F10" s="27" t="n">
        <x:v>2</x:v>
      </x:c>
      <x:c r="G10" s="13" t="str">
        <x:v>SC005</x:v>
      </x:c>
      <x:c r="H10" s="13" t="str">
        <x:v>船型 ID：S027；数量：2；战术职责：封锁起火运输船的掠袭舰</x:v>
      </x:c>
      <x:c r="I10" s="13" t="str">
        <x:v>救出 36 名运输船乘员与一箱航海星灯。</x:v>
      </x:c>
      <x:c r="J10" s="13" t="str">
        <x:v>先烟幕隔开追兵；一船喷水，一船放救生筏，第三船打断敌人接近。</x:v>
      </x:c>
      <x:c r="K10" s="13" t="str">
        <x:v>迫使敌舰停火，允许救援后各自撤出。</x:v>
      </x:c>
      <x:c r="L10" s="13" t="str">
        <x:v>运输船没有沉没则额外获其商会友好。</x:v>
      </x:c>
      <x:c r="M10" s="13" t="str">
        <x:v>银币奖励（银币）：23000；港口关系增减（点）：10；改造图纸 ID：M029；海员招募线索：为船医或补给长支线提供救援事件标记</x:v>
      </x:c>
      <x:c r="N10" s="13" t="str">
        <x:v>蒙巴萨 10 天内药品需求 +15%，修船服务价格 -10%。</x:v>
      </x:c>
      <x:c r="O10" s="13" t="str">
        <x:v>雨幕里的金色船灯逐盏熄灭，玩家的小筏把最后一盏接上自己甲板。</x:v>
      </x:c>
      <x:c r="P10" s="13" t="str">
        <x:v>FC00</x:v>
      </x:c>
    </x:row>
    <x:row r="11" ht="42" customHeight="1">
      <x:c r="A11" s="15" t="str">
        <x:v>EN006</x:v>
      </x:c>
      <x:c r="B11" s="15" t="str">
        <x:v>海门之下的空隙</x:v>
      </x:c>
      <x:c r="C11" s="15" t="str">
        <x:v>R06</x:v>
      </x:c>
      <x:c r="D11" s="15" t="str">
        <x:v>P056</x:v>
      </x:c>
      <x:c r="E11" s="15" t="str">
        <x:v>霍尔木兹</x:v>
      </x:c>
      <x:c r="F11" s="30" t="n">
        <x:v>3</x:v>
      </x:c>
      <x:c r="G11" s="15" t="str">
        <x:v>SC004</x:v>
      </x:c>
      <x:c r="H11" s="15" t="str">
        <x:v>船型 ID：S033；数量：1；战术职责：双锚重艏炮舰；船型 ID：S032；数量：2；战术职责：巡逻护卫舰</x:v>
      </x:c>
      <x:c r="I11" s="15" t="str">
        <x:v>带 40 单位粮食穿过链闸，接济被围港口。</x:v>
      </x:c>
      <x:c r="J11" s="15" t="str">
        <x:v>找出岸炮盲侧；烟幕挡远射；拆链闸或先截补给驳船。</x:v>
      </x:c>
      <x:c r="K11" s="15" t="str">
        <x:v>提交港口商会签章，换成检查后通行，利润降低但不必开战。</x:v>
      </x:c>
      <x:c r="L11" s="15" t="str">
        <x:v>不击沉港内民用补给船。</x:v>
      </x:c>
      <x:c r="M11" s="15" t="str">
        <x:v>银币奖励（银币）：36000；港口关系增减（点）：12；改造图纸 ID：M036</x:v>
      </x:c>
      <x:c r="N11" s="15" t="str">
        <x:v>成功后该港短缺粮价从事件倍率 1.8 恢复到 1.2，玩家可获得固定保供奖金。</x:v>
      </x:c>
      <x:c r="O11" s="15" t="str">
        <x:v>高岩与矮城之间一道铁链贴着水面，夜灯像沿海峡布开的珠子。</x:v>
      </x:c>
      <x:c r="P11" s="15" t="str">
        <x:v>FC00</x:v>
      </x:c>
    </x:row>
    <x:row r="12" ht="42" customHeight="1">
      <x:c r="A12" s="13" t="str">
        <x:v>EN007</x:v>
      </x:c>
      <x:c r="B12" s="13" t="str">
        <x:v>暴风眼里的慢船</x:v>
      </x:c>
      <x:c r="C12" s="13" t="str">
        <x:v>R11</x:v>
      </x:c>
      <x:c r="D12" s="13" t="str">
        <x:v>P111</x:v>
      </x:c>
      <x:c r="E12" s="13" t="str">
        <x:v>瓦尔帕莱索</x:v>
      </x:c>
      <x:c r="F12" s="27" t="n">
        <x:v>4</x:v>
      </x:c>
      <x:c r="G12" s="13" t="str">
        <x:v>SC011</x:v>
      </x:c>
      <x:c r="H12" s="13" t="str">
        <x:v>船型 ID：S067；数量：1；战术职责：无敌意失速探险船</x:v>
      </x:c>
      <x:c r="I12" s="13" t="str">
        <x:v>把失去主桅的 NPC 探险船拖过两段浪脊出口，最多丢失 20% 记录箱。</x:v>
      </x:c>
      <x:c r="J12" s="13" t="str">
        <x:v>调整压舱、缩帆、接拖；用另一艘船回收被浪打落的档案。</x:v>
      </x:c>
      <x:c r="K12" s="13" t="str">
        <x:v>在避风湾架船台修出应急帆，消耗 2 天后与目标共同航行。</x:v>
      </x:c>
      <x:c r="L12" s="13" t="str">
        <x:v>救回全部 5 箱记录。</x:v>
      </x:c>
      <x:c r="M12" s="13" t="str">
        <x:v>银币奖励（银币）：44000；改造图纸 ID：M064；发现声望奖励（点）：120</x:v>
      </x:c>
      <x:c r="N12" s="13" t="str">
        <x:v>获得南岬新航图，未来同海路预计航期减少 2 天。</x:v>
      </x:c>
      <x:c r="O12" s="13" t="str">
        <x:v>暗蓝风暴中两条船像被一根金线牵住，灯火在浪背后交替出现。</x:v>
      </x:c>
      <x:c r="P12" s="13" t="str">
        <x:v>FC00</x:v>
      </x:c>
    </x:row>
    <x:row r="13" ht="42" customHeight="1">
      <x:c r="A13" s="15" t="str">
        <x:v>EN008</x:v>
      </x:c>
      <x:c r="B13" s="15" t="str">
        <x:v>双方都不想毁掉的船</x:v>
      </x:c>
      <x:c r="C13" s="15" t="str">
        <x:v>R02</x:v>
      </x:c>
      <x:c r="D13" s="15" t="str">
        <x:v>P019</x:v>
      </x:c>
      <x:c r="E13" s="15" t="str">
        <x:v>圣马洛</x:v>
      </x:c>
      <x:c r="F13" s="30" t="n">
        <x:v>3</x:v>
      </x:c>
      <x:c r="G13" s="15" t="str">
        <x:v>SC002</x:v>
      </x:c>
      <x:c r="H13" s="15" t="str">
        <x:v>船型 ID：S011；数量：1；战术职责：提出海上竞斗的宿敌船长</x:v>
      </x:c>
      <x:c r="I13" s="15" t="str">
        <x:v>以约定规则迫使对方降旗：不得击沉、不得火攻、不得袭击旁观船。</x:v>
      </x:c>
      <x:c r="J13" s="15" t="str">
        <x:v>选择打帆或艉舵，寻一次纵射优势；可以接受军官对决。</x:v>
      </x:c>
      <x:c r="K13" s="15" t="str">
        <x:v>完成两圈标定航路领先 25 s，也可在炮战前赢得挑战。</x:v>
      </x:c>
      <x:c r="L13" s="15" t="str">
        <x:v>双方船体均保留 40% 以上。</x:v>
      </x:c>
      <x:c r="M13" s="15" t="str">
        <x:v>银币奖励（银币）：30000；竞争势力关系增减（点）：15；独特奖励：宿敌签名的航海罗盘</x:v>
      </x:c>
      <x:c r="N13" s="15" t="str">
        <x:v>赢得圣马洛私人商会的高级委托入口。</x:v>
      </x:c>
      <x:c r="O13" s="15" t="str">
        <x:v>岸边小艇挂满彩旗，两个船长的斗嘴比炮声还响。</x:v>
      </x:c>
      <x:c r="P13" s="15" t="str">
        <x:v>FC00</x:v>
      </x:c>
    </x:row>
    <x:row r="14" ht="57" customHeight="1">
      <x:c r="A14" s="13" t="str">
        <x:v>EN009</x:v>
      </x:c>
      <x:c r="B14" s="13" t="str">
        <x:v>船队里多出的一面旗</x:v>
      </x:c>
      <x:c r="C14" s="13" t="str">
        <x:v>R10</x:v>
      </x:c>
      <x:c r="D14" s="13" t="str">
        <x:v>P095；P099</x:v>
      </x:c>
      <x:c r="E14" s="13" t="str">
        <x:v>哈瓦那；罗亚尔港</x:v>
      </x:c>
      <x:c r="F14" s="27" t="n">
        <x:v>3</x:v>
      </x:c>
      <x:c r="G14" s="13" t="str">
        <x:v>SC010</x:v>
      </x:c>
      <x:c r="H14" s="13" t="str">
        <x:v>船型 ID：S060；数量：1；战术职责：伪装混入船队的抢货船；船型 ID：S061；数量：2；战术职责：远处接应舰</x:v>
      </x:c>
      <x:c r="I14" s="13" t="str">
        <x:v>在货物被转走前辨认伪装船，并保住至少 4/5 箱任务货。</x:v>
      </x:c>
      <x:c r="J14" s="13" t="str">
        <x:v>看旗语回答、灯号位置和帆型；标记嫌疑船后追住它，不要误伤委托商船。</x:v>
      </x:c>
      <x:c r="K14" s="13" t="str">
        <x:v>通过翻译官提前核对口令，港外完成检查即可解除伏击。</x:v>
      </x:c>
      <x:c r="L14" s="13" t="str">
        <x:v>取回敌方接应航线。</x:v>
      </x:c>
      <x:c r="M14" s="13" t="str">
        <x:v>银币奖励（银币）：34000；港口关系增减（点）：8；改造图纸 ID：M059</x:v>
      </x:c>
      <x:c r="N14" s="13" t="str">
        <x:v>开启一条绕开夜间掠袭区的高价快运订单。</x:v>
      </x:c>
      <x:c r="O14" s="13" t="str">
        <x:v>一面近乎正确的旗在无星夜里抖动，船艉却多亮了一盏陌生灯。</x:v>
      </x:c>
      <x:c r="P14" s="13" t="str">
        <x:v>FC00</x:v>
      </x:c>
    </x:row>
    <x:row r="15" ht="72" customHeight="1">
      <x:c r="A15" s="15" t="str">
        <x:v>EN010</x:v>
      </x:c>
      <x:c r="B15" s="15" t="str">
        <x:v>七帆工匠的出逃</x:v>
      </x:c>
      <x:c r="C15" s="15" t="str">
        <x:v>R08</x:v>
      </x:c>
      <x:c r="D15" s="15" t="str">
        <x:v>P075；P071</x:v>
      </x:c>
      <x:c r="E15" s="15" t="str">
        <x:v>望加锡；万丹</x:v>
      </x:c>
      <x:c r="F15" s="30" t="n">
        <x:v>4</x:v>
      </x:c>
      <x:c r="G15" s="15" t="str">
        <x:v>SC009</x:v>
      </x:c>
      <x:c r="H15" s="15" t="str">
        <x:v>船型 ID：S046；数量：1；战术职责：扣押工匠的重武装荣克；船型 ID：S043；数量：1；战术职责：装载图纸的慢商船；船型 ID：S042；数量：2；战术职责：快速支架侦察船</x:v>
      </x:c>
      <x:c r="I15" s="15" t="str">
        <x:v>把工匠与 3 卷图纸完整带出战区。</x:v>
      </x:c>
      <x:c r="J15" s="15" t="str">
        <x:v>先切开侦察船视线，再逼停图纸商船；选择登舷营救或交换。</x:v>
      </x:c>
      <x:c r="K15" s="15" t="str">
        <x:v>交出一种外地船体图纸进行工艺交换，以谈判取得人和卷轴。</x:v>
      </x:c>
      <x:c r="L15" s="15" t="str">
        <x:v>不让图纸接触火焰。</x:v>
      </x:c>
      <x:c r="M15" s="15" t="str">
        <x:v>银币奖励（银币）：42000；改造图纸 ID：M046；解锁船型 ID：S045</x:v>
      </x:c>
      <x:c r="N15" s="15" t="str">
        <x:v>望加锡发展投资一次性 +40，工坊新增高级帆布订单。</x:v>
      </x:c>
      <x:c r="O15" s="15" t="str">
        <x:v>七片白帆在阵风里依次亮起，工匠抱着红绳卷轴站在低舷边。</x:v>
      </x:c>
      <x:c r="P15" s="15" t="str">
        <x:v>FC00</x:v>
      </x:c>
    </x:row>
    <x:row r="16" ht="57" customHeight="1">
      <x:c r="A16" s="13" t="str">
        <x:v>EN011</x:v>
      </x:c>
      <x:c r="B16" s="13" t="str">
        <x:v>珊瑚之门的回身</x:v>
      </x:c>
      <x:c r="C16" s="13" t="str">
        <x:v>R12</x:v>
      </x:c>
      <x:c r="D16" s="13" t="str">
        <x:v>P117</x:v>
      </x:c>
      <x:c r="E16" s="13" t="str">
        <x:v>马塔瓦伊湾</x:v>
      </x:c>
      <x:c r="F16" s="27" t="n">
        <x:v>2</x:v>
      </x:c>
      <x:c r="G16" s="13" t="str">
        <x:v>SC008</x:v>
      </x:c>
      <x:c r="H16" s="13" t="str">
        <x:v>船型 ID：S061；数量：1；战术职责：追逐探岛船的外海重帆船；船型 ID：S042；数量：2；战术职责：熟悉浅湾的当地竞争船</x:v>
      </x:c>
      <x:c r="I16" s="13" t="str">
        <x:v>把文化交流礼箱送到内湾，主船至少穿过 3 个测深标记。</x:v>
      </x:c>
      <x:c r="J16" s="13" t="str">
        <x:v>先测一段浅槽，双体或支架船利用换端，重护卫留在外湾牵制。</x:v>
      </x:c>
      <x:c r="K16" s="13" t="str">
        <x:v>等涨潮后由大船进湾；多花一天，礼箱仍可完整交付。</x:v>
      </x:c>
      <x:c r="L16" s="13" t="str">
        <x:v>把追兵迫停在安全深水区并招降。</x:v>
      </x:c>
      <x:c r="M16" s="13" t="str">
        <x:v>银币奖励（银币）：20000；改造图纸 ID：M069；文化关系增减（点）：12</x:v>
      </x:c>
      <x:c r="N16" s="13" t="str">
        <x:v>解锁太平洋浅湾接驳商贸，普通大船仍需依赖小舟转运。</x:v>
      </x:c>
      <x:c r="O16" s="13" t="str">
        <x:v>透明浅海里一条深蓝航道像丝带，双体帆舟从礁影间轻轻翻转方向。</x:v>
      </x:c>
      <x:c r="P16" s="13" t="str">
        <x:v>FC00</x:v>
      </x:c>
    </x:row>
    <x:row r="17" ht="57" customHeight="1">
      <x:c r="A17" s="15" t="str">
        <x:v>EN012</x:v>
      </x:c>
      <x:c r="B17" s="15" t="str">
        <x:v>宝船不是沉船</x:v>
      </x:c>
      <x:c r="C17" s="15" t="str">
        <x:v>R10</x:v>
      </x:c>
      <x:c r="D17" s="15" t="str">
        <x:v>P095</x:v>
      </x:c>
      <x:c r="E17" s="15" t="str">
        <x:v>哈瓦那</x:v>
      </x:c>
      <x:c r="F17" s="30" t="n">
        <x:v>5</x:v>
      </x:c>
      <x:c r="G17" s="15" t="str">
        <x:v>SC002</x:v>
      </x:c>
      <x:c r="H17" s="15" t="str">
        <x:v>船型 ID：S063；数量：1；战术职责：重型护航旗舰；船型 ID：S010；数量：2；战术职责：珍货盖伦；船型 ID：S062；数量：1；战术职责：追击护卫舰</x:v>
      </x:c>
      <x:c r="I17" s="15" t="str">
        <x:v>取走指定的一艘珍货盖伦与至少 60% 任务货。</x:v>
      </x:c>
      <x:c r="J17" s="15" t="str">
        <x:v>诱走快速护卫，打断目标帆并压士气；接收后安排船员或拖船退出。</x:v>
      </x:c>
      <x:c r="K17" s="15" t="str">
        <x:v>掌握失主契据后可要求护航舰放行该船，任务改为保护返港。</x:v>
      </x:c>
      <x:c r="L17" s="15" t="str">
        <x:v>让两艘非目标船撤走，减少战后关系损失。</x:v>
      </x:c>
      <x:c r="M17" s="15" t="str">
        <x:v>银币奖励（银币）：70000；可俘获船型 ID：S010；货物奖励：任务货保全余量中最多 50 单位</x:v>
      </x:c>
      <x:c r="N17" s="15" t="str">
        <x:v>哈瓦那贵重品行情短时下跌 12%；原所有者或收货商会按选择改变关系。</x:v>
      </x:c>
      <x:c r="O17" s="15" t="str">
        <x:v>夕照的金色艉楼与深蓝大帆并排，炮口之间能看见被绑牢的锦缎箱。</x:v>
      </x:c>
      <x:c r="P17" s="15" t="str">
        <x:v>FC00</x:v>
      </x:c>
    </x:row>
    <x:row r="18" ht="42" customHeight="1">
      <x:c r="A18" s="13" t="str">
        <x:v>EN013</x:v>
      </x:c>
      <x:c r="B18" s="13" t="str">
        <x:v>一封礼书胜过一排炮</x:v>
      </x:c>
      <x:c r="C18" s="13" t="str">
        <x:v>R09</x:v>
      </x:c>
      <x:c r="D18" s="13" t="str">
        <x:v>P088；P082</x:v>
      </x:c>
      <x:c r="E18" s="13" t="str">
        <x:v>那霸；泉州</x:v>
      </x:c>
      <x:c r="F18" s="27" t="n">
        <x:v>2</x:v>
      </x:c>
      <x:c r="G18" s="13" t="str">
        <x:v>SC002</x:v>
      </x:c>
      <x:c r="H18" s="13" t="str">
        <x:v>船型 ID：S051；数量：1；战术职责：被误判的使节船；船型 ID：S049；数量：2；战术职责：戒备的护卫船</x:v>
      </x:c>
      <x:c r="I18" s="13" t="str">
        <x:v>找出真正货权并让使节船抵港；战斗不是唯一入口。</x:v>
      </x:c>
      <x:c r="J18" s="13" t="str">
        <x:v>检查帆号与礼货封签；若误会已开火，使用警告空包与停船令重新建立对话。</x:v>
      </x:c>
      <x:c r="K18" s="13" t="str">
        <x:v>翻译官与礼货柜可直接开启交换礼书路线。</x:v>
      </x:c>
      <x:c r="L18" s="13" t="str">
        <x:v>整个事件中任何一方船体损失低于 15%。</x:v>
      </x:c>
      <x:c r="M18" s="13" t="str">
        <x:v>银币奖励（银币）：18000；港口关系增减（点）：15；改造图纸 ID：M054</x:v>
      </x:c>
      <x:c r="N18" s="13" t="str">
        <x:v>泉州与那霸各开放一笔限期礼货大单，利润来自信任关系。</x:v>
      </x:c>
      <x:c r="O18" s="13" t="str">
        <x:v>朱漆礼柜、乳白帆与蓝色海面，冲突化解后礼旗在两船间交换。</x:v>
      </x:c>
      <x:c r="P18" s="13" t="str">
        <x:v>FC00</x:v>
      </x:c>
    </x:row>
    <x:row r="19" ht="57" customHeight="1">
      <x:c r="A19" s="15" t="str">
        <x:v>EN014</x:v>
      </x:c>
      <x:c r="B19" s="15" t="str">
        <x:v>雨宫开仓</x:v>
      </x:c>
      <x:c r="C19" s="15" t="str">
        <x:v>R07</x:v>
      </x:c>
      <x:c r="D19" s="15" t="str">
        <x:v>P068</x:v>
      </x:c>
      <x:c r="E19" s="15" t="str">
        <x:v>吉大港</x:v>
      </x:c>
      <x:c r="F19" s="30" t="n">
        <x:v>4</x:v>
      </x:c>
      <x:c r="G19" s="15" t="str">
        <x:v>SC005</x:v>
      </x:c>
      <x:c r="H19" s="15" t="str">
        <x:v>船型 ID：S038；数量：2；战术职责：封锁粮港的艏炮舰；船型 ID：S037；数量：3；战术职责：准备登舷的桨帆快艇</x:v>
      </x:c>
      <x:c r="I19" s="15" t="str">
        <x:v>让至少 100 单位粮食进入港口，同时保住 NPC 粮仓船。</x:v>
      </x:c>
      <x:c r="J19" s="15" t="str">
        <x:v>用重舰牵制艏炮，浅艇割断登舷绳，粮仓船沿雨幕航道穿过。</x:v>
      </x:c>
      <x:c r="K19" s="15" t="str">
        <x:v>接触封锁方后可用救灾公约令其开放一条限定粮路。</x:v>
      </x:c>
      <x:c r="L19" s="15" t="str">
        <x:v>救回被强行登舷的两艘小粮舟。</x:v>
      </x:c>
      <x:c r="M19" s="15" t="str">
        <x:v>银币奖励（银币）：52000；港口关系增减（点）：18；改造图纸 ID：M041</x:v>
      </x:c>
      <x:c r="N19" s="15" t="str">
        <x:v>粮食短缺事件结束，未来 14 天非粮制造品需求 +15%，发展度 +35。</x:v>
      </x:c>
      <x:c r="O19" s="15" t="str">
        <x:v>巨大蓝色粮帆在雨里像一面墙，舱门打开时整齐米袋反射暖光。</x:v>
      </x:c>
      <x:c r="P19" s="15" t="str">
        <x:v>FC00</x:v>
      </x:c>
    </x:row>
    <x:row r="20" ht="57" customHeight="1">
      <x:c r="A20" s="13" t="str">
        <x:v>EN015</x:v>
      </x:c>
      <x:c r="B20" s="13" t="str">
        <x:v>风浪写成的地图</x:v>
      </x:c>
      <x:c r="C20" s="13" t="str">
        <x:v>R12</x:v>
      </x:c>
      <x:c r="D20" s="13" t="str">
        <x:v>P118；P116</x:v>
      </x:c>
      <x:c r="E20" s="13" t="str">
        <x:v>科乌港；怀特马塔湾</x:v>
      </x:c>
      <x:c r="F20" s="27" t="n">
        <x:v>4</x:v>
      </x:c>
      <x:c r="G20" s="13" t="str">
        <x:v>SC009</x:v>
      </x:c>
      <x:c r="H20" s="13" t="str">
        <x:v>船型 ID：S070；数量：2；战术职责：争夺航位图的竞争航舟；船型 ID：S068；数量：2；战术职责：高速侦察舟</x:v>
      </x:c>
      <x:c r="I20" s="13" t="str">
        <x:v>在三个浪脊观察区各保持 20 s，带回完整航位记录。</x:v>
      </x:c>
      <x:c r="J20" s="13" t="str">
        <x:v>让领航船观察，护卫船打断对方接近；可以与竞争者比试互换资料。</x:v>
      </x:c>
      <x:c r="K20" s="13" t="str">
        <x:v>率先救回一次落水竞争船员，可转为共同测绘。</x:v>
      </x:c>
      <x:c r="L20" s="13" t="str">
        <x:v>两支队伍都无人被遗弃。</x:v>
      </x:c>
      <x:c r="M20" s="13" t="str">
        <x:v>银币奖励（银币）：38000；改造图纸 ID：M070；发现声望奖励（点）：180</x:v>
      </x:c>
      <x:c r="N20" s="13" t="str">
        <x:v>开启一条跨太平洋长航路线和新的礼货交换窗口。</x:v>
      </x:c>
      <x:c r="O20" s="13" t="str">
        <x:v>蟹爪帆在大海上形成几片月牙，地图上的细线随着涌浪一点点接起来。</x:v>
      </x:c>
      <x:c r="P20" s="13" t="str">
        <x:v>FC00</x:v>
      </x:c>
    </x:row>
    <x:row r="21" ht="57" customHeight="1">
      <x:c r="A21" s="15" t="str">
        <x:v>EN016</x:v>
      </x:c>
      <x:c r="B21" s="15" t="str">
        <x:v>翠河账簿</x:v>
      </x:c>
      <x:c r="C21" s="15" t="str">
        <x:v>R11</x:v>
      </x:c>
      <x:c r="D21" s="15" t="str">
        <x:v>P106</x:v>
      </x:c>
      <x:c r="E21" s="15" t="str">
        <x:v>贝伦</x:v>
      </x:c>
      <x:c r="F21" s="30" t="n">
        <x:v>2</x:v>
      </x:c>
      <x:c r="G21" s="15" t="str">
        <x:v>SC007</x:v>
      </x:c>
      <x:c r="H21" s="15" t="str">
        <x:v>船型 ID：S065；数量：2；战术职责：带走货款与账簿的河舟；船型 ID：S059；数量：1；战术职责：河口接应船</x:v>
      </x:c>
      <x:c r="I21" s="15" t="str">
        <x:v>拿到账簿，并找回至少 25 单位被转卖的药草。</x:v>
      </x:c>
      <x:c r="J21" s="15" t="str">
        <x:v>沿两条支流分队，不能用吃水过深的船硬追；逼停后检查不同货舱。</x:v>
      </x:c>
      <x:c r="K21" s="15" t="str">
        <x:v>在河口先截接应船，凭付款书劝返河舟。</x:v>
      </x:c>
      <x:c r="L21" s="15" t="str">
        <x:v>药草没有被火和海水污染。</x:v>
      </x:c>
      <x:c r="M21" s="15" t="str">
        <x:v>银币奖励（银币）：21000；改造图纸 ID：M063；港口关系增减（点）：9</x:v>
      </x:c>
      <x:c r="N21" s="15" t="str">
        <x:v>贝伦药材交易恢复正常手续费，解锁一位内河中间商。</x:v>
      </x:c>
      <x:c r="O21" s="15" t="str">
        <x:v>翠绿河面分成两条狭枝，低货棚之间悬着淡黄色药草。</x:v>
      </x:c>
      <x:c r="P21" s="15" t="str">
        <x:v>FC00</x:v>
      </x:c>
    </x:row>
    <x:row r="22" ht="57" customHeight="1">
      <x:c r="A22" s="13" t="str">
        <x:v>EN017</x:v>
      </x:c>
      <x:c r="B22" s="13" t="str">
        <x:v>冰灯的第五条船</x:v>
      </x:c>
      <x:c r="C22" s="13" t="str">
        <x:v>R01</x:v>
      </x:c>
      <x:c r="D22" s="13" t="str">
        <x:v>P007；P009</x:v>
      </x:c>
      <x:c r="E22" s="13" t="str">
        <x:v>斯德哥尔摩；里加</x:v>
      </x:c>
      <x:c r="F22" s="27" t="n">
        <x:v>4</x:v>
      </x:c>
      <x:c r="G22" s="13" t="str">
        <x:v>SC012</x:v>
      </x:c>
      <x:c r="H22" s="13" t="str">
        <x:v>船型 ID：S004；数量：2；战术职责：拦截补给的群岛炮艇；船型 ID：S002；数量：1；战术职责：需要救援的友好商船</x:v>
      </x:c>
      <x:c r="I22" s="13" t="str">
        <x:v>使 5 艘任务商船全部驶过冰道，玩家舰队之外的 NPC 由旗令引导。</x:v>
      </x:c>
      <x:c r="J22" s="13" t="str">
        <x:v>先开冰道、侧翼压制、最后一船用拖缆通过；不用把商船加入作战名额。</x:v>
      </x:c>
      <x:c r="K22" s="13" t="str">
        <x:v>与拦截方交换冬粮配额，可取得临时停战。</x:v>
      </x:c>
      <x:c r="L22" s="13" t="str">
        <x:v>不得遗留最后一艘没能跟上的商船。</x:v>
      </x:c>
      <x:c r="M22" s="13" t="str">
        <x:v>银币奖励（银币）：56000；改造图纸 ID：M004；M006；港口关系增减（点）：14</x:v>
      </x:c>
      <x:c r="N22" s="13" t="str">
        <x:v>里加冬季木材与谷物供给 +20%，连续 12 天有商会感激折扣。</x:v>
      </x:c>
      <x:c r="O22" s="13" t="str">
        <x:v>晨光把碎冰染成金粉，五盏艉灯像一串终于完整的星。</x:v>
      </x:c>
      <x:c r="P22" s="13" t="str">
        <x:v>FC00</x:v>
      </x:c>
    </x:row>
    <x:row r="23" ht="57" customHeight="1">
      <x:c r="A23" s="16" t="str">
        <x:v>EN018</x:v>
      </x:c>
      <x:c r="B23" s="16" t="str">
        <x:v>群星之海的三条航路</x:v>
      </x:c>
      <x:c r="C23" s="16" t="str">
        <x:v>R02；R06；R08；R12</x:v>
      </x:c>
      <x:c r="D23" s="16" t="str">
        <x:v>P011；P056；P069；P118</x:v>
      </x:c>
      <x:c r="E23" s="16" t="str">
        <x:v>里斯本；霍尔木兹；马六甲；科乌港</x:v>
      </x:c>
      <x:c r="F23" s="32" t="n">
        <x:v>5</x:v>
      </x:c>
      <x:c r="G23" s="16" t="str">
        <x:v>SC002；SC007；SC009</x:v>
      </x:c>
      <x:c r="H23" s="16" t="str">
        <x:v>船型 ID：S012；数量：1；战术职责：封锁军总旗舰；船型 ID：S033；数量：2；战术职责：海峡控制舰；船型 ID：S046；数量：2；战术职责：群岛防登舰</x:v>
      </x:c>
      <x:c r="I23" s="16" t="str">
        <x:v>完成三处封锁中的任意两处主目标，并让联合商队的旗舰抵达终点。</x:v>
      </x:c>
      <x:c r="J23" s="16" t="str">
        <x:v>世界图选择先解海峡、群岛或外洋；每处独立战斗采用不同海况与目标，不把全世界堆成一场同质炮战。</x:v>
      </x:c>
      <x:c r="K23" s="16" t="str">
        <x:v>在任一地区通过贸易契约与文化声望谈成开放，算完成该处主目标。</x:v>
      </x:c>
      <x:c r="L23" s="16" t="str">
        <x:v>三地全部开放且联合商队货物保全 80%。</x:v>
      </x:c>
      <x:c r="M23" s="16" t="str">
        <x:v>银币奖励（银币）：120000；解锁船型 ID：S072；独特奖励：群星航约：联合航线与多港最终贸易合同</x:v>
      </x:c>
      <x:c r="N23" s="16" t="str">
        <x:v>已解决地区的封锁消失，三条跨区贸易链可自由组合，开启通关后世界航线经营。</x:v>
      </x:c>
      <x:c r="O23" s="16" t="str">
        <x:v>不同文化的白帆、赤帆、月牙帆在同一束晨光下展开，各船的轮廓仍能一眼辨认。</x:v>
      </x:c>
      <x:c r="P23" s="16" t="str">
        <x:v>FC00</x:v>
      </x:c>
    </x:row>
    <x:row r="24">
      <x:c r="A24" s="2"/>
      <x:c r="B24" s="2"/>
      <x:c r="C24" s="2"/>
      <x:c r="D24" s="2"/>
      <x:c r="E24" s="2"/>
      <x:c r="F24" s="2"/>
      <x:c r="G24" s="2"/>
      <x:c r="H24" s="2"/>
      <x:c r="I24" s="2"/>
      <x:c r="J24" s="2"/>
      <x:c r="K24" s="2"/>
      <x:c r="L24" s="2"/>
      <x:c r="M24" s="2"/>
      <x:c r="N24" s="2"/>
      <x:c r="O24" s="2"/>
      <x:c r="P24" s="2"/>
    </x:row>
  </x:sheetData>
  <x:pageMargins left="0.7" right="0.7" top="0.75" bottom="0.75" header="0.3" footer="0.3"/>
  <x:tableParts count="1">
    <x:tablePart xmlns:r="http://schemas.openxmlformats.org/officeDocument/2006/relationships" r:id="R96cfe331997445c6"/>
  </x:tableParts>
</x:worksheet>
</file>

<file path=xl/worksheets/sheet23.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3" hidden="0" customWidth="1"/>
    <x:col min="2" max="2" width="31" hidden="0" customWidth="1"/>
    <x:col min="3" max="3" width="29" hidden="0" customWidth="1"/>
    <x:col min="4" max="4" width="12" hidden="0" customWidth="1"/>
    <x:col min="5" max="5" width="12" hidden="0" customWidth="1"/>
    <x:col min="6" max="6" width="31" hidden="0" customWidth="1"/>
    <x:col min="7" max="7" width="15" hidden="0" customWidth="1"/>
    <x:col min="8" max="8" width="82" hidden="0" customWidth="1"/>
    <x:col min="9" max="9" width="65" hidden="0" customWidth="1"/>
    <x:col min="10" max="10" width="20" hidden="0" customWidth="1"/>
    <x:col min="11" max="11" width="20" hidden="0" customWidth="1"/>
    <x:col min="12" max="12" width="86" hidden="0" customWidth="1"/>
    <x:col min="13" max="13" width="70" hidden="0" customWidth="1"/>
    <x:col min="14" max="14" width="24" hidden="0" customWidth="1"/>
    <x:col min="15" max="15" width="42" hidden="0" customWidth="1"/>
    <x:col min="16" max="16" width="82" hidden="0" customWidth="1"/>
    <x:col min="17" max="17" width="17" hidden="0" customWidth="1"/>
    <x:col min="18" max="18" width="17" hidden="0" customWidth="1"/>
  </x:cols>
  <x:sheetData>
    <x:row r="1">
      <x:c r="A1" s="2"/>
      <x:c r="B1" s="2"/>
      <x:c r="C1" s="2"/>
      <x:c r="D1" s="2"/>
      <x:c r="E1" s="2"/>
      <x:c r="F1" s="2"/>
      <x:c r="G1" s="2"/>
      <x:c r="H1" s="2"/>
      <x:c r="I1" s="2"/>
      <x:c r="J1" s="2"/>
      <x:c r="K1" s="2"/>
      <x:c r="L1" s="2"/>
      <x:c r="M1" s="2"/>
      <x:c r="N1" s="2"/>
      <x:c r="O1" s="2"/>
      <x:c r="P1" s="2"/>
      <x:c r="Q1" s="2"/>
      <x:c r="R1" s="2"/>
    </x:row>
    <x:row r="2" ht="28" customHeight="1">
      <x:c r="A2" s="3" t="str">
        <x:v>七十二位有自己人生的海员</x:v>
      </x:c>
      <x:c r="B2" s="2"/>
      <x:c r="C2" s="2"/>
      <x:c r="D2" s="2"/>
      <x:c r="E2" s="2"/>
      <x:c r="F2" s="2"/>
      <x:c r="G2" s="2"/>
      <x:c r="H2" s="2"/>
      <x:c r="I2" s="2"/>
      <x:c r="J2" s="2"/>
      <x:c r="K2" s="2"/>
      <x:c r="L2" s="2"/>
      <x:c r="M2" s="2"/>
      <x:c r="N2" s="2"/>
      <x:c r="O2" s="2"/>
      <x:c r="P2" s="2"/>
      <x:c r="Q2" s="2"/>
      <x:c r="R2" s="2"/>
    </x:row>
    <x:row r="3">
      <x:c r="A3" s="5" t="str">
        <x:v>少年少女、成熟男女与老练前辈均有独立岗位和故事；人物形象采用文字描述。</x:v>
      </x:c>
      <x:c r="B3" s="2"/>
      <x:c r="C3" s="2"/>
      <x:c r="D3" s="2"/>
      <x:c r="E3" s="2"/>
      <x:c r="F3" s="2"/>
      <x:c r="G3" s="2"/>
      <x:c r="H3" s="2"/>
      <x:c r="I3" s="2"/>
      <x:c r="J3" s="2"/>
      <x:c r="K3" s="2"/>
      <x:c r="L3" s="2"/>
      <x:c r="M3" s="2"/>
      <x:c r="N3" s="2"/>
      <x:c r="O3" s="2"/>
      <x:c r="P3" s="2"/>
      <x:c r="Q3" s="2"/>
      <x:c r="R3" s="2"/>
    </x:row>
    <x:row r="4">
      <x:c r="A4" s="2"/>
      <x:c r="B4" s="2"/>
      <x:c r="C4" s="2"/>
      <x:c r="D4" s="2"/>
      <x:c r="E4" s="2"/>
      <x:c r="F4" s="2"/>
      <x:c r="G4" s="2"/>
      <x:c r="H4" s="2"/>
      <x:c r="I4" s="2"/>
      <x:c r="J4" s="2"/>
      <x:c r="K4" s="2"/>
      <x:c r="L4" s="2"/>
      <x:c r="M4" s="2"/>
      <x:c r="N4" s="2"/>
      <x:c r="O4" s="2"/>
      <x:c r="P4" s="2"/>
      <x:c r="Q4" s="2"/>
      <x:c r="R4" s="2"/>
    </x:row>
    <x:row r="5" ht="34" customHeight="1">
      <x:c r="A5" s="10" t="str">
        <x:v>海员ID</x:v>
      </x:c>
      <x:c r="B5" s="10" t="str">
        <x:v>姓名</x:v>
      </x:c>
      <x:c r="C5" s="10" t="str">
        <x:v>拉丁字母名</x:v>
      </x:c>
      <x:c r="D5" s="10" t="str">
        <x:v>年龄</x:v>
      </x:c>
      <x:c r="E5" s="10" t="str">
        <x:v>性别</x:v>
      </x:c>
      <x:c r="F5" s="10" t="str">
        <x:v>出生地</x:v>
      </x:c>
      <x:c r="G5" s="10" t="str">
        <x:v>家乡海域</x:v>
      </x:c>
      <x:c r="H5" s="10" t="str">
        <x:v>形象简述</x:v>
      </x:c>
      <x:c r="I5" s="10" t="str">
        <x:v>性格与萌属性</x:v>
      </x:c>
      <x:c r="J5" s="10" t="str">
        <x:v>主岗位</x:v>
      </x:c>
      <x:c r="K5" s="10" t="str">
        <x:v>副岗位</x:v>
      </x:c>
      <x:c r="L5" s="10" t="str">
        <x:v>人物背景</x:v>
      </x:c>
      <x:c r="M5" s="10" t="str">
        <x:v>个人目标</x:v>
      </x:c>
      <x:c r="N5" s="10" t="str">
        <x:v>招募港</x:v>
      </x:c>
      <x:c r="O5" s="10" t="str">
        <x:v>具体招募地点</x:v>
      </x:c>
      <x:c r="P5" s="10" t="str">
        <x:v>招募条件</x:v>
      </x:c>
      <x:c r="Q5" s="10" t="str">
        <x:v>签约银币</x:v>
      </x:c>
      <x:c r="R5" s="10" t="str">
        <x:v>月薪银币</x:v>
      </x:c>
    </x:row>
    <x:row r="6" ht="31" customHeight="1">
      <x:c r="A6" s="12" t="str">
        <x:v>C001</x:v>
      </x:c>
      <x:c r="B6" s="12" t="str">
        <x:v>艾尔莎·霜针</x:v>
      </x:c>
      <x:c r="C6" s="12" t="str">
        <x:v>Elsa Frostneedle</x:v>
      </x:c>
      <x:c r="D6" s="26" t="n">
        <x:v>24</x:v>
      </x:c>
      <x:c r="E6" s="12" t="str">
        <x:v>女</x:v>
      </x:c>
      <x:c r="F6" s="12" t="str">
        <x:v>卑尔根</x:v>
      </x:c>
      <x:c r="G6" s="12" t="str">
        <x:v>R01</x:v>
      </x:c>
      <x:c r="H6" s="12" t="str">
        <x:v>银灰短发、墨蓝长呢衣、琥珀罗盘耳坠，常把铅笔别在手套缝</x:v>
      </x:c>
      <x:c r="I6" s="12" t="str">
        <x:v>表面冰山，认真记住每个水手的家乡</x:v>
      </x:c>
      <x:c r="J6" s="12" t="str">
        <x:v>航海长</x:v>
      </x:c>
      <x:c r="K6" s="12" t="str">
        <x:v>测绘师</x:v>
      </x:c>
      <x:c r="L6" s="12" t="str">
        <x:v>灯塔守望员之女，为反驳一张造成船难的官方航图离开学院</x:v>
      </x:c>
      <x:c r="M6" s="12" t="str">
        <x:v>画出冬季也能回家的北海航线</x:v>
      </x:c>
      <x:c r="N6" s="12" t="str">
        <x:v>卑尔根</x:v>
      </x:c>
      <x:c r="O6" s="12" t="str">
        <x:v>卑尔根灯塔</x:v>
      </x:c>
      <x:c r="P6" s="12" t="str">
        <x:v>带回三处礁区测深并公开原始记录</x:v>
      </x:c>
      <x:c r="Q6" s="26" t="n">
        <x:v>900</x:v>
      </x:c>
      <x:c r="R6" s="26" t="n">
        <x:v>260</x:v>
      </x:c>
    </x:row>
    <x:row r="7" ht="31" customHeight="1">
      <x:c r="A7" s="15" t="str">
        <x:v>C002</x:v>
      </x:c>
      <x:c r="B7" s="15" t="str">
        <x:v>米克尔·鸦湾</x:v>
      </x:c>
      <x:c r="C7" s="15" t="str">
        <x:v>Mikkel Ravensund</x:v>
      </x:c>
      <x:c r="D7" s="30" t="n">
        <x:v>29</x:v>
      </x:c>
      <x:c r="E7" s="15" t="str">
        <x:v>男</x:v>
      </x:c>
      <x:c r="F7" s="15" t="str">
        <x:v>哥本哈根</x:v>
      </x:c>
      <x:c r="G7" s="15" t="str">
        <x:v>R01</x:v>
      </x:c>
      <x:c r="H7" s="15" t="str">
        <x:v>黑发束低尾、蓝眼、半披水兵斗篷，笑时露一枚银牙</x:v>
      </x:c>
      <x:c r="I7" s="15" t="str">
        <x:v>嘴欠的可靠大哥，对失约极其敏感</x:v>
      </x:c>
      <x:c r="J7" s="15" t="str">
        <x:v>操舵手</x:v>
      </x:c>
      <x:c r="K7" s="15" t="str">
        <x:v>登船战长</x:v>
      </x:c>
      <x:c r="L7" s="15" t="str">
        <x:v>曾替走私船开舵，船难后用酬金照顾罹难者家属</x:v>
      </x:c>
      <x:c r="M7" s="15" t="str">
        <x:v>让当年被污蔑的舵工获得姓名和墓碑</x:v>
      </x:c>
      <x:c r="N7" s="15" t="str">
        <x:v>哥本哈根</x:v>
      </x:c>
      <x:c r="O7" s="15" t="str">
        <x:v>哥本哈根干船坞</x:v>
      </x:c>
      <x:c r="P7" s="15" t="str">
        <x:v>驾驶受损小船完成狭港计时试航</x:v>
      </x:c>
      <x:c r="Q7" s="30" t="n">
        <x:v>750</x:v>
      </x:c>
      <x:c r="R7" s="30" t="n">
        <x:v>230</x:v>
      </x:c>
    </x:row>
    <x:row r="8" ht="31" customHeight="1">
      <x:c r="A8" s="13" t="str">
        <x:v>C003</x:v>
      </x:c>
      <x:c r="B8" s="13" t="str">
        <x:v>奥菲莉娅·洛森</x:v>
      </x:c>
      <x:c r="C8" s="13" t="str">
        <x:v>Ophelia Rosen</x:v>
      </x:c>
      <x:c r="D8" s="27" t="n">
        <x:v>22</x:v>
      </x:c>
      <x:c r="E8" s="13" t="str">
        <x:v>女</x:v>
      </x:c>
      <x:c r="F8" s="13" t="str">
        <x:v>阿姆斯特丹</x:v>
      </x:c>
      <x:c r="G8" s="13" t="str">
        <x:v>R01</x:v>
      </x:c>
      <x:c r="H8" s="13" t="str">
        <x:v>蜜金长卷发、祖母绿眼、墨绿高领旅行裙，腰间挂铁算盘</x:v>
      </x:c>
      <x:c r="I8" s="13" t="str">
        <x:v>端庄大小姐，谈判时锋利，私下迷路</x:v>
      </x:c>
      <x:c r="J8" s="13" t="str">
        <x:v>会计师</x:v>
      </x:c>
      <x:c r="K8" s="13" t="str">
        <x:v>交易长</x:v>
      </x:c>
      <x:c r="L8" s="13" t="str">
        <x:v>破产钟表商之女，发现家族债券被同业做局</x:v>
      </x:c>
      <x:c r="M8" s="13" t="str">
        <x:v>建立不靠婚姻与旧姓氏的远洋商号</x:v>
      </x:c>
      <x:c r="N8" s="13" t="str">
        <x:v>阿姆斯特丹</x:v>
      </x:c>
      <x:c r="O8" s="13" t="str">
        <x:v>阿姆斯特丹拍卖所</x:v>
      </x:c>
      <x:c r="P8" s="13" t="str">
        <x:v>按真实品相买下父亲的坏钟，拒绝抬价骗局</x:v>
      </x:c>
      <x:c r="Q8" s="27" t="n">
        <x:v>1100</x:v>
      </x:c>
      <x:c r="R8" s="27" t="n">
        <x:v>280</x:v>
      </x:c>
    </x:row>
    <x:row r="9" ht="31" customHeight="1">
      <x:c r="A9" s="15" t="str">
        <x:v>C004</x:v>
      </x:c>
      <x:c r="B9" s="15" t="str">
        <x:v>托比·苔页</x:v>
      </x:c>
      <x:c r="C9" s="15" t="str">
        <x:v>Toby Mosspage</x:v>
      </x:c>
      <x:c r="D9" s="30" t="n">
        <x:v>15</x:v>
      </x:c>
      <x:c r="E9" s="15" t="str">
        <x:v>男</x:v>
      </x:c>
      <x:c r="F9" s="15" t="str">
        <x:v>伦敦</x:v>
      </x:c>
      <x:c r="G9" s="15" t="str">
        <x:v>R01</x:v>
      </x:c>
      <x:c r="H9" s="15" t="str">
        <x:v>棕色乱翘短发、圆眼镜、过大的海蓝背带衣，口袋塞苔藓册</x:v>
      </x:c>
      <x:c r="I9" s="15" t="str">
        <x:v>认真得过头的可爱少年，害怕被当吉祥物</x:v>
      </x:c>
      <x:c r="J9" s="15" t="str">
        <x:v>博物学者</x:v>
      </x:c>
      <x:c r="K9" s="15" t="str">
        <x:v>主厨</x:v>
      </x:c>
      <x:c r="L9" s="15" t="str">
        <x:v>印刷铺学徒，能从漂木上的生物判断它来自何方</x:v>
      </x:c>
      <x:c r="M9" s="15" t="str">
        <x:v>出版写给普通孩子的海边生物图谱</x:v>
      </x:c>
      <x:c r="N9" s="15" t="str">
        <x:v>伦敦</x:v>
      </x:c>
      <x:c r="O9" s="15" t="str">
        <x:v>伦敦河口印刷铺</x:v>
      </x:c>
      <x:c r="P9" s="15" t="str">
        <x:v>帮助保存遭雨水浸坏的手稿并安排船上导师</x:v>
      </x:c>
      <x:c r="Q9" s="30" t="n">
        <x:v>120</x:v>
      </x:c>
      <x:c r="R9" s="30" t="n">
        <x:v>90</x:v>
      </x:c>
    </x:row>
    <x:row r="10" ht="31" customHeight="1">
      <x:c r="A10" s="13" t="str">
        <x:v>C005</x:v>
      </x:c>
      <x:c r="B10" s="13" t="str">
        <x:v>西格丽德·烬斧</x:v>
      </x:c>
      <x:c r="C10" s="13" t="str">
        <x:v>Sigrid Ashaxe</x:v>
      </x:c>
      <x:c r="D10" s="27" t="n">
        <x:v>33</x:v>
      </x:c>
      <x:c r="E10" s="13" t="str">
        <x:v>女</x:v>
      </x:c>
      <x:c r="F10" s="13" t="str">
        <x:v>斯德哥尔摩</x:v>
      </x:c>
      <x:c r="G10" s="13" t="str">
        <x:v>R01</x:v>
      </x:c>
      <x:c r="H10" s="13" t="str">
        <x:v>白金编辫、壮健高挑、红呢短披肩，一侧眉骨有浅疤</x:v>
      </x:c>
      <x:c r="I10" s="13" t="str">
        <x:v>豪爽直白，修船比争辩有耐心</x:v>
      </x:c>
      <x:c r="J10" s="13" t="str">
        <x:v>船匠</x:v>
      </x:c>
      <x:c r="K10" s="13" t="str">
        <x:v>登船战长</x:v>
      </x:c>
      <x:c r="L10" s="13" t="str">
        <x:v>王家船坞首位带队女匠，因反对偷工减料被除名</x:v>
      </x:c>
      <x:c r="M10" s="13" t="str">
        <x:v>造出一艘以工匠而非贵族命名的旗舰</x:v>
      </x:c>
      <x:c r="N10" s="13" t="str">
        <x:v>斯德哥尔摩</x:v>
      </x:c>
      <x:c r="O10" s="13" t="str">
        <x:v>斯德哥尔摩船坞</x:v>
      </x:c>
      <x:c r="P10" s="13" t="str">
        <x:v>交付优质铁材并亲自参加一天修船劳动</x:v>
      </x:c>
      <x:c r="Q10" s="27" t="n">
        <x:v>1300</x:v>
      </x:c>
      <x:c r="R10" s="27" t="n">
        <x:v>290</x:v>
      </x:c>
    </x:row>
    <x:row r="11" ht="31" customHeight="1">
      <x:c r="A11" s="15" t="str">
        <x:v>C006</x:v>
      </x:c>
      <x:c r="B11" s="15" t="str">
        <x:v>英格丽德·赫尔姆</x:v>
      </x:c>
      <x:c r="C11" s="15" t="str">
        <x:v>Ingrid Helm</x:v>
      </x:c>
      <x:c r="D11" s="30" t="n">
        <x:v>67</x:v>
      </x:c>
      <x:c r="E11" s="15" t="str">
        <x:v>女</x:v>
      </x:c>
      <x:c r="F11" s="15" t="str">
        <x:v>里加</x:v>
      </x:c>
      <x:c r="G11" s="15" t="str">
        <x:v>R01</x:v>
      </x:c>
      <x:c r="H11" s="15" t="str">
        <x:v>银白短发、金边单片镜、深紫军大衣，拐杖头是旧望远镜</x:v>
      </x:c>
      <x:c r="I11" s="15" t="str">
        <x:v>刻薄幽默的酷老太，最会看穿逞强</x:v>
      </x:c>
      <x:c r="J11" s="15" t="str">
        <x:v>副官</x:v>
      </x:c>
      <x:c r="K11" s="15" t="str">
        <x:v>船医</x:v>
      </x:c>
      <x:c r="L11" s="15" t="str">
        <x:v>曾率民船从封冻战区撤离，此后拒绝所有勋位</x:v>
      </x:c>
      <x:c r="M11" s="15" t="str">
        <x:v>在记忆衰退前把撤离航线交给下一代</x:v>
      </x:c>
      <x:c r="N11" s="15" t="str">
        <x:v>里加</x:v>
      </x:c>
      <x:c r="O11" s="15" t="str">
        <x:v>里加退役海员会</x:v>
      </x:c>
      <x:c r="P11" s="15" t="str">
        <x:v>护送难民补给船且不领取额外奖金</x:v>
      </x:c>
      <x:c r="Q11" s="30" t="n">
        <x:v>600</x:v>
      </x:c>
      <x:c r="R11" s="30" t="n">
        <x:v>340</x:v>
      </x:c>
    </x:row>
    <x:row r="12" ht="31" customHeight="1">
      <x:c r="A12" s="13" t="str">
        <x:v>C007</x:v>
      </x:c>
      <x:c r="B12" s="13" t="str">
        <x:v>蕾奥诺拉·瓦伦特</x:v>
      </x:c>
      <x:c r="C12" s="13" t="str">
        <x:v>Leonora Valente</x:v>
      </x:c>
      <x:c r="D12" s="27" t="n">
        <x:v>25</x:v>
      </x:c>
      <x:c r="E12" s="13" t="str">
        <x:v>女</x:v>
      </x:c>
      <x:c r="F12" s="13" t="str">
        <x:v>里斯本</x:v>
      </x:c>
      <x:c r="G12" s="13" t="str">
        <x:v>R02</x:v>
      </x:c>
      <x:c r="H12" s="13" t="str">
        <x:v>深栗长发、金瞳、象牙白短外套配蓝金披风，胸前有裂纹太阳坠</x:v>
      </x:c>
      <x:c r="I12" s="13" t="str">
        <x:v>自律的热血队长，失败后独自练剑</x:v>
      </x:c>
      <x:c r="J12" s="13" t="str">
        <x:v>船长</x:v>
      </x:c>
      <x:c r="K12" s="13" t="str">
        <x:v>航海长</x:v>
      </x:c>
      <x:c r="L12" s="13" t="str">
        <x:v>没落远航世家的次女，主动放弃继承权寻找失踪母亲</x:v>
      </x:c>
      <x:c r="M12" s="13" t="str">
        <x:v>证明远航记录中的白昼海不是母亲的谎言</x:v>
      </x:c>
      <x:c r="N12" s="13" t="str">
        <x:v>里斯本</x:v>
      </x:c>
      <x:c r="O12" s="13" t="str">
        <x:v>里斯本观星台</x:v>
      </x:c>
      <x:c r="P12" s="13" t="str">
        <x:v>完成首条跨区域航线并分享海图</x:v>
      </x:c>
      <x:c r="Q12" s="27" t="n">
        <x:v>0</x:v>
      </x:c>
      <x:c r="R12" s="27" t="n">
        <x:v>260</x:v>
      </x:c>
    </x:row>
    <x:row r="13" ht="31" customHeight="1">
      <x:c r="A13" s="15" t="str">
        <x:v>C008</x:v>
      </x:c>
      <x:c r="B13" s="15" t="str">
        <x:v>加斯帕尔·维达</x:v>
      </x:c>
      <x:c r="C13" s="15" t="str">
        <x:v>Gaspar Vida</x:v>
      </x:c>
      <x:c r="D13" s="30" t="n">
        <x:v>31</x:v>
      </x:c>
      <x:c r="E13" s="15" t="str">
        <x:v>男</x:v>
      </x:c>
      <x:c r="F13" s="15" t="str">
        <x:v>塞维利亚</x:v>
      </x:c>
      <x:c r="G13" s="15" t="str">
        <x:v>R02</x:v>
      </x:c>
      <x:c r="H13" s="15" t="str">
        <x:v>黑卷发、琥珀眼、酒红背心与镶金短枪，永远擦得很亮的靴</x:v>
      </x:c>
      <x:c r="I13" s="15" t="str">
        <x:v>慵懒俊美的骗子气质，真正承诺从不打折</x:v>
      </x:c>
      <x:c r="J13" s="15" t="str">
        <x:v>交易长</x:v>
      </x:c>
      <x:c r="K13" s="15" t="str">
        <x:v>翻译官</x:v>
      </x:c>
      <x:c r="L13" s="15" t="str">
        <x:v>剧团经纪出身，被误认为诈骗商而逐出港口</x:v>
      </x:c>
      <x:c r="M13" s="15" t="str">
        <x:v>找回被夺走的流动剧场，并让演员拥有分红</x:v>
      </x:c>
      <x:c r="N13" s="15" t="str">
        <x:v>塞维利亚</x:v>
      </x:c>
      <x:c r="O13" s="15" t="str">
        <x:v>塞维利亚露天剧场</x:v>
      </x:c>
      <x:c r="P13" s="15" t="str">
        <x:v>用公平条件完成演员服装订单</x:v>
      </x:c>
      <x:c r="Q13" s="30" t="n">
        <x:v>700</x:v>
      </x:c>
      <x:c r="R13" s="30" t="n">
        <x:v>240</x:v>
      </x:c>
    </x:row>
    <x:row r="14" ht="31" customHeight="1">
      <x:c r="A14" s="13" t="str">
        <x:v>C009</x:v>
      </x:c>
      <x:c r="B14" s="13" t="str">
        <x:v>伊内斯·蓝盐</x:v>
      </x:c>
      <x:c r="C14" s="13" t="str">
        <x:v>Ines Azulsal</x:v>
      </x:c>
      <x:c r="D14" s="27" t="n">
        <x:v>20</x:v>
      </x:c>
      <x:c r="E14" s="13" t="str">
        <x:v>女</x:v>
      </x:c>
      <x:c r="F14" s="13" t="str">
        <x:v>波尔图</x:v>
      </x:c>
      <x:c r="G14" s="13" t="str">
        <x:v>R02</x:v>
      </x:c>
      <x:c r="H14" s="13" t="str">
        <x:v>深蓝双短辫、灰绿眼、白衬衫和宽腰工装裤，手背有盐花</x:v>
      </x:c>
      <x:c r="I14" s="13" t="str">
        <x:v>伶牙俐齿的傲娇，对食材异常温柔</x:v>
      </x:c>
      <x:c r="J14" s="13" t="str">
        <x:v>主厨</x:v>
      </x:c>
      <x:c r="K14" s="13" t="str">
        <x:v>交易长</x:v>
      </x:c>
      <x:c r="L14" s="13" t="str">
        <x:v>盐场与酒窖长大的厨娘，为寻找哥哥航食配方上船</x:v>
      </x:c>
      <x:c r="M14" s="13" t="str">
        <x:v>让远航者能带着家乡味道绕世界一圈</x:v>
      </x:c>
      <x:c r="N14" s="13" t="str">
        <x:v>波尔图</x:v>
      </x:c>
      <x:c r="O14" s="13" t="str">
        <x:v>波尔图盐仓厨房</x:v>
      </x:c>
      <x:c r="P14" s="13" t="str">
        <x:v>集齐盐、橄榄油和一种外国香料后参加盲试</x:v>
      </x:c>
      <x:c r="Q14" s="27" t="n">
        <x:v>250</x:v>
      </x:c>
      <x:c r="R14" s="27" t="n">
        <x:v>150</x:v>
      </x:c>
    </x:row>
    <x:row r="15" ht="31" customHeight="1">
      <x:c r="A15" s="15" t="str">
        <x:v>C010</x:v>
      </x:c>
      <x:c r="B15" s="15" t="str">
        <x:v>阿德里安·德·拉·维加</x:v>
      </x:c>
      <x:c r="C15" s="15" t="str">
        <x:v>Adrian de la Vega</x:v>
      </x:c>
      <x:c r="D15" s="30" t="n">
        <x:v>23</x:v>
      </x:c>
      <x:c r="E15" s="15" t="str">
        <x:v>男</x:v>
      </x:c>
      <x:c r="F15" s="15" t="str">
        <x:v>加的斯</x:v>
      </x:c>
      <x:c r="G15" s="15" t="str">
        <x:v>R02</x:v>
      </x:c>
      <x:c r="H15" s="15" t="str">
        <x:v>银灰眼、黑发马尾、白金练剑服、玫瑰色绶带</x:v>
      </x:c>
      <x:c r="I15" s="15" t="str">
        <x:v>贵公子式礼貌，竞争心强得藏不住</x:v>
      </x:c>
      <x:c r="J15" s="15" t="str">
        <x:v>登船战长</x:v>
      </x:c>
      <x:c r="K15" s="15" t="str">
        <x:v>副官</x:v>
      </x:c>
      <x:c r="L15" s="15" t="str">
        <x:v>决斗学院优等生，因拒绝替贵族暗杀而失去军籍</x:v>
      </x:c>
      <x:c r="M15" s="15" t="str">
        <x:v>把决斗规则变成能保护弱者的公开契约</x:v>
      </x:c>
      <x:c r="N15" s="15" t="str">
        <x:v>加的斯</x:v>
      </x:c>
      <x:c r="O15" s="15" t="str">
        <x:v>加的斯练剑场</x:v>
      </x:c>
      <x:c r="P15" s="15" t="str">
        <x:v>在不伤及围观者的规则对决中获胜</x:v>
      </x:c>
      <x:c r="Q15" s="30" t="n">
        <x:v>900</x:v>
      </x:c>
      <x:c r="R15" s="30" t="n">
        <x:v>220</x:v>
      </x:c>
    </x:row>
    <x:row r="16" ht="31" customHeight="1">
      <x:c r="A16" s="13" t="str">
        <x:v>C011</x:v>
      </x:c>
      <x:c r="B16" s="13" t="str">
        <x:v>瑟蕾丝·贝洛</x:v>
      </x:c>
      <x:c r="C16" s="13" t="str">
        <x:v>Cerise Bellot</x:v>
      </x:c>
      <x:c r="D16" s="27" t="n">
        <x:v>27</x:v>
      </x:c>
      <x:c r="E16" s="13" t="str">
        <x:v>女</x:v>
      </x:c>
      <x:c r="F16" s="13" t="str">
        <x:v>马赛</x:v>
      </x:c>
      <x:c r="G16" s="13" t="str">
        <x:v>R03</x:v>
      </x:c>
      <x:c r="H16" s="13" t="str">
        <x:v>红棕卷发、青眼、墨黑无袖长马甲罩白衬衫，铜火花发夹</x:v>
      </x:c>
      <x:c r="I16" s="13" t="str">
        <x:v>爽朗御姐，实验成功会毫无形象地欢呼</x:v>
      </x:c>
      <x:c r="J16" s="13" t="str">
        <x:v>火药师</x:v>
      </x:c>
      <x:c r="K16" s="13" t="str">
        <x:v>炮术长</x:v>
      </x:c>
      <x:c r="L16" s="13" t="str">
        <x:v>烟花工坊继承人，试图让信号火焰代替失效号角</x:v>
      </x:c>
      <x:c r="M16" s="13" t="str">
        <x:v>发明在浓雾和炮烟里也看得懂的舰队语言</x:v>
      </x:c>
      <x:c r="N16" s="13" t="str">
        <x:v>马赛</x:v>
      </x:c>
      <x:c r="O16" s="13" t="str">
        <x:v>马赛焰火作坊</x:v>
      </x:c>
      <x:c r="P16" s="13" t="str">
        <x:v>带回三种矿物颜料并完成夜间信号演示</x:v>
      </x:c>
      <x:c r="Q16" s="27" t="n">
        <x:v>950</x:v>
      </x:c>
      <x:c r="R16" s="27" t="n">
        <x:v>260</x:v>
      </x:c>
    </x:row>
    <x:row r="17" ht="31" customHeight="1">
      <x:c r="A17" s="15" t="str">
        <x:v>C012</x:v>
      </x:c>
      <x:c r="B17" s="15" t="str">
        <x:v>埃斯特万·旧潮</x:v>
      </x:c>
      <x:c r="C17" s="15" t="str">
        <x:v>Esteban Marea</x:v>
      </x:c>
      <x:c r="D17" s="30" t="n">
        <x:v>62</x:v>
      </x:c>
      <x:c r="E17" s="15" t="str">
        <x:v>男</x:v>
      </x:c>
      <x:c r="F17" s="15" t="str">
        <x:v>拉斯帕尔马斯</x:v>
      </x:c>
      <x:c r="G17" s="15" t="str">
        <x:v>R04</x:v>
      </x:c>
      <x:c r="H17" s="15" t="str">
        <x:v>灰白长发、深棕肤色、蓝灰长披风，胡须编一枚小贝壳</x:v>
      </x:c>
      <x:c r="I17" s="15" t="str">
        <x:v>潇洒帅老头，平时吊儿郎当，谈大海极认真</x:v>
      </x:c>
      <x:c r="J17" s="15" t="str">
        <x:v>帆缆长</x:v>
      </x:c>
      <x:c r="K17" s="15" t="str">
        <x:v>航海长</x:v>
      </x:c>
      <x:c r="L17" s="15" t="str">
        <x:v>三次跨洋后归隐的船长，年轻时留下许多没寄出的信</x:v>
      </x:c>
      <x:c r="M17" s="15" t="str">
        <x:v>把一生欠下的告别逐一送到</x:v>
      </x:c>
      <x:c r="N17" s="15" t="str">
        <x:v>拉斯帕尔马斯</x:v>
      </x:c>
      <x:c r="O17" s="15" t="str">
        <x:v>拉斯帕尔马斯海崖</x:v>
      </x:c>
      <x:c r="P17" s="15" t="str">
        <x:v>听完不完整的航海故事，再寄出第一封信</x:v>
      </x:c>
      <x:c r="Q17" s="30" t="n">
        <x:v>500</x:v>
      </x:c>
      <x:c r="R17" s="30" t="n">
        <x:v>300</x:v>
      </x:c>
    </x:row>
    <x:row r="18" ht="31" customHeight="1">
      <x:c r="A18" s="13" t="str">
        <x:v>C013</x:v>
      </x:c>
      <x:c r="B18" s="13" t="str">
        <x:v>维奥莱塔·孔塔里尼</x:v>
      </x:c>
      <x:c r="C18" s="13" t="str">
        <x:v>Violetta Contarini</x:v>
      </x:c>
      <x:c r="D18" s="27" t="n">
        <x:v>26</x:v>
      </x:c>
      <x:c r="E18" s="13" t="str">
        <x:v>女</x:v>
      </x:c>
      <x:c r="F18" s="13" t="str">
        <x:v>威尼斯</x:v>
      </x:c>
      <x:c r="G18" s="13" t="str">
        <x:v>R03</x:v>
      </x:c>
      <x:c r="H18" s="13" t="str">
        <x:v>淡紫长直发、灰金眼、半面银丝眼镜、珍珠白旅行外套</x:v>
      </x:c>
      <x:c r="I18" s="13" t="str">
        <x:v>优雅腹黑的大小姐，对没标价的东西最感兴趣</x:v>
      </x:c>
      <x:c r="J18" s="13" t="str">
        <x:v>交易长</x:v>
      </x:c>
      <x:c r="K18" s="13" t="str">
        <x:v>考古学者</x:v>
      </x:c>
      <x:c r="L18" s="13" t="str">
        <x:v>琉璃商家次女，因拒绝出售家族工匠名册被软禁</x:v>
      </x:c>
      <x:c r="M18" s="13" t="str">
        <x:v>让工艺知识不再成为少数商人的枷锁</x:v>
      </x:c>
      <x:c r="N18" s="13" t="str">
        <x:v>威尼斯</x:v>
      </x:c>
      <x:c r="O18" s="13" t="str">
        <x:v>威尼斯玻璃作坊</x:v>
      </x:c>
      <x:c r="P18" s="13" t="str">
        <x:v>识破假玻璃并选择直接向工匠购买</x:v>
      </x:c>
      <x:c r="Q18" s="27" t="n">
        <x:v>1400</x:v>
      </x:c>
      <x:c r="R18" s="27" t="n">
        <x:v>320</x:v>
      </x:c>
    </x:row>
    <x:row r="19" ht="31" customHeight="1">
      <x:c r="A19" s="15" t="str">
        <x:v>C014</x:v>
      </x:c>
      <x:c r="B19" s="15" t="str">
        <x:v>莱安德罗斯·阿斯特里斯</x:v>
      </x:c>
      <x:c r="C19" s="15" t="str">
        <x:v>Leandros Astris</x:v>
      </x:c>
      <x:c r="D19" s="30" t="n">
        <x:v>28</x:v>
      </x:c>
      <x:c r="E19" s="15" t="str">
        <x:v>男</x:v>
      </x:c>
      <x:c r="F19" s="15" t="str">
        <x:v>雅典</x:v>
      </x:c>
      <x:c r="G19" s="15" t="str">
        <x:v>R03</x:v>
      </x:c>
      <x:c r="H19" s="15" t="str">
        <x:v>黑金短卷发、蓝眼、浅沙色长衫、斜背星盘和旧琴</x:v>
      </x:c>
      <x:c r="I19" s="15" t="str">
        <x:v>安静温柔的学者，谈假学问会突然尖锐</x:v>
      </x:c>
      <x:c r="J19" s="15" t="str">
        <x:v>考古学者</x:v>
      </x:c>
      <x:c r="K19" s="15" t="str">
        <x:v>测绘师</x:v>
      </x:c>
      <x:c r="L19" s="15" t="str">
        <x:v>碑铭抄写员，发现古航路碑记被权贵改写</x:v>
      </x:c>
      <x:c r="M19" s="15" t="str">
        <x:v>还原让各城船只共同使用海港的古契约</x:v>
      </x:c>
      <x:c r="N19" s="15" t="str">
        <x:v>坎迪亚</x:v>
      </x:c>
      <x:c r="O19" s="15" t="str">
        <x:v>坎迪亚的雅典学者旧书摊</x:v>
      </x:c>
      <x:c r="P19" s="15" t="str">
        <x:v>将发现物记录交给当地学馆并带回拓片副本</x:v>
      </x:c>
      <x:c r="Q19" s="30" t="n">
        <x:v>600</x:v>
      </x:c>
      <x:c r="R19" s="30" t="n">
        <x:v>250</x:v>
      </x:c>
    </x:row>
    <x:row r="20" ht="31" customHeight="1">
      <x:c r="A20" s="13" t="str">
        <x:v>C015</x:v>
      </x:c>
      <x:c r="B20" s="13" t="str">
        <x:v>奈芙丝·月铜</x:v>
      </x:c>
      <x:c r="C20" s="13" t="str">
        <x:v>Nefise Aykir</x:v>
      </x:c>
      <x:c r="D20" s="27" t="n">
        <x:v>30</x:v>
      </x:c>
      <x:c r="E20" s="13" t="str">
        <x:v>女</x:v>
      </x:c>
      <x:c r="F20" s="13" t="str">
        <x:v>君士坦丁堡</x:v>
      </x:c>
      <x:c r="G20" s="13" t="str">
        <x:v>R03</x:v>
      </x:c>
      <x:c r="H20" s="13" t="str">
        <x:v>深蓝波浪长发、铜金眼、暗青长袍配束腰工具带，耳畔小月牙铜片</x:v>
      </x:c>
      <x:c r="I20" s="13" t="str">
        <x:v>冷静慵懒的御姐，听力细得令人发毛</x:v>
      </x:c>
      <x:c r="J20" s="13" t="str">
        <x:v>炮术长</x:v>
      </x:c>
      <x:c r="K20" s="13" t="str">
        <x:v>火药师</x:v>
      </x:c>
      <x:c r="L20" s="13" t="str">
        <x:v>钟匠之女，把铸钟的声学经验用于判断炮管瑕疵</x:v>
      </x:c>
      <x:c r="M20" s="13" t="str">
        <x:v>制造一门绝不会在水手身旁炸裂的名炮</x:v>
      </x:c>
      <x:c r="N20" s="13" t="str">
        <x:v>君士坦丁堡</x:v>
      </x:c>
      <x:c r="O20" s="13" t="str">
        <x:v>君士坦丁堡铸钟院</x:v>
      </x:c>
      <x:c r="P20" s="13" t="str">
        <x:v>带回受损炮管并接受工坊检验</x:v>
      </x:c>
      <x:c r="Q20" s="27" t="n">
        <x:v>1500</x:v>
      </x:c>
      <x:c r="R20" s="27" t="n">
        <x:v>310</x:v>
      </x:c>
    </x:row>
    <x:row r="21" ht="31" customHeight="1">
      <x:c r="A21" s="15" t="str">
        <x:v>C016</x:v>
      </x:c>
      <x:c r="B21" s="15" t="str">
        <x:v>罗萨里奥·德尔·马雷</x:v>
      </x:c>
      <x:c r="C21" s="15" t="str">
        <x:v>Rosario del Mare</x:v>
      </x:c>
      <x:c r="D21" s="30" t="n">
        <x:v>35</x:v>
      </x:c>
      <x:c r="E21" s="15" t="str">
        <x:v>男</x:v>
      </x:c>
      <x:c r="F21" s="15" t="str">
        <x:v>热那亚</x:v>
      </x:c>
      <x:c r="G21" s="15" t="str">
        <x:v>R03</x:v>
      </x:c>
      <x:c r="H21" s="15" t="str">
        <x:v>深棕短发、灰眼、宽肩黑色行医外套，袖口缝红石榴线</x:v>
      </x:c>
      <x:c r="I21" s="15" t="str">
        <x:v>寡言可靠，难以拒绝笨拙的善意</x:v>
      </x:c>
      <x:c r="J21" s="15" t="str">
        <x:v>船医</x:v>
      </x:c>
      <x:c r="K21" s="15" t="str">
        <x:v>副官</x:v>
      </x:c>
      <x:c r="L21" s="15" t="str">
        <x:v>曾服务雇佣舰队，离开时带走一箱救命药而非赏金</x:v>
      </x:c>
      <x:c r="M21" s="15" t="str">
        <x:v>把海上伤病记录整理成水手能读懂的小册子</x:v>
      </x:c>
      <x:c r="N21" s="15" t="str">
        <x:v>热那亚</x:v>
      </x:c>
      <x:c r="O21" s="15" t="str">
        <x:v>热那亚施药所</x:v>
      </x:c>
      <x:c r="P21" s="15" t="str">
        <x:v>交付药材并协助救治两支敌对舰队的伤员</x:v>
      </x:c>
      <x:c r="Q21" s="30" t="n">
        <x:v>800</x:v>
      </x:c>
      <x:c r="R21" s="30" t="n">
        <x:v>280</x:v>
      </x:c>
    </x:row>
    <x:row r="22" ht="31" customHeight="1">
      <x:c r="A22" s="13" t="str">
        <x:v>C017</x:v>
      </x:c>
      <x:c r="B22" s="13" t="str">
        <x:v>梅莉娅·沙钟</x:v>
      </x:c>
      <x:c r="C22" s="13" t="str">
        <x:v>Melya Sandhour</x:v>
      </x:c>
      <x:c r="D22" s="27" t="n">
        <x:v>19</x:v>
      </x:c>
      <x:c r="E22" s="13" t="str">
        <x:v>女</x:v>
      </x:c>
      <x:c r="F22" s="13" t="str">
        <x:v>亚历山大</x:v>
      </x:c>
      <x:c r="G22" s="13" t="str">
        <x:v>R03</x:v>
      </x:c>
      <x:c r="H22" s="13" t="str">
        <x:v>蜂蜜色短卷发、绿眼、奶白学徒袍配蓝围巾，身高娇小</x:v>
      </x:c>
      <x:c r="I22" s="13" t="str">
        <x:v>元气冒失的机灵少女，迷信准确的数字</x:v>
      </x:c>
      <x:c r="J22" s="13" t="str">
        <x:v>测绘师</x:v>
      </x:c>
      <x:c r="K22" s="13" t="str">
        <x:v>博物学者</x:v>
      </x:c>
      <x:c r="L22" s="13" t="str">
        <x:v>水钟修理匠的学徒，用潮汐记号重新设计老港时刻表</x:v>
      </x:c>
      <x:c r="M22" s="13" t="str">
        <x:v>证明时间可以被不同语言共同理解</x:v>
      </x:c>
      <x:c r="N22" s="13" t="str">
        <x:v>亚历山大</x:v>
      </x:c>
      <x:c r="O22" s="13" t="str">
        <x:v>亚历山大水钟庭院</x:v>
      </x:c>
      <x:c r="P22" s="13" t="str">
        <x:v>在同一天记录三次潮位并带回正确时序</x:v>
      </x:c>
      <x:c r="Q22" s="27" t="n">
        <x:v>250</x:v>
      </x:c>
      <x:c r="R22" s="27" t="n">
        <x:v>160</x:v>
      </x:c>
    </x:row>
    <x:row r="23" ht="31" customHeight="1">
      <x:c r="A23" s="15" t="str">
        <x:v>C018</x:v>
      </x:c>
      <x:c r="B23" s="15" t="str">
        <x:v>马里卡·黑珍珠</x:v>
      </x:c>
      <x:c r="C23" s="15" t="str">
        <x:v>Malika Blackpearl</x:v>
      </x:c>
      <x:c r="D23" s="30" t="n">
        <x:v>44</x:v>
      </x:c>
      <x:c r="E23" s="15" t="str">
        <x:v>女</x:v>
      </x:c>
      <x:c r="F23" s="15" t="str">
        <x:v>阿尔及尔</x:v>
      </x:c>
      <x:c r="G23" s="15" t="str">
        <x:v>R03</x:v>
      </x:c>
      <x:c r="H23" s="15" t="str">
        <x:v>乌黑短卷发夹白绺、深肤色、猩红长外套与珍珠耳饰</x:v>
      </x:c>
      <x:c r="I23" s="15" t="str">
        <x:v>笑容危险、讲义气，对恃强凌弱毫无耐心</x:v>
      </x:c>
      <x:c r="J23" s="15" t="str">
        <x:v>登船战长</x:v>
      </x:c>
      <x:c r="K23" s="15" t="str">
        <x:v>船长</x:v>
      </x:c>
      <x:c r="L23" s="15" t="str">
        <x:v>曾是独立私掠船长，因拒绝袭击中立补给船与旧旗决裂</x:v>
      </x:c>
      <x:c r="M23" s="15" t="str">
        <x:v>给愿意收手的私掠者一个能堂正正靠岸的港</x:v>
      </x:c>
      <x:c r="N23" s="15" t="str">
        <x:v>阿尔及尔</x:v>
      </x:c>
      <x:c r="O23" s="15" t="str">
        <x:v>阿尔及尔旧船酒馆</x:v>
      </x:c>
      <x:c r="P23" s="15" t="str">
        <x:v>帮助被欠薪的水手索回工钱后赢得接舷演习</x:v>
      </x:c>
      <x:c r="Q23" s="30" t="n">
        <x:v>1600</x:v>
      </x:c>
      <x:c r="R23" s="30" t="n">
        <x:v>350</x:v>
      </x:c>
    </x:row>
    <x:row r="24" ht="31" customHeight="1">
      <x:c r="A24" s="13" t="str">
        <x:v>C019</x:v>
      </x:c>
      <x:c r="B24" s="13" t="str">
        <x:v>穆萨·迪亚洛</x:v>
      </x:c>
      <x:c r="C24" s="13" t="str">
        <x:v>Moussa Diallo</x:v>
      </x:c>
      <x:c r="D24" s="27" t="n">
        <x:v>32</x:v>
      </x:c>
      <x:c r="E24" s="13" t="str">
        <x:v>男</x:v>
      </x:c>
      <x:c r="F24" s="13" t="str">
        <x:v>圣路易</x:v>
      </x:c>
      <x:c r="G24" s="13" t="str">
        <x:v>R04</x:v>
      </x:c>
      <x:c r="H24" s="13" t="str">
        <x:v>深肤色、细长眼、靛蓝长衫、肩挂皮封故事卷，发辫系白线</x:v>
      </x:c>
      <x:c r="I24" s="13" t="str">
        <x:v>沉静睿智，喜欢用反问拆穿虚荣</x:v>
      </x:c>
      <x:c r="J24" s="13" t="str">
        <x:v>翻译官</x:v>
      </x:c>
      <x:c r="K24" s="13" t="str">
        <x:v>乐师</x:v>
      </x:c>
      <x:c r="L24" s="13" t="str">
        <x:v>随商队往返河海的口述史记录者，能用多种语言主持纠纷</x:v>
      </x:c>
      <x:c r="M24" s="13" t="str">
        <x:v>把商队与海船共同走过的路写成合著的地图</x:v>
      </x:c>
      <x:c r="N24" s="13" t="str">
        <x:v>圣路易</x:v>
      </x:c>
      <x:c r="O24" s="13" t="str">
        <x:v>圣路易河岸议事树</x:v>
      </x:c>
      <x:c r="P24" s="13" t="str">
        <x:v>归还误抄的故事稿并支付讲述者酬金</x:v>
      </x:c>
      <x:c r="Q24" s="27" t="n">
        <x:v>400</x:v>
      </x:c>
      <x:c r="R24" s="27" t="n">
        <x:v>250</x:v>
      </x:c>
    </x:row>
    <x:row r="25" ht="31" customHeight="1">
      <x:c r="A25" s="15" t="str">
        <x:v>C020</x:v>
      </x:c>
      <x:c r="B25" s="15" t="str">
        <x:v>阿瓦·森巴</x:v>
      </x:c>
      <x:c r="C25" s="15" t="str">
        <x:v>Awa Semba</x:v>
      </x:c>
      <x:c r="D25" s="30" t="n">
        <x:v>24</x:v>
      </x:c>
      <x:c r="E25" s="15" t="str">
        <x:v>女</x:v>
      </x:c>
      <x:c r="F25" s="15" t="str">
        <x:v>埃尔米纳</x:v>
      </x:c>
      <x:c r="G25" s="15" t="str">
        <x:v>R04</x:v>
      </x:c>
      <x:c r="H25" s="15" t="str">
        <x:v>黑肤金眼、蓬松高束卷发、朱红与金色短披风，腰侧小鼓</x:v>
      </x:c>
      <x:c r="I25" s="15" t="str">
        <x:v>明朗自信的舞台女王，讨厌被当异国摆设</x:v>
      </x:c>
      <x:c r="J25" s="15" t="str">
        <x:v>乐师</x:v>
      </x:c>
      <x:c r="K25" s="15" t="str">
        <x:v>副官</x:v>
      </x:c>
      <x:c r="L25" s="15" t="str">
        <x:v>码头工人乐队的主唱，用劳动节拍组织货物装卸</x:v>
      </x:c>
      <x:c r="M25" s="15" t="str">
        <x:v>办一场所有港口都能参加的海上音乐节</x:v>
      </x:c>
      <x:c r="N25" s="15" t="str">
        <x:v>埃尔米纳</x:v>
      </x:c>
      <x:c r="O25" s="15" t="str">
        <x:v>埃尔米纳码头排练棚</x:v>
      </x:c>
      <x:c r="P25" s="15" t="str">
        <x:v>按时送达演出木料并参加劳动号子比赛</x:v>
      </x:c>
      <x:c r="Q25" s="30" t="n">
        <x:v>450</x:v>
      </x:c>
      <x:c r="R25" s="30" t="n">
        <x:v>190</x:v>
      </x:c>
    </x:row>
    <x:row r="26" ht="31" customHeight="1">
      <x:c r="A26" s="13" t="str">
        <x:v>C021</x:v>
      </x:c>
      <x:c r="B26" s="13" t="str">
        <x:v>阿乔娅·金棱</x:v>
      </x:c>
      <x:c r="C26" s="13" t="str">
        <x:v>Adjoa Goldfacet</x:v>
      </x:c>
      <x:c r="D26" s="27" t="n">
        <x:v>58</x:v>
      </x:c>
      <x:c r="E26" s="13" t="str">
        <x:v>女</x:v>
      </x:c>
      <x:c r="F26" s="13" t="str">
        <x:v>埃尔米纳</x:v>
      </x:c>
      <x:c r="G26" s="13" t="str">
        <x:v>R04</x:v>
      </x:c>
      <x:c r="H26" s="13" t="str">
        <x:v>深棕肤色、银白盘辫、厚金耳环、深蓝匠人长衣，目光像秤</x:v>
      </x:c>
      <x:c r="I26" s="13" t="str">
        <x:v>干练酷老太，言简意赅，对徒弟护短</x:v>
      </x:c>
      <x:c r="J26" s="13" t="str">
        <x:v>驻港管事</x:v>
      </x:c>
      <x:c r="K26" s="13" t="str">
        <x:v>交易长</x:v>
      </x:c>
      <x:c r="L26" s="13" t="str">
        <x:v>金工与权衡师，曾揭穿以假秤压价的跨洋商会</x:v>
      </x:c>
      <x:c r="M26" s="13" t="str">
        <x:v>让沿岸货物拥有统一可申诉的计量标准</x:v>
      </x:c>
      <x:c r="N26" s="13" t="str">
        <x:v>埃尔米纳</x:v>
      </x:c>
      <x:c r="O26" s="13" t="str">
        <x:v>埃尔米纳公秤厅</x:v>
      </x:c>
      <x:c r="P26" s="13" t="str">
        <x:v>用同一批货在三处公秤复核差异</x:v>
      </x:c>
      <x:c r="Q26" s="27" t="n">
        <x:v>1000</x:v>
      </x:c>
      <x:c r="R26" s="27" t="n">
        <x:v>320</x:v>
      </x:c>
    </x:row>
    <x:row r="27" ht="31" customHeight="1">
      <x:c r="A27" s="15" t="str">
        <x:v>C022</x:v>
      </x:c>
      <x:c r="B27" s="15" t="str">
        <x:v>诺埃·风籽</x:v>
      </x:c>
      <x:c r="C27" s="15" t="str">
        <x:v>Noe Windseed</x:v>
      </x:c>
      <x:c r="D27" s="30" t="n">
        <x:v>16</x:v>
      </x:c>
      <x:c r="E27" s="15" t="str">
        <x:v>男</x:v>
      </x:c>
      <x:c r="F27" s="15" t="str">
        <x:v>里贝拉格兰德</x:v>
      </x:c>
      <x:c r="G27" s="15" t="str">
        <x:v>R04</x:v>
      </x:c>
      <x:c r="H27" s="15" t="str">
        <x:v>浅棕肤色、茶色卷发、琥珀眼、浅蓝短斗篷，背着折叠风筝</x:v>
      </x:c>
      <x:c r="I27" s="15" t="str">
        <x:v>天真大胆的俊美少年，第一次犯错会哭但不逃</x:v>
      </x:c>
      <x:c r="J27" s="15" t="str">
        <x:v>瞭望员</x:v>
      </x:c>
      <x:c r="K27" s="15" t="str">
        <x:v>帆缆长</x:v>
      </x:c>
      <x:c r="L27" s="15" t="str">
        <x:v>岛上信使，借风筝旗号向海上亲人报平安</x:v>
      </x:c>
      <x:c r="M27" s="15" t="str">
        <x:v>找到能让偏远岛屿共享消息的风筝中继法</x:v>
      </x:c>
      <x:c r="N27" s="15" t="str">
        <x:v>里贝拉格兰德</x:v>
      </x:c>
      <x:c r="O27" s="15" t="str">
        <x:v>里贝拉格兰德山脊</x:v>
      </x:c>
      <x:c r="P27" s="15" t="str">
        <x:v>帮助找回被风卷走的邮袋并教他记录风向</x:v>
      </x:c>
      <x:c r="Q27" s="30" t="n">
        <x:v>100</x:v>
      </x:c>
      <x:c r="R27" s="30" t="n">
        <x:v>100</x:v>
      </x:c>
    </x:row>
    <x:row r="28" ht="31" customHeight="1">
      <x:c r="A28" s="13" t="str">
        <x:v>C023</x:v>
      </x:c>
      <x:c r="B28" s="13" t="str">
        <x:v>扎赫拉·阿尔米拉</x:v>
      </x:c>
      <x:c r="C28" s="13" t="str">
        <x:v>Zahra Almira</x:v>
      </x:c>
      <x:c r="D28" s="27" t="n">
        <x:v>28</x:v>
      </x:c>
      <x:c r="E28" s="13" t="str">
        <x:v>女</x:v>
      </x:c>
      <x:c r="F28" s="13" t="str">
        <x:v>阿尔金</x:v>
      </x:c>
      <x:c r="G28" s="13" t="str">
        <x:v>R04</x:v>
      </x:c>
      <x:c r="H28" s="13" t="str">
        <x:v>铜棕肌肤、琥珀眼、沙白头巾和青绿长背心，腰挂小铜秤</x:v>
      </x:c>
      <x:c r="I28" s="13" t="str">
        <x:v>精明大姐姐，不急着说服别人</x:v>
      </x:c>
      <x:c r="J28" s="13" t="str">
        <x:v>补给长</x:v>
      </x:c>
      <x:c r="K28" s="13" t="str">
        <x:v>交易长</x:v>
      </x:c>
      <x:c r="L28" s="13" t="str">
        <x:v>在盐商与渔民之间调货的中间人，最懂一桶淡水何时比黄金贵</x:v>
      </x:c>
      <x:c r="M28" s="13" t="str">
        <x:v>建立旱季不会断供的沿海水粮链</x:v>
      </x:c>
      <x:c r="N28" s="13" t="str">
        <x:v>阿尔金</x:v>
      </x:c>
      <x:c r="O28" s="13" t="str">
        <x:v>阿尔金水井市场</x:v>
      </x:c>
      <x:c r="P28" s="13" t="str">
        <x:v>以不加价的价格完成一次旱季补水订单</x:v>
      </x:c>
      <x:c r="Q28" s="27" t="n">
        <x:v>700</x:v>
      </x:c>
      <x:c r="R28" s="27" t="n">
        <x:v>230</x:v>
      </x:c>
    </x:row>
    <x:row r="29" ht="31" customHeight="1">
      <x:c r="A29" s="15" t="str">
        <x:v>C024</x:v>
      </x:c>
      <x:c r="B29" s="15" t="str">
        <x:v>马特乌斯·火山缎</x:v>
      </x:c>
      <x:c r="C29" s="15" t="str">
        <x:v>Mateus Volcasilk</x:v>
      </x:c>
      <x:c r="D29" s="30" t="n">
        <x:v>38</x:v>
      </x:c>
      <x:c r="E29" s="15" t="str">
        <x:v>男</x:v>
      </x:c>
      <x:c r="F29" s="15" t="str">
        <x:v>丰沙尔</x:v>
      </x:c>
      <x:c r="G29" s="15" t="str">
        <x:v>R04</x:v>
      </x:c>
      <x:c r="H29" s="15" t="str">
        <x:v>棕肤、黑短发、琥珀胡须、赤褐围裙与白麻衫，手指常带染料</x:v>
      </x:c>
      <x:c r="I29" s="15" t="str">
        <x:v>壮实温厚，谈作品时像倔强孩子</x:v>
      </x:c>
      <x:c r="J29" s="15" t="str">
        <x:v>帆缆长</x:v>
      </x:c>
      <x:c r="K29" s="15" t="str">
        <x:v>船匠</x:v>
      </x:c>
      <x:c r="L29" s="15" t="str">
        <x:v>葡萄园支架匠转做船帆，熟悉岛上风向与纺线</x:v>
      </x:c>
      <x:c r="M29" s="15" t="str">
        <x:v>织出能在季风两侧都工作的可调帆</x:v>
      </x:c>
      <x:c r="N29" s="15" t="str">
        <x:v>丰沙尔</x:v>
      </x:c>
      <x:c r="O29" s="15" t="str">
        <x:v>丰沙尔帆布晾场</x:v>
      </x:c>
      <x:c r="P29" s="15" t="str">
        <x:v>送来三种纤维并参加逆风试帆</x:v>
      </x:c>
      <x:c r="Q29" s="30" t="n">
        <x:v>800</x:v>
      </x:c>
      <x:c r="R29" s="30" t="n">
        <x:v>240</x:v>
      </x:c>
    </x:row>
    <x:row r="30" ht="31" customHeight="1">
      <x:c r="A30" s="13" t="str">
        <x:v>C025</x:v>
      </x:c>
      <x:c r="B30" s="13" t="str">
        <x:v>萨菲娅·珊瑚墨</x:v>
      </x:c>
      <x:c r="C30" s="13" t="str">
        <x:v>Safiya Coralink</x:v>
      </x:c>
      <x:c r="D30" s="27" t="n">
        <x:v>26</x:v>
      </x:c>
      <x:c r="E30" s="13" t="str">
        <x:v>女</x:v>
      </x:c>
      <x:c r="F30" s="13" t="str">
        <x:v>基尔瓦</x:v>
      </x:c>
      <x:c r="G30" s="13" t="str">
        <x:v>R05</x:v>
      </x:c>
      <x:c r="H30" s="13" t="str">
        <x:v>黑肤青眼、长辫、米白与海青层叠长衣，袖口墨迹像浪</x:v>
      </x:c>
      <x:c r="I30" s="13" t="str">
        <x:v>文静敏锐，提到港口旧史就眼睛发亮</x:v>
      </x:c>
      <x:c r="J30" s="13" t="str">
        <x:v>考古学者</x:v>
      </x:c>
      <x:c r="K30" s="13" t="str">
        <x:v>翻译官</x:v>
      </x:c>
      <x:c r="L30" s="13" t="str">
        <x:v>珊瑚石城修复学徒，研究旧陶片留下的跨海交易网络</x:v>
      </x:c>
      <x:c r="M30" s="13" t="str">
        <x:v>把港口写回曾把它当脚注的世界海图</x:v>
      </x:c>
      <x:c r="N30" s="13" t="str">
        <x:v>基尔瓦</x:v>
      </x:c>
      <x:c r="O30" s="13" t="str">
        <x:v>基尔瓦海边学馆</x:v>
      </x:c>
      <x:c r="P30" s="13" t="str">
        <x:v>带回海外瓷片图录并接受本地学者共同署名</x:v>
      </x:c>
      <x:c r="Q30" s="27" t="n">
        <x:v>600</x:v>
      </x:c>
      <x:c r="R30" s="27" t="n">
        <x:v>260</x:v>
      </x:c>
    </x:row>
    <x:row r="31" ht="31" customHeight="1">
      <x:c r="A31" s="15" t="str">
        <x:v>C026</x:v>
      </x:c>
      <x:c r="B31" s="15" t="str">
        <x:v>伊利亚斯·季帆</x:v>
      </x:c>
      <x:c r="C31" s="15" t="str">
        <x:v>Ilyas Monsoon</x:v>
      </x:c>
      <x:c r="D31" s="30" t="n">
        <x:v>27</x:v>
      </x:c>
      <x:c r="E31" s="15" t="str">
        <x:v>男</x:v>
      </x:c>
      <x:c r="F31" s="15" t="str">
        <x:v>桑给巴尔</x:v>
      </x:c>
      <x:c r="G31" s="15" t="str">
        <x:v>R05</x:v>
      </x:c>
      <x:c r="H31" s="15" t="str">
        <x:v>黑卷发、深棕肤色、海绿眼、象牙白长衫与蓝腰带</x:v>
      </x:c>
      <x:c r="I31" s="15" t="str">
        <x:v>潇洒爽朗，开航前安静得像换了个人</x:v>
      </x:c>
      <x:c r="J31" s="15" t="str">
        <x:v>航海长</x:v>
      </x:c>
      <x:c r="K31" s="15" t="str">
        <x:v>船长</x:v>
      </x:c>
      <x:c r="L31" s="15" t="str">
        <x:v>季风船家出身，曾为赶期错过返航季而困居异港</x:v>
      </x:c>
      <x:c r="M31" s="15" t="str">
        <x:v>让依赖海风的人有选择留下或回家的权利</x:v>
      </x:c>
      <x:c r="N31" s="15" t="str">
        <x:v>桑给巴尔</x:v>
      </x:c>
      <x:c r="O31" s="15" t="str">
        <x:v>桑给巴尔潮汐码头</x:v>
      </x:c>
      <x:c r="P31" s="15" t="str">
        <x:v>等候正确季风窗并完成不超时补给的试航</x:v>
      </x:c>
      <x:c r="Q31" s="30" t="n">
        <x:v>850</x:v>
      </x:c>
      <x:c r="R31" s="30" t="n">
        <x:v>270</x:v>
      </x:c>
    </x:row>
    <x:row r="32" ht="31" customHeight="1">
      <x:c r="A32" s="13" t="str">
        <x:v>C027</x:v>
      </x:c>
      <x:c r="B32" s="13" t="str">
        <x:v>妮娅·暖雨</x:v>
      </x:c>
      <x:c r="C32" s="13" t="str">
        <x:v>Nia Warmrain</x:v>
      </x:c>
      <x:c r="D32" s="27" t="n">
        <x:v>21</x:v>
      </x:c>
      <x:c r="E32" s="13" t="str">
        <x:v>女</x:v>
      </x:c>
      <x:c r="F32" s="13" t="str">
        <x:v>蒙巴萨</x:v>
      </x:c>
      <x:c r="G32" s="13" t="str">
        <x:v>R05</x:v>
      </x:c>
      <x:c r="H32" s="13" t="str">
        <x:v>深肤圆脸、黑发双丸髻、薄荷绿短外套和宽裤，挎草药篮</x:v>
      </x:c>
      <x:c r="I32" s="13" t="str">
        <x:v>开朗元气，观察病人时异常专注</x:v>
      </x:c>
      <x:c r="J32" s="13" t="str">
        <x:v>船医</x:v>
      </x:c>
      <x:c r="K32" s="13" t="str">
        <x:v>博物学者</x:v>
      </x:c>
      <x:c r="L32" s="13" t="str">
        <x:v>草药师与码头接生人的女儿，想知道不同港口如何照顾人</x:v>
      </x:c>
      <x:c r="M32" s="13" t="str">
        <x:v>编一套让普通家庭也用得起的远航疗养手册</x:v>
      </x:c>
      <x:c r="N32" s="13" t="str">
        <x:v>蒙巴萨</x:v>
      </x:c>
      <x:c r="O32" s="13" t="str">
        <x:v>蒙巴萨诊所</x:v>
      </x:c>
      <x:c r="P32" s="13" t="str">
        <x:v>交付药草并陪诊一天，不跳过老人讲的细节</x:v>
      </x:c>
      <x:c r="Q32" s="27" t="n">
        <x:v>300</x:v>
      </x:c>
      <x:c r="R32" s="27" t="n">
        <x:v>180</x:v>
      </x:c>
    </x:row>
    <x:row r="33" ht="31" customHeight="1">
      <x:c r="A33" s="15" t="str">
        <x:v>C028</x:v>
      </x:c>
      <x:c r="B33" s="15" t="str">
        <x:v>拉希德·木月</x:v>
      </x:c>
      <x:c r="C33" s="15" t="str">
        <x:v>Rashid Woodmoon</x:v>
      </x:c>
      <x:c r="D33" s="30" t="n">
        <x:v>40</x:v>
      </x:c>
      <x:c r="E33" s="15" t="str">
        <x:v>男</x:v>
      </x:c>
      <x:c r="F33" s="15" t="str">
        <x:v>莫桑比克岛</x:v>
      </x:c>
      <x:c r="G33" s="15" t="str">
        <x:v>R05</x:v>
      </x:c>
      <x:c r="H33" s="15" t="str">
        <x:v>深褐肤色、短胡须、白色卷袖长衣、灰蓝围裙，胸前木月护符</x:v>
      </x:c>
      <x:c r="I33" s="15" t="str">
        <x:v>慢条斯理的工艺痴，坚信每块木都有脾气</x:v>
      </x:c>
      <x:c r="J33" s="15" t="str">
        <x:v>船匠</x:v>
      </x:c>
      <x:c r="K33" s="15" t="str">
        <x:v>主厨</x:v>
      </x:c>
      <x:c r="L33" s="15" t="str">
        <x:v>靠修补缝合船体谋生的岛上匠师，曾被大船厂拒收</x:v>
      </x:c>
      <x:c r="M33" s="15" t="str">
        <x:v>证明轻巧可修的船也能横渡长洋</x:v>
      </x:c>
      <x:c r="N33" s="15" t="str">
        <x:v>莫桑比克岛</x:v>
      </x:c>
      <x:c r="O33" s="15" t="str">
        <x:v>莫桑比克岛修船滩</x:v>
      </x:c>
      <x:c r="P33" s="15" t="str">
        <x:v>用当地椰纤、木板修回一艘渔舟并归还船主</x:v>
      </x:c>
      <x:c r="Q33" s="30" t="n">
        <x:v>950</x:v>
      </x:c>
      <x:c r="R33" s="30" t="n">
        <x:v>280</x:v>
      </x:c>
    </x:row>
    <x:row r="34" ht="31" customHeight="1">
      <x:c r="A34" s="13" t="str">
        <x:v>C029</x:v>
      </x:c>
      <x:c r="B34" s="13" t="str">
        <x:v>菲拉·叶冠</x:v>
      </x:c>
      <x:c r="C34" s="13" t="str">
        <x:v>Fira Leafcrown</x:v>
      </x:c>
      <x:c r="D34" s="27" t="n">
        <x:v>18</x:v>
      </x:c>
      <x:c r="E34" s="13" t="str">
        <x:v>女</x:v>
      </x:c>
      <x:c r="F34" s="13" t="str">
        <x:v>陶拉纳鲁</x:v>
      </x:c>
      <x:c r="G34" s="13" t="str">
        <x:v>R05</x:v>
      </x:c>
      <x:c r="H34" s="13" t="str">
        <x:v>棕肤、绿色眼睛、黑色高马尾、橘褐短斗篷，腰挂素描卷</x:v>
      </x:c>
      <x:c r="I34" s="13" t="str">
        <x:v>娇小敏捷，爱逞能，遇到活物会压低声音</x:v>
      </x:c>
      <x:c r="J34" s="13" t="str">
        <x:v>博物学者</x:v>
      </x:c>
      <x:c r="K34" s="13" t="str">
        <x:v>瞭望员</x:v>
      </x:c>
      <x:c r="L34" s="13" t="str">
        <x:v>森林向导的女儿，从码头商人口中知道海之外还有森林</x:v>
      </x:c>
      <x:c r="M34" s="13" t="str">
        <x:v>记录岛屿植物如何在遥远海岸重新生长</x:v>
      </x:c>
      <x:c r="N34" s="13" t="str">
        <x:v>陶拉纳鲁</x:v>
      </x:c>
      <x:c r="O34" s="13" t="str">
        <x:v>陶拉纳鲁植物园圃</x:v>
      </x:c>
      <x:c r="P34" s="13" t="str">
        <x:v>协助培育三种本地幼苗并记录成活条件</x:v>
      </x:c>
      <x:c r="Q34" s="27" t="n">
        <x:v>200</x:v>
      </x:c>
      <x:c r="R34" s="27" t="n">
        <x:v>130</x:v>
      </x:c>
    </x:row>
    <x:row r="35" ht="31" customHeight="1">
      <x:c r="A35" s="15" t="str">
        <x:v>C030</x:v>
      </x:c>
      <x:c r="B35" s="15" t="str">
        <x:v>阿玛拉·岬灯</x:v>
      </x:c>
      <x:c r="C35" s="15" t="str">
        <x:v>Amara Capelight</x:v>
      </x:c>
      <x:c r="D35" s="30" t="n">
        <x:v>34</x:v>
      </x:c>
      <x:c r="E35" s="15" t="str">
        <x:v>女</x:v>
      </x:c>
      <x:c r="F35" s="15" t="str">
        <x:v>开普敦</x:v>
      </x:c>
      <x:c r="G35" s="15" t="str">
        <x:v>R05</x:v>
      </x:c>
      <x:c r="H35" s="15" t="str">
        <x:v>灰金眼、卷曲黑短发、深肤色、橄榄绿披风，肩上铜灯徽</x:v>
      </x:c>
      <x:c r="I35" s="15" t="str">
        <x:v>坚定利落的大姐姐，笑点很低</x:v>
      </x:c>
      <x:c r="J35" s="15" t="str">
        <x:v>船长</x:v>
      </x:c>
      <x:c r="K35" s="15" t="str">
        <x:v>信号官</x:v>
      </x:c>
      <x:c r="L35" s="15" t="str">
        <x:v>灯塔补给船队的领队，熟悉南端急变的风浪</x:v>
      </x:c>
      <x:c r="M35" s="15" t="str">
        <x:v>让绕岬者不再独自穿过黑暗</x:v>
      </x:c>
      <x:c r="N35" s="15" t="str">
        <x:v>开普敦</x:v>
      </x:c>
      <x:c r="O35" s="15" t="str">
        <x:v>开普敦岬角灯站</x:v>
      </x:c>
      <x:c r="P35" s="15" t="str">
        <x:v>在风暴前给三座灯站补齐物资</x:v>
      </x:c>
      <x:c r="Q35" s="30" t="n">
        <x:v>1200</x:v>
      </x:c>
      <x:c r="R35" s="30" t="n">
        <x:v>320</x:v>
      </x:c>
    </x:row>
    <x:row r="36" ht="31" customHeight="1">
      <x:c r="A36" s="13" t="str">
        <x:v>C031</x:v>
      </x:c>
      <x:c r="B36" s="13" t="str">
        <x:v>赛伊达·远镜</x:v>
      </x:c>
      <x:c r="C36" s="13" t="str">
        <x:v>Sayida Farwatch</x:v>
      </x:c>
      <x:c r="D36" s="27" t="n">
        <x:v>37</x:v>
      </x:c>
      <x:c r="E36" s="13" t="str">
        <x:v>女</x:v>
      </x:c>
      <x:c r="F36" s="13" t="str">
        <x:v>亚丁</x:v>
      </x:c>
      <x:c r="G36" s="13" t="str">
        <x:v>R06</x:v>
      </x:c>
      <x:c r="H36" s="13" t="str">
        <x:v>深褐肤色、黑色高束长发、金棕眼、暗红披风，长望远镜包裹白布</x:v>
      </x:c>
      <x:c r="I36" s="13" t="str">
        <x:v>爽快利落的大姐姐，平日爱打趣，报风时一字不多</x:v>
      </x:c>
      <x:c r="J36" s="13" t="str">
        <x:v>瞭望员</x:v>
      </x:c>
      <x:c r="K36" s="13" t="str">
        <x:v>信号官</x:v>
      </x:c>
      <x:c r="L36" s="13" t="str">
        <x:v>往返海峡的哨船领队，习惯先给别人开路再考虑自己的名次</x:v>
      </x:c>
      <x:c r="M36" s="13" t="str">
        <x:v>连起红海与岛链之间可以接力的远望站</x:v>
      </x:c>
      <x:c r="N36" s="13" t="str">
        <x:v>亚丁</x:v>
      </x:c>
      <x:c r="O36" s="13" t="str">
        <x:v>亚丁岬角哨所</x:v>
      </x:c>
      <x:c r="P36" s="13" t="str">
        <x:v>完成一次不靠近目标的远距识旗与风向报告</x:v>
      </x:c>
      <x:c r="Q36" s="27" t="n">
        <x:v>900</x:v>
      </x:c>
      <x:c r="R36" s="27" t="n">
        <x:v>280</x:v>
      </x:c>
    </x:row>
    <x:row r="37" ht="31" customHeight="1">
      <x:c r="A37" s="15" t="str">
        <x:v>C032</x:v>
      </x:c>
      <x:c r="B37" s="15" t="str">
        <x:v>萨米尔·砚星</x:v>
      </x:c>
      <x:c r="C37" s="15" t="str">
        <x:v>Samir Inkwell</x:v>
      </x:c>
      <x:c r="D37" s="30" t="n">
        <x:v>29</x:v>
      </x:c>
      <x:c r="E37" s="15" t="str">
        <x:v>男</x:v>
      </x:c>
      <x:c r="F37" s="15" t="str">
        <x:v>巴士拉</x:v>
      </x:c>
      <x:c r="G37" s="15" t="str">
        <x:v>R06</x:v>
      </x:c>
      <x:c r="H37" s="15" t="str">
        <x:v>乌黑中长发、细框眼镜、青黑长袍、金线书袋，右手染墨</x:v>
      </x:c>
      <x:c r="I37" s="15" t="str">
        <x:v>温雅的俊美书生，认定问题会追到底</x:v>
      </x:c>
      <x:c r="J37" s="15" t="str">
        <x:v>翻译官</x:v>
      </x:c>
      <x:c r="K37" s="15" t="str">
        <x:v>考古学者</x:v>
      </x:c>
      <x:c r="L37" s="15" t="str">
        <x:v>书商与抄写员家庭出身，收藏的是版本差异而非孤本价格</x:v>
      </x:c>
      <x:c r="M37" s="15" t="str">
        <x:v>建立一个让译者被记住的海港书库</x:v>
      </x:c>
      <x:c r="N37" s="15" t="str">
        <x:v>巴士拉</x:v>
      </x:c>
      <x:c r="O37" s="15" t="str">
        <x:v>巴士拉旧书码头</x:v>
      </x:c>
      <x:c r="P37" s="15" t="str">
        <x:v>带来同一传说的两种语言版本</x:v>
      </x:c>
      <x:c r="Q37" s="30" t="n">
        <x:v>650</x:v>
      </x:c>
      <x:c r="R37" s="30" t="n">
        <x:v>260</x:v>
      </x:c>
    </x:row>
    <x:row r="38" ht="31" customHeight="1">
      <x:c r="A38" s="13" t="str">
        <x:v>C033</x:v>
      </x:c>
      <x:c r="B38" s="13" t="str">
        <x:v>蕾姆·月砂</x:v>
      </x:c>
      <x:c r="C38" s="13" t="str">
        <x:v>Reem Moonsand</x:v>
      </x:c>
      <x:c r="D38" s="27" t="n">
        <x:v>23</x:v>
      </x:c>
      <x:c r="E38" s="13" t="str">
        <x:v>女</x:v>
      </x:c>
      <x:c r="F38" s="13" t="str">
        <x:v>马斯喀特</x:v>
      </x:c>
      <x:c r="G38" s="13" t="str">
        <x:v>R06</x:v>
      </x:c>
      <x:c r="H38" s="13" t="str">
        <x:v>深棕长直发、灰紫眼、象牙白头巾与海蓝长衣，腰侧小星盘</x:v>
      </x:c>
      <x:c r="I38" s="13" t="str">
        <x:v>清冷端庄，迷航时比谁都镇定</x:v>
      </x:c>
      <x:c r="J38" s="13" t="str">
        <x:v>航海长</x:v>
      </x:c>
      <x:c r="K38" s="13" t="str">
        <x:v>测绘师</x:v>
      </x:c>
      <x:c r="L38" s="13" t="str">
        <x:v>领航世家不被承认的旁支，靠夜间接引渔船证明能力</x:v>
      </x:c>
      <x:c r="M38" s="13" t="str">
        <x:v>绘制一份不受家门垄断的夜航星位表</x:v>
      </x:c>
      <x:c r="N38" s="13" t="str">
        <x:v>马斯喀特</x:v>
      </x:c>
      <x:c r="O38" s="13" t="str">
        <x:v>马斯喀特礁湾观星处</x:v>
      </x:c>
      <x:c r="P38" s="13" t="str">
        <x:v>在无月夜按四颗星的升落顺序到港</x:v>
      </x:c>
      <x:c r="Q38" s="27" t="n">
        <x:v>800</x:v>
      </x:c>
      <x:c r="R38" s="27" t="n">
        <x:v>260</x:v>
      </x:c>
    </x:row>
    <x:row r="39" ht="31" customHeight="1">
      <x:c r="A39" s="15" t="str">
        <x:v>C034</x:v>
      </x:c>
      <x:c r="B39" s="15" t="str">
        <x:v>努尔·咖啡雾</x:v>
      </x:c>
      <x:c r="C39" s="15" t="str">
        <x:v>Nour Coffeeveil</x:v>
      </x:c>
      <x:c r="D39" s="30" t="n">
        <x:v>28</x:v>
      </x:c>
      <x:c r="E39" s="15" t="str">
        <x:v>女</x:v>
      </x:c>
      <x:c r="F39" s="15" t="str">
        <x:v>摩卡</x:v>
      </x:c>
      <x:c r="G39" s="15" t="str">
        <x:v>R06</x:v>
      </x:c>
      <x:c r="H39" s="15" t="str">
        <x:v>深栗短卷发、金褐眼、酒红高领外套、长围裙与铜壶挂坠</x:v>
      </x:c>
      <x:c r="I39" s="15" t="str">
        <x:v>慵懒温柔的御姐，谈风味会突然强势</x:v>
      </x:c>
      <x:c r="J39" s="15" t="str">
        <x:v>主厨</x:v>
      </x:c>
      <x:c r="K39" s="15" t="str">
        <x:v>交易长</x:v>
      </x:c>
      <x:c r="L39" s="15" t="str">
        <x:v>咖啡烘焙师，把父亲只卖给贵客的风味调给夜班水手</x:v>
      </x:c>
      <x:c r="M39" s="15" t="str">
        <x:v>创造一份沿海普通人都能买到的早餐</x:v>
      </x:c>
      <x:c r="N39" s="15" t="str">
        <x:v>摩卡</x:v>
      </x:c>
      <x:c r="O39" s="15" t="str">
        <x:v>摩卡晨市咖啡摊</x:v>
      </x:c>
      <x:c r="P39" s="15" t="str">
        <x:v>带回三港普通劳动者的早餐故事</x:v>
      </x:c>
      <x:c r="Q39" s="30" t="n">
        <x:v>450</x:v>
      </x:c>
      <x:c r="R39" s="30" t="n">
        <x:v>210</x:v>
      </x:c>
    </x:row>
    <x:row r="40" ht="31" customHeight="1">
      <x:c r="A40" s="13" t="str">
        <x:v>C035</x:v>
      </x:c>
      <x:c r="B40" s="13" t="str">
        <x:v>达里乌什·铜弦</x:v>
      </x:c>
      <x:c r="C40" s="13" t="str">
        <x:v>Dariush Copperstring</x:v>
      </x:c>
      <x:c r="D40" s="27" t="n">
        <x:v>36</x:v>
      </x:c>
      <x:c r="E40" s="13" t="str">
        <x:v>男</x:v>
      </x:c>
      <x:c r="F40" s="13" t="str">
        <x:v>霍尔木兹</x:v>
      </x:c>
      <x:c r="G40" s="13" t="str">
        <x:v>R06</x:v>
      </x:c>
      <x:c r="H40" s="13" t="str">
        <x:v>黑发掺银、浅褐眼、青铜色长马甲、左臂机械式支撑护具</x:v>
      </x:c>
      <x:c r="I40" s="13" t="str">
        <x:v>沉稳帅大叔，喜欢把复杂事讲成朴素比喻</x:v>
      </x:c>
      <x:c r="J40" s="13" t="str">
        <x:v>火药师</x:v>
      </x:c>
      <x:c r="K40" s="13" t="str">
        <x:v>船匠</x:v>
      </x:c>
      <x:c r="L40" s="13" t="str">
        <x:v>金工匠师因工伤离开大熔炉，自制护具后成为精密炮座设计者</x:v>
      </x:c>
      <x:c r="M40" s="13" t="str">
        <x:v>造出能由小队搬运维修的模块炮座</x:v>
      </x:c>
      <x:c r="N40" s="13" t="str">
        <x:v>霍尔木兹</x:v>
      </x:c>
      <x:c r="O40" s="13" t="str">
        <x:v>霍尔木兹金工作坊</x:v>
      </x:c>
      <x:c r="P40" s="13" t="str">
        <x:v>交付铸铜与硬木，协助完成无火演练</x:v>
      </x:c>
      <x:c r="Q40" s="27" t="n">
        <x:v>1100</x:v>
      </x:c>
      <x:c r="R40" s="27" t="n">
        <x:v>300</x:v>
      </x:c>
    </x:row>
    <x:row r="41" ht="31" customHeight="1">
      <x:c r="A41" s="15" t="str">
        <x:v>C036</x:v>
      </x:c>
      <x:c r="B41" s="15" t="str">
        <x:v>法蒂玛·绯印</x:v>
      </x:c>
      <x:c r="C41" s="15" t="str">
        <x:v>Fatima Crimsonseal</x:v>
      </x:c>
      <x:c r="D41" s="30" t="n">
        <x:v>47</x:v>
      </x:c>
      <x:c r="E41" s="15" t="str">
        <x:v>女</x:v>
      </x:c>
      <x:c r="F41" s="15" t="str">
        <x:v>吉达</x:v>
      </x:c>
      <x:c r="G41" s="15" t="str">
        <x:v>R06</x:v>
      </x:c>
      <x:c r="H41" s="15" t="str">
        <x:v>深棕肤色、黑发夹银、高领白袍与红褐肩巾，印戒一排</x:v>
      </x:c>
      <x:c r="I41" s="15" t="str">
        <x:v>强势干练，偶尔露出极温柔的疲倦</x:v>
      </x:c>
      <x:c r="J41" s="15" t="str">
        <x:v>驻港管事</x:v>
      </x:c>
      <x:c r="K41" s="15" t="str">
        <x:v>副官</x:v>
      </x:c>
      <x:c r="L41" s="15" t="str">
        <x:v>曾管理大型商队驿站，知道每条账目背后都有人在等薪水</x:v>
      </x:c>
      <x:c r="M41" s="15" t="str">
        <x:v>建立跨海也能兑现的工资与家用汇兑网络</x:v>
      </x:c>
      <x:c r="N41" s="15" t="str">
        <x:v>吉达</x:v>
      </x:c>
      <x:c r="O41" s="15" t="str">
        <x:v>吉达商队驿馆</x:v>
      </x:c>
      <x:c r="P41" s="15" t="str">
        <x:v>把一份拖欠工资连同说明完整交还本人</x:v>
      </x:c>
      <x:c r="Q41" s="30" t="n">
        <x:v>1300</x:v>
      </x:c>
      <x:c r="R41" s="30" t="n">
        <x:v>330</x:v>
      </x:c>
    </x:row>
    <x:row r="42" ht="31" customHeight="1">
      <x:c r="A42" s="13" t="str">
        <x:v>C037</x:v>
      </x:c>
      <x:c r="B42" s="13" t="str">
        <x:v>安贾莉·莲秤</x:v>
      </x:c>
      <x:c r="C42" s="13" t="str">
        <x:v>Anjali Lotuscale</x:v>
      </x:c>
      <x:c r="D42" s="27" t="n">
        <x:v>25</x:v>
      </x:c>
      <x:c r="E42" s="13" t="str">
        <x:v>女</x:v>
      </x:c>
      <x:c r="F42" s="13" t="str">
        <x:v>卡利卡特</x:v>
      </x:c>
      <x:c r="G42" s="13" t="str">
        <x:v>R07</x:v>
      </x:c>
      <x:c r="H42" s="13" t="str">
        <x:v>乌黑及腰编辫、金棕眼、海蓝披帛配白色长衣，细金脚镯</x:v>
      </x:c>
      <x:c r="I42" s="13" t="str">
        <x:v>聪慧明快的大小姐，讨价还价像下棋</x:v>
      </x:c>
      <x:c r="J42" s="13" t="str">
        <x:v>交易长</x:v>
      </x:c>
      <x:c r="K42" s="13" t="str">
        <x:v>会计师</x:v>
      </x:c>
      <x:c r="L42" s="13" t="str">
        <x:v>胡椒商家长女，厌倦家族用婚约换取商路</x:v>
      </x:c>
      <x:c r="M42" s="13" t="str">
        <x:v>以自己的航线证明互惠比独占更长久</x:v>
      </x:c>
      <x:c r="N42" s="13" t="str">
        <x:v>卡利卡特</x:v>
      </x:c>
      <x:c r="O42" s="13" t="str">
        <x:v>卡利卡特香料秤市</x:v>
      </x:c>
      <x:c r="P42" s="13" t="str">
        <x:v>向两家小商户分别公平采购并完成出口订单</x:v>
      </x:c>
      <x:c r="Q42" s="27" t="n">
        <x:v>900</x:v>
      </x:c>
      <x:c r="R42" s="27" t="n">
        <x:v>280</x:v>
      </x:c>
    </x:row>
    <x:row r="43" ht="31" customHeight="1">
      <x:c r="A43" s="15" t="str">
        <x:v>C038</x:v>
      </x:c>
      <x:c r="B43" s="15" t="str">
        <x:v>阿尔琼·雷弦</x:v>
      </x:c>
      <x:c r="C43" s="15" t="str">
        <x:v>Arjun Thunderstring</x:v>
      </x:c>
      <x:c r="D43" s="30" t="n">
        <x:v>27</x:v>
      </x:c>
      <x:c r="E43" s="15" t="str">
        <x:v>男</x:v>
      </x:c>
      <x:c r="F43" s="15" t="str">
        <x:v>苏拉特</x:v>
      </x:c>
      <x:c r="G43" s="15" t="str">
        <x:v>R07</x:v>
      </x:c>
      <x:c r="H43" s="15" t="str">
        <x:v>黑发高束、金眼、深绯外套罩白衫，右肩铜护甲</x:v>
      </x:c>
      <x:c r="I43" s="15" t="str">
        <x:v>热血帅男，冲动后愿意诚恳道歉</x:v>
      </x:c>
      <x:c r="J43" s="15" t="str">
        <x:v>炮术长</x:v>
      </x:c>
      <x:c r="K43" s="15" t="str">
        <x:v>登船战长</x:v>
      </x:c>
      <x:c r="L43" s="15" t="str">
        <x:v>护航炮手之子，亲眼见过一次错误齐射摧毁谈判</x:v>
      </x:c>
      <x:c r="M43" s="15" t="str">
        <x:v>掌握能迫使对手停战而非毁船的精确炮术</x:v>
      </x:c>
      <x:c r="N43" s="15" t="str">
        <x:v>苏拉特</x:v>
      </x:c>
      <x:c r="O43" s="15" t="str">
        <x:v>苏拉特炮台练习场</x:v>
      </x:c>
      <x:c r="P43" s="15" t="str">
        <x:v>在演习中只击断目标桅杆不击沉船体</x:v>
      </x:c>
      <x:c r="Q43" s="30" t="n">
        <x:v>1100</x:v>
      </x:c>
      <x:c r="R43" s="30" t="n">
        <x:v>270</x:v>
      </x:c>
    </x:row>
    <x:row r="44" ht="31" customHeight="1">
      <x:c r="A44" s="13" t="str">
        <x:v>C039</x:v>
      </x:c>
      <x:c r="B44" s="13" t="str">
        <x:v>帕德玛·石莲</x:v>
      </x:c>
      <x:c r="C44" s="13" t="str">
        <x:v>Padma Stonelotus</x:v>
      </x:c>
      <x:c r="D44" s="27" t="n">
        <x:v>32</x:v>
      </x:c>
      <x:c r="E44" s="13" t="str">
        <x:v>女</x:v>
      </x:c>
      <x:c r="F44" s="13" t="str">
        <x:v>科伦坡</x:v>
      </x:c>
      <x:c r="G44" s="13" t="str">
        <x:v>R07</x:v>
      </x:c>
      <x:c r="H44" s="13" t="str">
        <x:v>栗黑长发、深紫眼、象牙色旅行长裙和朱色披肩，背拓印架</x:v>
      </x:c>
      <x:c r="I44" s="13" t="str">
        <x:v>端雅学者，面对强取文物的要求会很硬</x:v>
      </x:c>
      <x:c r="J44" s="13" t="str">
        <x:v>考古学者</x:v>
      </x:c>
      <x:c r="K44" s="13" t="str">
        <x:v>博物学者</x:v>
      </x:c>
      <x:c r="L44" s="13" t="str">
        <x:v>壁画修复师，把颜料分析与口述传统一同记录</x:v>
      </x:c>
      <x:c r="M44" s="13" t="str">
        <x:v>让遗迹的美既能被看见，也能被正确讲述</x:v>
      </x:c>
      <x:c r="N44" s="13" t="str">
        <x:v>科伦坡</x:v>
      </x:c>
      <x:c r="O44" s="13" t="str">
        <x:v>科伦坡修复工坊</x:v>
      </x:c>
      <x:c r="P44" s="13" t="str">
        <x:v>交付矿物颜料并完成一份只取拓本的调查</x:v>
      </x:c>
      <x:c r="Q44" s="27" t="n">
        <x:v>700</x:v>
      </x:c>
      <x:c r="R44" s="27" t="n">
        <x:v>270</x:v>
      </x:c>
    </x:row>
    <x:row r="45" ht="31" customHeight="1">
      <x:c r="A45" s="15" t="str">
        <x:v>C040</x:v>
      </x:c>
      <x:c r="B45" s="15" t="str">
        <x:v>米拉·姜花</x:v>
      </x:c>
      <x:c r="C45" s="15" t="str">
        <x:v>Meera Gingerblossom</x:v>
      </x:c>
      <x:c r="D45" s="30" t="n">
        <x:v>29</x:v>
      </x:c>
      <x:c r="E45" s="15" t="str">
        <x:v>女</x:v>
      </x:c>
      <x:c r="F45" s="15" t="str">
        <x:v>柯钦</x:v>
      </x:c>
      <x:c r="G45" s="15" t="str">
        <x:v>R07</x:v>
      </x:c>
      <x:c r="H45" s="15" t="str">
        <x:v>黑色粗长辫、琥珀眼、浅黄长衣配靛蓝围裙，耳后姜花</x:v>
      </x:c>
      <x:c r="I45" s="15" t="str">
        <x:v>温暖慵懒的御姐，试菜时非常有主见</x:v>
      </x:c>
      <x:c r="J45" s="15" t="str">
        <x:v>主厨</x:v>
      </x:c>
      <x:c r="K45" s="15" t="str">
        <x:v>补给长</x:v>
      </x:c>
      <x:c r="L45" s="15" t="str">
        <x:v>客栈掌厨，擅长把来自不同船的剩余食材做成盛宴</x:v>
      </x:c>
      <x:c r="M45" s="15" t="str">
        <x:v>做出一份每个人都能认出家乡的远洋菜单</x:v>
      </x:c>
      <x:c r="N45" s="15" t="str">
        <x:v>柯钦</x:v>
      </x:c>
      <x:c r="O45" s="15" t="str">
        <x:v>柯钦潮港客栈</x:v>
      </x:c>
      <x:c r="P45" s="15" t="str">
        <x:v>提供五种普通食材且邀请不同区域船员同桌</x:v>
      </x:c>
      <x:c r="Q45" s="30" t="n">
        <x:v>450</x:v>
      </x:c>
      <x:c r="R45" s="30" t="n">
        <x:v>220</x:v>
      </x:c>
    </x:row>
    <x:row r="46" ht="31" customHeight="1">
      <x:c r="A46" s="13" t="str">
        <x:v>C041</x:v>
      </x:c>
      <x:c r="B46" s="13" t="str">
        <x:v>德夫·织风</x:v>
      </x:c>
      <x:c r="C46" s="13" t="str">
        <x:v>Dev Windweave</x:v>
      </x:c>
      <x:c r="D46" s="27" t="n">
        <x:v>30</x:v>
      </x:c>
      <x:c r="E46" s="13" t="str">
        <x:v>男</x:v>
      </x:c>
      <x:c r="F46" s="13" t="str">
        <x:v>第乌</x:v>
      </x:c>
      <x:c r="G46" s="13" t="str">
        <x:v>R07</x:v>
      </x:c>
      <x:c r="H46" s="13" t="str">
        <x:v>铜棕肤色、黑发、灰眼、米色卷袖短褂和青布腰带，手缠量带</x:v>
      </x:c>
      <x:c r="I46" s="13" t="str">
        <x:v>专注温和的匠人型帅哥，不擅长夸自己</x:v>
      </x:c>
      <x:c r="J46" s="13" t="str">
        <x:v>帆缆长</x:v>
      </x:c>
      <x:c r="K46" s="13" t="str">
        <x:v>船匠</x:v>
      </x:c>
      <x:c r="L46" s="13" t="str">
        <x:v>棉织工出身，因一张破帆救下渔船而投身帆装</x:v>
      </x:c>
      <x:c r="M46" s="13" t="str">
        <x:v>把细棉织业与远洋抗风结构结合</x:v>
      </x:c>
      <x:c r="N46" s="13" t="str">
        <x:v>第乌</x:v>
      </x:c>
      <x:c r="O46" s="13" t="str">
        <x:v>第乌棉帆工坊</x:v>
      </x:c>
      <x:c r="P46" s="13" t="str">
        <x:v>带回长航段破帆并逐处说明损坏过程</x:v>
      </x:c>
      <x:c r="Q46" s="27" t="n">
        <x:v>850</x:v>
      </x:c>
      <x:c r="R46" s="27" t="n">
        <x:v>240</x:v>
      </x:c>
    </x:row>
    <x:row r="47" ht="31" customHeight="1">
      <x:c r="A47" s="15" t="str">
        <x:v>C042</x:v>
      </x:c>
      <x:c r="B47" s="15" t="str">
        <x:v>伊莎·孟加拉潮</x:v>
      </x:c>
      <x:c r="C47" s="15" t="str">
        <x:v>Isha Bengal Tide</x:v>
      </x:c>
      <x:c r="D47" s="30" t="n">
        <x:v>60</x:v>
      </x:c>
      <x:c r="E47" s="15" t="str">
        <x:v>女</x:v>
      </x:c>
      <x:c r="F47" s="15" t="str">
        <x:v>吉大港</x:v>
      </x:c>
      <x:c r="G47" s="15" t="str">
        <x:v>R07</x:v>
      </x:c>
      <x:c r="H47" s="15" t="str">
        <x:v>银白长辫、深棕肤色、锐利黑眼、墨绿雨披，竹杖顶端有测深盘</x:v>
      </x:c>
      <x:c r="I47" s="15" t="str">
        <x:v>沉着辛辣的酷老太，对年轻人的失误容得下</x:v>
      </x:c>
      <x:c r="J47" s="15" t="str">
        <x:v>操舵手</x:v>
      </x:c>
      <x:c r="K47" s="15" t="str">
        <x:v>副官</x:v>
      </x:c>
      <x:c r="L47" s="15" t="str">
        <x:v>河口引航人，半生把满载大船带过每季变动的沙洲</x:v>
      </x:c>
      <x:c r="M47" s="15" t="str">
        <x:v>培养能自己判断河流的新一代引航员</x:v>
      </x:c>
      <x:c r="N47" s="15" t="str">
        <x:v>吉大港</x:v>
      </x:c>
      <x:c r="O47" s="15" t="str">
        <x:v>吉大港引水码头</x:v>
      </x:c>
      <x:c r="P47" s="15" t="str">
        <x:v>按她要求停船测深三次，不抢潮硬闯</x:v>
      </x:c>
      <x:c r="Q47" s="30" t="n">
        <x:v>700</x:v>
      </x:c>
      <x:c r="R47" s="30" t="n">
        <x:v>330</x:v>
      </x:c>
    </x:row>
    <x:row r="48" ht="31" customHeight="1">
      <x:c r="A48" s="13" t="str">
        <x:v>C043</x:v>
      </x:c>
      <x:c r="B48" s="13" t="str">
        <x:v>拉特娜·千结</x:v>
      </x:c>
      <x:c r="C48" s="13" t="str">
        <x:v>Ratna Thousandknots</x:v>
      </x:c>
      <x:c r="D48" s="27" t="n">
        <x:v>26</x:v>
      </x:c>
      <x:c r="E48" s="13" t="str">
        <x:v>女</x:v>
      </x:c>
      <x:c r="F48" s="13" t="str">
        <x:v>马六甲</x:v>
      </x:c>
      <x:c r="G48" s="13" t="str">
        <x:v>R08</x:v>
      </x:c>
      <x:c r="H48" s="13" t="str">
        <x:v>深棕短发、碧绿眼、深紫短外套与花纹长裙，耳饰像两枚小结</x:v>
      </x:c>
      <x:c r="I48" s="13" t="str">
        <x:v>机敏俏皮，切换语言时像换面具</x:v>
      </x:c>
      <x:c r="J48" s="13" t="str">
        <x:v>翻译官</x:v>
      </x:c>
      <x:c r="K48" s="13" t="str">
        <x:v>交易长</x:v>
      </x:c>
      <x:c r="L48" s="13" t="str">
        <x:v>码头混合语家庭长女，靠解释不同商人的手势解纠纷</x:v>
      </x:c>
      <x:c r="M48" s="13" t="str">
        <x:v>写一部真正服务码头而非宫廷的通用会话书</x:v>
      </x:c>
      <x:c r="N48" s="13" t="str">
        <x:v>马六甲</x:v>
      </x:c>
      <x:c r="O48" s="13" t="str">
        <x:v>马六甲多语茶摊</x:v>
      </x:c>
      <x:c r="P48" s="13" t="str">
        <x:v>通过手势与货单解决一次双方都没撒谎的争执</x:v>
      </x:c>
      <x:c r="Q48" s="27" t="n">
        <x:v>600</x:v>
      </x:c>
      <x:c r="R48" s="27" t="n">
        <x:v>240</x:v>
      </x:c>
    </x:row>
    <x:row r="49" ht="31" customHeight="1">
      <x:c r="A49" s="15" t="str">
        <x:v>C044</x:v>
      </x:c>
      <x:c r="B49" s="15" t="str">
        <x:v>巴尤·雨雀</x:v>
      </x:c>
      <x:c r="C49" s="15" t="str">
        <x:v>Bayu Rainbird</x:v>
      </x:c>
      <x:c r="D49" s="30" t="n">
        <x:v>16</x:v>
      </x:c>
      <x:c r="E49" s="15" t="str">
        <x:v>男</x:v>
      </x:c>
      <x:c r="F49" s="15" t="str">
        <x:v>望加锡</x:v>
      </x:c>
      <x:c r="G49" s="15" t="str">
        <x:v>R08</x:v>
      </x:c>
      <x:c r="H49" s="15" t="str">
        <x:v>棕肤、黑色翘发、圆亮眼、青绿短斗篷和宽短裤，木鸟胸针</x:v>
      </x:c>
      <x:c r="I49" s="15" t="str">
        <x:v>爱笑的正太少年，爬高很快但写字很慢</x:v>
      </x:c>
      <x:c r="J49" s="15" t="str">
        <x:v>瞭望员</x:v>
      </x:c>
      <x:c r="K49" s="15" t="str">
        <x:v>博物学者</x:v>
      </x:c>
      <x:c r="L49" s="15" t="str">
        <x:v>造船滩跑腿少年，懂得观察海鸟返巢与雨云变化</x:v>
      </x:c>
      <x:c r="M49" s="15" t="str">
        <x:v>画一本不用识字也能读懂的天气册</x:v>
      </x:c>
      <x:c r="N49" s="15" t="str">
        <x:v>望加锡</x:v>
      </x:c>
      <x:c r="O49" s="15" t="str">
        <x:v>望加锡桅木场</x:v>
      </x:c>
      <x:c r="P49" s="15" t="str">
        <x:v>找回被雨冲散的天气画册并教他整理日期</x:v>
      </x:c>
      <x:c r="Q49" s="30" t="n">
        <x:v>100</x:v>
      </x:c>
      <x:c r="R49" s="30" t="n">
        <x:v>100</x:v>
      </x:c>
    </x:row>
    <x:row r="50" ht="31" customHeight="1">
      <x:c r="A50" s="13" t="str">
        <x:v>C045</x:v>
      </x:c>
      <x:c r="B50" s="13" t="str">
        <x:v>阮绫瓷</x:v>
      </x:c>
      <x:c r="C50" s="13" t="str">
        <x:v>Nguyen Linh Su</x:v>
      </x:c>
      <x:c r="D50" s="27" t="n">
        <x:v>24</x:v>
      </x:c>
      <x:c r="E50" s="13" t="str">
        <x:v>女</x:v>
      </x:c>
      <x:c r="F50" s="13" t="str">
        <x:v>会安</x:v>
      </x:c>
      <x:c r="G50" s="13" t="str">
        <x:v>R08</x:v>
      </x:c>
      <x:c r="H50" s="13" t="str">
        <x:v>乌黑齐腰长发、暖棕眼、青瓷色长上衣和白裤，细瓷片发簪</x:v>
      </x:c>
      <x:c r="I50" s="13" t="str">
        <x:v>端静内秀的大小姐，设计桌前敢推翻任何方案</x:v>
      </x:c>
      <x:c r="J50" s="13" t="str">
        <x:v>交易长</x:v>
      </x:c>
      <x:c r="K50" s="13" t="str">
        <x:v>考古学者</x:v>
      </x:c>
      <x:c r="L50" s="13" t="str">
        <x:v>陶瓷商家与窑工家庭之间的桥梁，珍惜每道不起眼的窑痕</x:v>
      </x:c>
      <x:c r="M50" s="13" t="str">
        <x:v>做出能被远方家庭日常使用的好器物</x:v>
      </x:c>
      <x:c r="N50" s="13" t="str">
        <x:v>会安</x:v>
      </x:c>
      <x:c r="O50" s="13" t="str">
        <x:v>会安河岸瓷铺</x:v>
      </x:c>
      <x:c r="P50" s="13" t="str">
        <x:v>送来破损进口碗并解释海运中的破裂位置</x:v>
      </x:c>
      <x:c r="Q50" s="27" t="n">
        <x:v>650</x:v>
      </x:c>
      <x:c r="R50" s="27" t="n">
        <x:v>220</x:v>
      </x:c>
    </x:row>
    <x:row r="51" ht="31" customHeight="1">
      <x:c r="A51" s="15" t="str">
        <x:v>C046</x:v>
      </x:c>
      <x:c r="B51" s="15" t="str">
        <x:v>萨莉·丁香星</x:v>
      </x:c>
      <x:c r="C51" s="15" t="str">
        <x:v>Sari Clovestar</x:v>
      </x:c>
      <x:c r="D51" s="30" t="n">
        <x:v>23</x:v>
      </x:c>
      <x:c r="E51" s="15" t="str">
        <x:v>女</x:v>
      </x:c>
      <x:c r="F51" s="15" t="str">
        <x:v>特尔纳特</x:v>
      </x:c>
      <x:c r="G51" s="15" t="str">
        <x:v>R08</x:v>
      </x:c>
      <x:c r="H51" s="15" t="str">
        <x:v>深棕肤色、黑色双长辫、金眼、赤褐披肩，腰间丁香形小刀鞘</x:v>
      </x:c>
      <x:c r="I51" s="15" t="str">
        <x:v>外柔内倔，爱家乡到不肯把它卖成风景</x:v>
      </x:c>
      <x:c r="J51" s="15" t="str">
        <x:v>驻港管事</x:v>
      </x:c>
      <x:c r="K51" s="15" t="str">
        <x:v>交易长</x:v>
      </x:c>
      <x:c r="L51" s="15" t="str">
        <x:v>丁香园记账人，发现产量丰收仍让种植家庭负债</x:v>
      </x:c>
      <x:c r="M51" s="15" t="str">
        <x:v>让香料的高价也能惠及种树的人</x:v>
      </x:c>
      <x:c r="N51" s="15" t="str">
        <x:v>特尔纳特</x:v>
      </x:c>
      <x:c r="O51" s="15" t="str">
        <x:v>特尔纳特丁香晒场</x:v>
      </x:c>
      <x:c r="P51" s="15" t="str">
        <x:v>按产地约定购买一个完整收成批次</x:v>
      </x:c>
      <x:c r="Q51" s="30" t="n">
        <x:v>600</x:v>
      </x:c>
      <x:c r="R51" s="30" t="n">
        <x:v>230</x:v>
      </x:c>
    </x:row>
    <x:row r="52" ht="31" customHeight="1">
      <x:c r="A52" s="13" t="str">
        <x:v>C047</x:v>
      </x:c>
      <x:c r="B52" s="13" t="str">
        <x:v>拉斐尔·雾刃</x:v>
      </x:c>
      <x:c r="C52" s="13" t="str">
        <x:v>Rafael Mistblade</x:v>
      </x:c>
      <x:c r="D52" s="27" t="n">
        <x:v>25</x:v>
      </x:c>
      <x:c r="E52" s="13" t="str">
        <x:v>男</x:v>
      </x:c>
      <x:c r="F52" s="13" t="str">
        <x:v>马尼拉</x:v>
      </x:c>
      <x:c r="G52" s="13" t="str">
        <x:v>R08</x:v>
      </x:c>
      <x:c r="H52" s="13" t="str">
        <x:v>黑色碎发、灰蓝眼、白衬衫与青铜护腕，双短刀绑于腰侧</x:v>
      </x:c>
      <x:c r="I52" s="13" t="str">
        <x:v>轻佻俊美却守信，怕认真表达感情</x:v>
      </x:c>
      <x:c r="J52" s="13" t="str">
        <x:v>登船战长</x:v>
      </x:c>
      <x:c r="K52" s="13" t="str">
        <x:v>信号官</x:v>
      </x:c>
      <x:c r="L52" s="13" t="str">
        <x:v>港口护卫与舞师之子，把舞步用于狭窄甲板搏斗</x:v>
      </x:c>
      <x:c r="M52" s="13" t="str">
        <x:v>为被误定罪的护卫队寻找证人</x:v>
      </x:c>
      <x:c r="N52" s="13" t="str">
        <x:v>马尼拉</x:v>
      </x:c>
      <x:c r="O52" s="13" t="str">
        <x:v>马尼拉桥市练武场</x:v>
      </x:c>
      <x:c r="P52" s="13" t="str">
        <x:v>在移动木板演习中护住模拟货箱</x:v>
      </x:c>
      <x:c r="Q52" s="27" t="n">
        <x:v>800</x:v>
      </x:c>
      <x:c r="R52" s="27" t="n">
        <x:v>240</x:v>
      </x:c>
    </x:row>
    <x:row r="53" ht="31" customHeight="1">
      <x:c r="A53" s="15" t="str">
        <x:v>C048</x:v>
      </x:c>
      <x:c r="B53" s="15" t="str">
        <x:v>茜蒂·深蓝环</x:v>
      </x:c>
      <x:c r="C53" s="15" t="str">
        <x:v>Siti Deepblue</x:v>
      </x:c>
      <x:c r="D53" s="30" t="n">
        <x:v>31</x:v>
      </x:c>
      <x:c r="E53" s="15" t="str">
        <x:v>女</x:v>
      </x:c>
      <x:c r="F53" s="15" t="str">
        <x:v>班达奈拉</x:v>
      </x:c>
      <x:c r="G53" s="15" t="str">
        <x:v>R08</x:v>
      </x:c>
      <x:c r="H53" s="15" t="str">
        <x:v>深肤色、黑发盘髻、浅褐眼、深蓝贴身内衫外罩宽袖长衣，珊瑚色腰绳</x:v>
      </x:c>
      <x:c r="I53" s="15" t="str">
        <x:v>寡言成熟的御姐，决定开航就不回头</x:v>
      </x:c>
      <x:c r="J53" s="15" t="str">
        <x:v>操舵手</x:v>
      </x:c>
      <x:c r="K53" s="15" t="str">
        <x:v>航海长</x:v>
      </x:c>
      <x:c r="L53" s="15" t="str">
        <x:v>火山岛海峡引航人，能从涌浪辨认水下山脊</x:v>
      </x:c>
      <x:c r="M53" s="15" t="str">
        <x:v>找到火山活动后仍能使用的岛际航路</x:v>
      </x:c>
      <x:c r="N53" s="15" t="str">
        <x:v>班达奈拉</x:v>
      </x:c>
      <x:c r="O53" s="15" t="str">
        <x:v>班达奈拉火山湾</x:v>
      </x:c>
      <x:c r="P53" s="15" t="str">
        <x:v>完成两次昼夜潮流观测并保留不同结果</x:v>
      </x:c>
      <x:c r="Q53" s="30" t="n">
        <x:v>1000</x:v>
      </x:c>
      <x:c r="R53" s="30" t="n">
        <x:v>290</x:v>
      </x:c>
    </x:row>
    <x:row r="54" ht="31" customHeight="1">
      <x:c r="A54" s="13" t="str">
        <x:v>C049</x:v>
      </x:c>
      <x:c r="B54" s="13" t="str">
        <x:v>沈照夜</x:v>
      </x:c>
      <x:c r="C54" s="13" t="str">
        <x:v>Shen Zhaoye</x:v>
      </x:c>
      <x:c r="D54" s="27" t="n">
        <x:v>28</x:v>
      </x:c>
      <x:c r="E54" s="13" t="str">
        <x:v>女</x:v>
      </x:c>
      <x:c r="F54" s="13" t="str">
        <x:v>泉州</x:v>
      </x:c>
      <x:c r="G54" s="13" t="str">
        <x:v>R09</x:v>
      </x:c>
      <x:c r="H54" s="13" t="str">
        <x:v>墨黑长发束高、冷蓝眼、白色短袍与藏青长披风，腰悬青铜船印</x:v>
      </x:c>
      <x:c r="I54" s="13" t="str">
        <x:v>外冷内热的女船长，做决定干净利落</x:v>
      </x:c>
      <x:c r="J54" s="13" t="str">
        <x:v>船长</x:v>
      </x:c>
      <x:c r="K54" s="13" t="str">
        <x:v>副官</x:v>
      </x:c>
      <x:c r="L54" s="13" t="str">
        <x:v>海商护航世家出身，拒绝以毁掉同行证明本事</x:v>
      </x:c>
      <x:c r="M54" s="13" t="str">
        <x:v>让不同旗号的商船共同遵守海上停战约</x:v>
      </x:c>
      <x:c r="N54" s="13" t="str">
        <x:v>泉州</x:v>
      </x:c>
      <x:c r="O54" s="13" t="str">
        <x:v>泉州天妃宫外码头</x:v>
      </x:c>
      <x:c r="P54" s="13" t="str">
        <x:v>护送一艘竞争商会船而不索取货物</x:v>
      </x:c>
      <x:c r="Q54" s="27" t="n">
        <x:v>1200</x:v>
      </x:c>
      <x:c r="R54" s="27" t="n">
        <x:v>300</x:v>
      </x:c>
    </x:row>
    <x:row r="55" ht="31" customHeight="1">
      <x:c r="A55" s="15" t="str">
        <x:v>C050</x:v>
      </x:c>
      <x:c r="B55" s="15" t="str">
        <x:v>杜映梨</x:v>
      </x:c>
      <x:c r="C55" s="15" t="str">
        <x:v>Du Yingli</x:v>
      </x:c>
      <x:c r="D55" s="30" t="n">
        <x:v>23</x:v>
      </x:c>
      <x:c r="E55" s="15" t="str">
        <x:v>女</x:v>
      </x:c>
      <x:c r="F55" s="15" t="str">
        <x:v>广州</x:v>
      </x:c>
      <x:c r="G55" s="15" t="str">
        <x:v>R09</x:v>
      </x:c>
      <x:c r="H55" s="15" t="str">
        <x:v>黑色齐肩发、浅褐眼、梨白上衣与淡青裙裤，细长发簪夹折纸</x:v>
      </x:c>
      <x:c r="I55" s="15" t="str">
        <x:v>温婉腹黑的小才女，最爱让自大者自己发现错误</x:v>
      </x:c>
      <x:c r="J55" s="15" t="str">
        <x:v>翻译官</x:v>
      </x:c>
      <x:c r="K55" s="15" t="str">
        <x:v>会计师</x:v>
      </x:c>
      <x:c r="L55" s="15" t="str">
        <x:v>广州书坊校对人，发现远洋商约常在小词上损害水手</x:v>
      </x:c>
      <x:c r="M55" s="15" t="str">
        <x:v>编成可让双方看懂的商约范本</x:v>
      </x:c>
      <x:c r="N55" s="15" t="str">
        <x:v>广州</x:v>
      </x:c>
      <x:c r="O55" s="15" t="str">
        <x:v>广州河埠书坊</x:v>
      </x:c>
      <x:c r="P55" s="15" t="str">
        <x:v>找出三份货单里并非笔误的责任差异</x:v>
      </x:c>
      <x:c r="Q55" s="30" t="n">
        <x:v>500</x:v>
      </x:c>
      <x:c r="R55" s="30" t="n">
        <x:v>230</x:v>
      </x:c>
    </x:row>
    <x:row r="56" ht="31" customHeight="1">
      <x:c r="A56" s="13" t="str">
        <x:v>C051</x:v>
      </x:c>
      <x:c r="B56" s="13" t="str">
        <x:v>宋时雨</x:v>
      </x:c>
      <x:c r="C56" s="13" t="str">
        <x:v>Song Shiyu</x:v>
      </x:c>
      <x:c r="D56" s="27" t="n">
        <x:v>17</x:v>
      </x:c>
      <x:c r="E56" s="13" t="str">
        <x:v>男</x:v>
      </x:c>
      <x:c r="F56" s="13" t="str">
        <x:v>南京</x:v>
      </x:c>
      <x:c r="G56" s="13" t="str">
        <x:v>R09</x:v>
      </x:c>
      <x:c r="H56" s="13" t="str">
        <x:v>乌黑短发、一绺翘起、灰绿眼、浅青学徒短衫，背木制漏刻箱</x:v>
      </x:c>
      <x:c r="I56" s="13" t="str">
        <x:v>清秀腼腆的天才少年，遇到时间误差会碎碎念</x:v>
      </x:c>
      <x:c r="J56" s="13" t="str">
        <x:v>测绘师</x:v>
      </x:c>
      <x:c r="K56" s="13" t="str">
        <x:v>火药师</x:v>
      </x:c>
      <x:c r="L56" s="13" t="str">
        <x:v>钟漏作坊学徒，用浮标摆动记录江水涨落</x:v>
      </x:c>
      <x:c r="M56" s="13" t="str">
        <x:v>造出不怕船摇的简易航时器</x:v>
      </x:c>
      <x:c r="N56" s="13" t="str">
        <x:v>南京</x:v>
      </x:c>
      <x:c r="O56" s="13" t="str">
        <x:v>南京江边漏刻作坊</x:v>
      </x:c>
      <x:c r="P56" s="13" t="str">
        <x:v>带回三种海况的摆幅记录并安排工艺导师</x:v>
      </x:c>
      <x:c r="Q56" s="27" t="n">
        <x:v>200</x:v>
      </x:c>
      <x:c r="R56" s="27" t="n">
        <x:v>120</x:v>
      </x:c>
    </x:row>
    <x:row r="57" ht="31" customHeight="1">
      <x:c r="A57" s="15" t="str">
        <x:v>C052</x:v>
      </x:c>
      <x:c r="B57" s="15" t="str">
        <x:v>九条澄花</x:v>
      </x:c>
      <x:c r="C57" s="15" t="str">
        <x:v>Kujo Sumika</x:v>
      </x:c>
      <x:c r="D57" s="30" t="n">
        <x:v>24</x:v>
      </x:c>
      <x:c r="E57" s="15" t="str">
        <x:v>女</x:v>
      </x:c>
      <x:c r="F57" s="15" t="str">
        <x:v>堺</x:v>
      </x:c>
      <x:c r="G57" s="15" t="str">
        <x:v>R09</x:v>
      </x:c>
      <x:c r="H57" s="15" t="str">
        <x:v>乌黑长直发、紫灰眼、绯白配色窄袖羽织与深蓝袴，白梅刀饰</x:v>
      </x:c>
      <x:c r="I57" s="15" t="str">
        <x:v>端庄傲娇，认真得可爱，绝不承认容易害羞</x:v>
      </x:c>
      <x:c r="J57" s="15" t="str">
        <x:v>登船战长</x:v>
      </x:c>
      <x:c r="K57" s="15" t="str">
        <x:v>副官</x:v>
      </x:c>
      <x:c r="L57" s="15" t="str">
        <x:v>武家旁支的护卫，因拒绝把荣誉归于家主而离乡</x:v>
      </x:c>
      <x:c r="M57" s="15" t="str">
        <x:v>建立以实力与责任决定位置的护卫队</x:v>
      </x:c>
      <x:c r="N57" s="15" t="str">
        <x:v>堺</x:v>
      </x:c>
      <x:c r="O57" s="15" t="str">
        <x:v>堺港外练武庭</x:v>
      </x:c>
      <x:c r="P57" s="15" t="str">
        <x:v>赢得木刀赛后邀请落败者一同训练</x:v>
      </x:c>
      <x:c r="Q57" s="30" t="n">
        <x:v>1000</x:v>
      </x:c>
      <x:c r="R57" s="30" t="n">
        <x:v>260</x:v>
      </x:c>
    </x:row>
    <x:row r="58" ht="31" customHeight="1">
      <x:c r="A58" s="13" t="str">
        <x:v>C053</x:v>
      </x:c>
      <x:c r="B58" s="13" t="str">
        <x:v>月城凛久</x:v>
      </x:c>
      <x:c r="C58" s="13" t="str">
        <x:v>Tsukishiro Riku</x:v>
      </x:c>
      <x:c r="D58" s="27" t="n">
        <x:v>20</x:v>
      </x:c>
      <x:c r="E58" s="13" t="str">
        <x:v>男</x:v>
      </x:c>
      <x:c r="F58" s="13" t="str">
        <x:v>长崎</x:v>
      </x:c>
      <x:c r="G58" s="13" t="str">
        <x:v>R09</x:v>
      </x:c>
      <x:c r="H58" s="13" t="str">
        <x:v>灰黑短发、浅蓝眼、靛青短外套与白衬衣，肩挂长枪测距绳</x:v>
      </x:c>
      <x:c r="I58" s="13" t="str">
        <x:v>冷脸俊美，讲话很短，夸人时会看向别处</x:v>
      </x:c>
      <x:c r="J58" s="13" t="str">
        <x:v>炮术长</x:v>
      </x:c>
      <x:c r="K58" s="13" t="str">
        <x:v>瞭望员</x:v>
      </x:c>
      <x:c r="L58" s="13" t="str">
        <x:v>铁炮工匠之子，比起铸造更喜欢研究风中弹道</x:v>
      </x:c>
      <x:c r="M58" s="13" t="str">
        <x:v>画出让普通炮手也能理解的海上测距图</x:v>
      </x:c>
      <x:c r="N58" s="13" t="str">
        <x:v>长崎</x:v>
      </x:c>
      <x:c r="O58" s="13" t="str">
        <x:v>长崎外海射场</x:v>
      </x:c>
      <x:c r="P58" s="13" t="str">
        <x:v>利用风旗校正连续命中三处不同距离目标</x:v>
      </x:c>
      <x:c r="Q58" s="27" t="n">
        <x:v>950</x:v>
      </x:c>
      <x:c r="R58" s="27" t="n">
        <x:v>240</x:v>
      </x:c>
    </x:row>
    <x:row r="59" ht="31" customHeight="1">
      <x:c r="A59" s="15" t="str">
        <x:v>C054</x:v>
      </x:c>
      <x:c r="B59" s="15" t="str">
        <x:v>韩素绳</x:v>
      </x:c>
      <x:c r="C59" s="15" t="str">
        <x:v>Han Soseung</x:v>
      </x:c>
      <x:c r="D59" s="30" t="n">
        <x:v>31</x:v>
      </x:c>
      <x:c r="E59" s="15" t="str">
        <x:v>女</x:v>
      </x:c>
      <x:c r="F59" s="15" t="str">
        <x:v>釜山</x:v>
      </x:c>
      <x:c r="G59" s="15" t="str">
        <x:v>R09</x:v>
      </x:c>
      <x:c r="H59" s="15" t="str">
        <x:v>墨发低髻、黑眼、象牙白长衫与海青背心，左耳银环，腰系彩绳卷</x:v>
      </x:c>
      <x:c r="I59" s="15" t="str">
        <x:v>沉稳知性的御姐，有一点一本正经的幽默</x:v>
      </x:c>
      <x:c r="J59" s="15" t="str">
        <x:v>信号官</x:v>
      </x:c>
      <x:c r="K59" s="15" t="str">
        <x:v>乐师</x:v>
      </x:c>
      <x:c r="L59" s="15" t="str">
        <x:v>渔港绳结师与军旗译员，熟悉强风下旗帜和声音的失真</x:v>
      </x:c>
      <x:c r="M59" s="15" t="str">
        <x:v>让看不清颜色、听不见鼓点的人也能读舰队命令</x:v>
      </x:c>
      <x:c r="N59" s="15" t="str">
        <x:v>釜山</x:v>
      </x:c>
      <x:c r="O59" s="15" t="str">
        <x:v>釜山旗帜工房</x:v>
      </x:c>
      <x:c r="P59" s="15" t="str">
        <x:v>测试旗、灯、绳结三种方式传递同一航令</x:v>
      </x:c>
      <x:c r="Q59" s="30" t="n">
        <x:v>700</x:v>
      </x:c>
      <x:c r="R59" s="30" t="n">
        <x:v>260</x:v>
      </x:c>
    </x:row>
    <x:row r="60" ht="31" customHeight="1">
      <x:c r="A60" s="13" t="str">
        <x:v>C055</x:v>
      </x:c>
      <x:c r="B60" s="13" t="str">
        <x:v>伊芙琳·盐玫瑰</x:v>
      </x:c>
      <x:c r="C60" s="13" t="str">
        <x:v>Evelyn Saltrose</x:v>
      </x:c>
      <x:c r="D60" s="27" t="n">
        <x:v>35</x:v>
      </x:c>
      <x:c r="E60" s="13" t="str">
        <x:v>女</x:v>
      </x:c>
      <x:c r="F60" s="13" t="str">
        <x:v>托尔图加</x:v>
      </x:c>
      <x:c r="G60" s="13" t="str">
        <x:v>R10</x:v>
      </x:c>
      <x:c r="H60" s="13" t="str">
        <x:v>赤褐卷发、金绿眼、黑金长外套与白衬衫，单侧玫瑰耳环</x:v>
      </x:c>
      <x:c r="I60" s="13" t="str">
        <x:v>危险漂亮的御姐，笑着算清人情债</x:v>
      </x:c>
      <x:c r="J60" s="13" t="str">
        <x:v>船长</x:v>
      </x:c>
      <x:c r="K60" s="13" t="str">
        <x:v>登船战长</x:v>
      </x:c>
      <x:c r="L60" s="13" t="str">
        <x:v>独立私掠舰长，打算让靠抢掠生活的旧部学会经营港口</x:v>
      </x:c>
      <x:c r="M60" s="13" t="str">
        <x:v>把漂泊船帮变成有规则的港湾共同体</x:v>
      </x:c>
      <x:c r="N60" s="13" t="str">
        <x:v>托尔图加</x:v>
      </x:c>
      <x:c r="O60" s="13" t="str">
        <x:v>托尔图加旧议事船</x:v>
      </x:c>
      <x:c r="P60" s="13" t="str">
        <x:v>击败其旗舰后同意归还船员私人财物</x:v>
      </x:c>
      <x:c r="Q60" s="27" t="n">
        <x:v>1600</x:v>
      </x:c>
      <x:c r="R60" s="27" t="n">
        <x:v>360</x:v>
      </x:c>
    </x:row>
    <x:row r="61" ht="31" customHeight="1">
      <x:c r="A61" s="15" t="str">
        <x:v>C056</x:v>
      </x:c>
      <x:c r="B61" s="15" t="str">
        <x:v>朱利安·晨锚</x:v>
      </x:c>
      <x:c r="C61" s="15" t="str">
        <x:v>Julian Dawnanchor</x:v>
      </x:c>
      <x:c r="D61" s="30" t="n">
        <x:v>27</x:v>
      </x:c>
      <x:c r="E61" s="15" t="str">
        <x:v>男</x:v>
      </x:c>
      <x:c r="F61" s="15" t="str">
        <x:v>哈瓦那</x:v>
      </x:c>
      <x:c r="G61" s="15" t="str">
        <x:v>R10</x:v>
      </x:c>
      <x:c r="H61" s="15" t="str">
        <x:v>金棕卷发、青绿眼、白金海军外套外罩短披风，旧锚胸针</x:v>
      </x:c>
      <x:c r="I61" s="15" t="str">
        <x:v>俊朗阳光的理想主义者，承压时会收起笑容</x:v>
      </x:c>
      <x:c r="J61" s="15" t="str">
        <x:v>副官</x:v>
      </x:c>
      <x:c r="K61" s="15" t="str">
        <x:v>船长</x:v>
      </x:c>
      <x:c r="L61" s="15" t="str">
        <x:v>护航军官，因反对把商船当诱饵被调离舰队</x:v>
      </x:c>
      <x:c r="M61" s="15" t="str">
        <x:v>证明守护船队也能赢得声望与生活</x:v>
      </x:c>
      <x:c r="N61" s="15" t="str">
        <x:v>哈瓦那</x:v>
      </x:c>
      <x:c r="O61" s="15" t="str">
        <x:v>哈瓦那护航码头</x:v>
      </x:c>
      <x:c r="P61" s="15" t="str">
        <x:v>完成一次全商船归港的护送任务</x:v>
      </x:c>
      <x:c r="Q61" s="30" t="n">
        <x:v>1100</x:v>
      </x:c>
      <x:c r="R61" s="30" t="n">
        <x:v>300</x:v>
      </x:c>
    </x:row>
    <x:row r="62" ht="31" customHeight="1">
      <x:c r="A62" s="13" t="str">
        <x:v>C057</x:v>
      </x:c>
      <x:c r="B62" s="13" t="str">
        <x:v>克莱芒汀·糖火</x:v>
      </x:c>
      <x:c r="C62" s="13" t="str">
        <x:v>Clementine Sugarfire</x:v>
      </x:c>
      <x:c r="D62" s="27" t="n">
        <x:v>20</x:v>
      </x:c>
      <x:c r="E62" s="13" t="str">
        <x:v>女</x:v>
      </x:c>
      <x:c r="F62" s="13" t="str">
        <x:v>圣多明各</x:v>
      </x:c>
      <x:c r="G62" s="13" t="str">
        <x:v>R10</x:v>
      </x:c>
      <x:c r="H62" s="13" t="str">
        <x:v>蜜橘短卷发、碧眼、娇小身形、米黄短外套与长围裙，焦糖色蝴蝶结</x:v>
      </x:c>
      <x:c r="I62" s="13" t="str">
        <x:v>可爱傲娇的小厨师，笑起来全是坏主意</x:v>
      </x:c>
      <x:c r="J62" s="13" t="str">
        <x:v>主厨</x:v>
      </x:c>
      <x:c r="K62" s="13" t="str">
        <x:v>火药师</x:v>
      </x:c>
      <x:c r="L62" s="13" t="str">
        <x:v>糖坊甜点师，把温度控制经验带到船上补给</x:v>
      </x:c>
      <x:c r="M62" s="13" t="str">
        <x:v>让甜食成为长途船员能负担的奖励</x:v>
      </x:c>
      <x:c r="N62" s="13" t="str">
        <x:v>圣多明各</x:v>
      </x:c>
      <x:c r="O62" s="13" t="str">
        <x:v>圣多明各糖坊小店</x:v>
      </x:c>
      <x:c r="P62" s="13" t="str">
        <x:v>送来糖、可可与一种香辛料并按时分给夜班水手</x:v>
      </x:c>
      <x:c r="Q62" s="27" t="n">
        <x:v>300</x:v>
      </x:c>
      <x:c r="R62" s="27" t="n">
        <x:v>160</x:v>
      </x:c>
    </x:row>
    <x:row r="63" ht="31" customHeight="1">
      <x:c r="A63" s="15" t="str">
        <x:v>C058</x:v>
      </x:c>
      <x:c r="B63" s="15" t="str">
        <x:v>阿莫斯·格雷岬</x:v>
      </x:c>
      <x:c r="C63" s="15" t="str">
        <x:v>Amos Greycape</x:v>
      </x:c>
      <x:c r="D63" s="30" t="n">
        <x:v>65</x:v>
      </x:c>
      <x:c r="E63" s="15" t="str">
        <x:v>男</x:v>
      </x:c>
      <x:c r="F63" s="15" t="str">
        <x:v>波士顿</x:v>
      </x:c>
      <x:c r="G63" s="15" t="str">
        <x:v>R10</x:v>
      </x:c>
      <x:c r="H63" s="15" t="str">
        <x:v>灰发齐颈、蓝灰眼、修整整齐的银胡须、深蓝旧海军大衣</x:v>
      </x:c>
      <x:c r="I63" s="15" t="str">
        <x:v>风度从容的帅老头，寡言时比训斥更有威严</x:v>
      </x:c>
      <x:c r="J63" s="15" t="str">
        <x:v>航海长</x:v>
      </x:c>
      <x:c r="K63" s="15" t="str">
        <x:v>副官</x:v>
      </x:c>
      <x:c r="L63" s="15" t="str">
        <x:v>老测量舰长，为一次忽略渔民意见的事故自责多年</x:v>
      </x:c>
      <x:c r="M63" s="15" t="str">
        <x:v>重新测量以自己名字命名却记录有误的海岬</x:v>
      </x:c>
      <x:c r="N63" s="15" t="str">
        <x:v>波士顿</x:v>
      </x:c>
      <x:c r="O63" s="15" t="str">
        <x:v>波士顿海图室</x:v>
      </x:c>
      <x:c r="P63" s="15" t="str">
        <x:v>提交一份与官方海图矛盾但记录完整的测深</x:v>
      </x:c>
      <x:c r="Q63" s="30" t="n">
        <x:v>800</x:v>
      </x:c>
      <x:c r="R63" s="30" t="n">
        <x:v>330</x:v>
      </x:c>
    </x:row>
    <x:row r="64" ht="31" customHeight="1">
      <x:c r="A64" s="13" t="str">
        <x:v>C059</x:v>
      </x:c>
      <x:c r="B64" s="13" t="str">
        <x:v>卡塔莉娜·未寄潮</x:v>
      </x:c>
      <x:c r="C64" s="13" t="str">
        <x:v>Catalina Unsent Tide</x:v>
      </x:c>
      <x:c r="D64" s="27" t="n">
        <x:v>28</x:v>
      </x:c>
      <x:c r="E64" s="13" t="str">
        <x:v>女</x:v>
      </x:c>
      <x:c r="F64" s="13" t="str">
        <x:v>圣胡安</x:v>
      </x:c>
      <x:c r="G64" s="13" t="str">
        <x:v>R10</x:v>
      </x:c>
      <x:c r="H64" s="13" t="str">
        <x:v>乌黑长卷发、金褐眼、白衬衣和海蓝长裙裤，胸口旧信封吊袋</x:v>
      </x:c>
      <x:c r="I64" s="13" t="str">
        <x:v>外向漂亮，提到等待就异常尖锐</x:v>
      </x:c>
      <x:c r="J64" s="13" t="str">
        <x:v>测绘师</x:v>
      </x:c>
      <x:c r="K64" s="13" t="str">
        <x:v>乐师</x:v>
      </x:c>
      <x:c r="L64" s="13" t="str">
        <x:v>港口画师之女，祖母一生等着一位没回来的远航人</x:v>
      </x:c>
      <x:c r="M64" s="13" t="str">
        <x:v>查清等待背后究竟是背弃还是不敢面对</x:v>
      </x:c>
      <x:c r="N64" s="13" t="str">
        <x:v>圣胡安</x:v>
      </x:c>
      <x:c r="O64" s="13" t="str">
        <x:v>圣胡安临海画室</x:v>
      </x:c>
      <x:c r="P64" s="13" t="str">
        <x:v>找到一封被退回三十年的信并交给本人</x:v>
      </x:c>
      <x:c r="Q64" s="27" t="n">
        <x:v>650</x:v>
      </x:c>
      <x:c r="R64" s="27" t="n">
        <x:v>220</x:v>
      </x:c>
    </x:row>
    <x:row r="65" ht="31" customHeight="1">
      <x:c r="A65" s="15" t="str">
        <x:v>C060</x:v>
      </x:c>
      <x:c r="B65" s="15" t="str">
        <x:v>华金·银衡</x:v>
      </x:c>
      <x:c r="C65" s="15" t="str">
        <x:v>Joaquin Silverbalance</x:v>
      </x:c>
      <x:c r="D65" s="30" t="n">
        <x:v>39</x:v>
      </x:c>
      <x:c r="E65" s="15" t="str">
        <x:v>男</x:v>
      </x:c>
      <x:c r="F65" s="15" t="str">
        <x:v>韦拉克鲁斯</x:v>
      </x:c>
      <x:c r="G65" s="15" t="str">
        <x:v>R10</x:v>
      </x:c>
      <x:c r="H65" s="15" t="str">
        <x:v>黑发后梳、棕眼、细胡须、深绿长马甲，左手常转一枚砝码</x:v>
      </x:c>
      <x:c r="I65" s="15" t="str">
        <x:v>儒雅精明，厌恶把人的价值写成数字</x:v>
      </x:c>
      <x:c r="J65" s="15" t="str">
        <x:v>会计师</x:v>
      </x:c>
      <x:c r="K65" s="15" t="str">
        <x:v>驻港管事</x:v>
      </x:c>
      <x:c r="L65" s="15" t="str">
        <x:v>金属验收师，发现银锭成色被系统性做手脚</x:v>
      </x:c>
      <x:c r="M65" s="15" t="str">
        <x:v>让跨洋结算不再靠强者指定的秤</x:v>
      </x:c>
      <x:c r="N65" s="15" t="str">
        <x:v>韦拉克鲁斯</x:v>
      </x:c>
      <x:c r="O65" s="15" t="str">
        <x:v>韦拉克鲁斯公库</x:v>
      </x:c>
      <x:c r="P65" s="15" t="str">
        <x:v>通过称重与成色记录找出一批有误银锭</x:v>
      </x:c>
      <x:c r="Q65" s="30" t="n">
        <x:v>950</x:v>
      </x:c>
      <x:c r="R65" s="30" t="n">
        <x:v>300</x:v>
      </x:c>
    </x:row>
    <x:row r="66" ht="31" customHeight="1">
      <x:c r="A66" s="13" t="str">
        <x:v>C061</x:v>
      </x:c>
      <x:c r="B66" s="13" t="str">
        <x:v>奈拉·日阶</x:v>
      </x:c>
      <x:c r="C66" s="13" t="str">
        <x:v>Nayra Sunstep</x:v>
      </x:c>
      <x:c r="D66" s="27" t="n">
        <x:v>27</x:v>
      </x:c>
      <x:c r="E66" s="13" t="str">
        <x:v>女</x:v>
      </x:c>
      <x:c r="F66" s="13" t="str">
        <x:v>卡亚俄</x:v>
      </x:c>
      <x:c r="G66" s="13" t="str">
        <x:v>R11</x:v>
      </x:c>
      <x:c r="H66" s="13" t="str">
        <x:v>铜棕肌肤、黑色长辫、金棕眼、赭红披肩与海青长裙裤，背细木绘板</x:v>
      </x:c>
      <x:c r="I66" s="13" t="str">
        <x:v>坚定温柔，面对轻慢的目光从不后退</x:v>
      </x:c>
      <x:c r="J66" s="13" t="str">
        <x:v>考古学者</x:v>
      </x:c>
      <x:c r="K66" s="13" t="str">
        <x:v>翻译官</x:v>
      </x:c>
      <x:c r="L66" s="13" t="str">
        <x:v>织工与道路向导家庭的女儿，研究石工、织纹和地方口述史</x:v>
      </x:c>
      <x:c r="M66" s="13" t="str">
        <x:v>把山地与港口视为一张完整网络写进海图</x:v>
      </x:c>
      <x:c r="N66" s="13" t="str">
        <x:v>卡亚俄</x:v>
      </x:c>
      <x:c r="O66" s="13" t="str">
        <x:v>卡亚俄山海货栈</x:v>
      </x:c>
      <x:c r="P66" s="13" t="str">
        <x:v>雇本地向导并交回一次调查的完整记录</x:v>
      </x:c>
      <x:c r="Q66" s="27" t="n">
        <x:v>750</x:v>
      </x:c>
      <x:c r="R66" s="27" t="n">
        <x:v>270</x:v>
      </x:c>
    </x:row>
    <x:row r="67" ht="31" customHeight="1">
      <x:c r="A67" s="15" t="str">
        <x:v>C062</x:v>
      </x:c>
      <x:c r="B67" s="15" t="str">
        <x:v>阿马鲁·赤木</x:v>
      </x:c>
      <x:c r="C67" s="15" t="str">
        <x:v>Amaru Redwood</x:v>
      </x:c>
      <x:c r="D67" s="30" t="n">
        <x:v>26</x:v>
      </x:c>
      <x:c r="E67" s="15" t="str">
        <x:v>男</x:v>
      </x:c>
      <x:c r="F67" s="15" t="str">
        <x:v>里约热内卢</x:v>
      </x:c>
      <x:c r="G67" s="15" t="str">
        <x:v>R11</x:v>
      </x:c>
      <x:c r="H67" s="15" t="str">
        <x:v>棕肤、黑色卷发、琥珀眼、开领工装衫与红褐围裙，结实修长</x:v>
      </x:c>
      <x:c r="I67" s="15" t="str">
        <x:v>爽朗热血的年轻匠师，害羞时只会埋头干活</x:v>
      </x:c>
      <x:c r="J67" s="15" t="str">
        <x:v>船匠</x:v>
      </x:c>
      <x:c r="K67" s="15" t="str">
        <x:v>登船战长</x:v>
      </x:c>
      <x:c r="L67" s="15" t="str">
        <x:v>船木搬运工出身，研究不同木材的弯曲与吸水</x:v>
      </x:c>
      <x:c r="M67" s="15" t="str">
        <x:v>造一艘来自本地森林知识、能被本地人维护的远洋船</x:v>
      </x:c>
      <x:c r="N67" s="15" t="str">
        <x:v>里约热内卢</x:v>
      </x:c>
      <x:c r="O67" s="15" t="str">
        <x:v>里约热内卢船木堆场</x:v>
      </x:c>
      <x:c r="P67" s="15" t="str">
        <x:v>按木种分类一批混杂船材并完成维修委托</x:v>
      </x:c>
      <x:c r="Q67" s="30" t="n">
        <x:v>800</x:v>
      </x:c>
      <x:c r="R67" s="30" t="n">
        <x:v>240</x:v>
      </x:c>
    </x:row>
    <x:row r="68" ht="31" customHeight="1">
      <x:c r="A68" s="13" t="str">
        <x:v>C063</x:v>
      </x:c>
      <x:c r="B68" s="13" t="str">
        <x:v>比阿特丽斯·绿烛</x:v>
      </x:c>
      <x:c r="C68" s="13" t="str">
        <x:v>Beatriz Greencandle</x:v>
      </x:c>
      <x:c r="D68" s="27" t="n">
        <x:v>30</x:v>
      </x:c>
      <x:c r="E68" s="13" t="str">
        <x:v>女</x:v>
      </x:c>
      <x:c r="F68" s="13" t="str">
        <x:v>贝伦</x:v>
      </x:c>
      <x:c r="G68" s="13" t="str">
        <x:v>R11</x:v>
      </x:c>
      <x:c r="H68" s="13" t="str">
        <x:v>深棕肤色、黑色侧编发、翠绿眼、奶白旅行长衣配绿披肩，腰挂小镜盒</x:v>
      </x:c>
      <x:c r="I68" s="13" t="str">
        <x:v>知性慵懒的御姐，夜里讲故事极有魅力</x:v>
      </x:c>
      <x:c r="J68" s="13" t="str">
        <x:v>博物学者</x:v>
      </x:c>
      <x:c r="K68" s="13" t="str">
        <x:v>船医</x:v>
      </x:c>
      <x:c r="L68" s="13" t="str">
        <x:v>河口植物学徒，关注夜间花开与昆虫活动</x:v>
      </x:c>
      <x:c r="M68" s="13" t="str">
        <x:v>画出一份雨林日夜变化的共同观察图谱</x:v>
      </x:c>
      <x:c r="N68" s="13" t="str">
        <x:v>贝伦</x:v>
      </x:c>
      <x:c r="O68" s="13" t="str">
        <x:v>贝伦河口园圃</x:v>
      </x:c>
      <x:c r="P68" s="13" t="str">
        <x:v>带回同一植物白昼与夜间观察记录</x:v>
      </x:c>
      <x:c r="Q68" s="27" t="n">
        <x:v>650</x:v>
      </x:c>
      <x:c r="R68" s="27" t="n">
        <x:v>260</x:v>
      </x:c>
    </x:row>
    <x:row r="69" ht="31" customHeight="1">
      <x:c r="A69" s="15" t="str">
        <x:v>C064</x:v>
      </x:c>
      <x:c r="B69" s="15" t="str">
        <x:v>蒂亚戈·飞沫</x:v>
      </x:c>
      <x:c r="C69" s="15" t="str">
        <x:v>Thiago Spray</x:v>
      </x:c>
      <x:c r="D69" s="30" t="n">
        <x:v>17</x:v>
      </x:c>
      <x:c r="E69" s="15" t="str">
        <x:v>男</x:v>
      </x:c>
      <x:c r="F69" s="15" t="str">
        <x:v>萨尔瓦多</x:v>
      </x:c>
      <x:c r="G69" s="15" t="str">
        <x:v>R11</x:v>
      </x:c>
      <x:c r="H69" s="15" t="str">
        <x:v>棕肤黑卷发、亮棕眼、白色短衫与天蓝背带裤，脚踝系细红绳</x:v>
      </x:c>
      <x:c r="I69" s="15" t="str">
        <x:v>元气少年，跑得快也特别容易饿</x:v>
      </x:c>
      <x:c r="J69" s="15" t="str">
        <x:v>瞭望员</x:v>
      </x:c>
      <x:c r="K69" s="15" t="str">
        <x:v>操舵手</x:v>
      </x:c>
      <x:c r="L69" s="15" t="str">
        <x:v>上下城之间送信的跑腿人，记得每条台阶与水道</x:v>
      </x:c>
      <x:c r="M69" s="15" t="str">
        <x:v>成为不仅会赶路、还知道为什么出发的领航员</x:v>
      </x:c>
      <x:c r="N69" s="15" t="str">
        <x:v>萨尔瓦多</x:v>
      </x:c>
      <x:c r="O69" s="15" t="str">
        <x:v>萨尔瓦多下城码头</x:v>
      </x:c>
      <x:c r="P69" s="15" t="str">
        <x:v>及时递交三封互有矛盾的停航通知并核实真相</x:v>
      </x:c>
      <x:c r="Q69" s="30" t="n">
        <x:v>150</x:v>
      </x:c>
      <x:c r="R69" s="30" t="n">
        <x:v>110</x:v>
      </x:c>
    </x:row>
    <x:row r="70" ht="31" customHeight="1">
      <x:c r="A70" s="13" t="str">
        <x:v>C065</x:v>
      </x:c>
      <x:c r="B70" s="13" t="str">
        <x:v>库耶恩·雨弓</x:v>
      </x:c>
      <x:c r="C70" s="13" t="str">
        <x:v>Kuyen Rainarc</x:v>
      </x:c>
      <x:c r="D70" s="27" t="n">
        <x:v>34</x:v>
      </x:c>
      <x:c r="E70" s="13" t="str">
        <x:v>女</x:v>
      </x:c>
      <x:c r="F70" s="13" t="str">
        <x:v>瓦尔帕莱索</x:v>
      </x:c>
      <x:c r="G70" s="13" t="str">
        <x:v>R11</x:v>
      </x:c>
      <x:c r="H70" s="13" t="str">
        <x:v>黑色齐肩发、银灰眼、深蓝披风配几何织纹肩带，铜银圆饰</x:v>
      </x:c>
      <x:c r="I70" s="13" t="str">
        <x:v>安静坚定，言语简短但总有余味</x:v>
      </x:c>
      <x:c r="J70" s="13" t="str">
        <x:v>测绘师</x:v>
      </x:c>
      <x:c r="K70" s="13" t="str">
        <x:v>博物学者</x:v>
      </x:c>
      <x:c r="L70" s="13" t="str">
        <x:v>南部海岸向导家庭出身，把星位、潮声和季节记在自己的旅册</x:v>
      </x:c>
      <x:c r="M70" s="13" t="str">
        <x:v>让南方天空拥有自己的叙述方式</x:v>
      </x:c>
      <x:c r="N70" s="13" t="str">
        <x:v>瓦尔帕莱索</x:v>
      </x:c>
      <x:c r="O70" s="13" t="str">
        <x:v>瓦尔帕莱索山脊观星地</x:v>
      </x:c>
      <x:c r="P70" s="13" t="str">
        <x:v>带来南北两份星图并承认它们各有坐标习惯</x:v>
      </x:c>
      <x:c r="Q70" s="27" t="n">
        <x:v>750</x:v>
      </x:c>
      <x:c r="R70" s="27" t="n">
        <x:v>270</x:v>
      </x:c>
    </x:row>
    <x:row r="71" ht="31" customHeight="1">
      <x:c r="A71" s="15" t="str">
        <x:v>C066</x:v>
      </x:c>
      <x:c r="B71" s="15" t="str">
        <x:v>托马斯·南折</x:v>
      </x:c>
      <x:c r="C71" s="15" t="str">
        <x:v>Tomas Southbend</x:v>
      </x:c>
      <x:c r="D71" s="30" t="n">
        <x:v>41</x:v>
      </x:c>
      <x:c r="E71" s="15" t="str">
        <x:v>男</x:v>
      </x:c>
      <x:c r="F71" s="15" t="str">
        <x:v>蒙得维的亚</x:v>
      </x:c>
      <x:c r="G71" s="15" t="str">
        <x:v>R11</x:v>
      </x:c>
      <x:c r="H71" s="15" t="str">
        <x:v>黑发夹灰、灰蓝眼、短胡须、深棕长风衣，左肩旧浪纹缝补</x:v>
      </x:c>
      <x:c r="I71" s="15" t="str">
        <x:v>成熟冷幽默的帅大叔，决定撤退时从不逞强</x:v>
      </x:c>
      <x:c r="J71" s="15" t="str">
        <x:v>航海长</x:v>
      </x:c>
      <x:c r="K71" s="15" t="str">
        <x:v>补给长</x:v>
      </x:c>
      <x:c r="L71" s="15" t="str">
        <x:v>南角补给船长，曾因抢季节而损失整船货</x:v>
      </x:c>
      <x:c r="M71" s="15" t="str">
        <x:v>找出普通商船也能采用的南角往返节律</x:v>
      </x:c>
      <x:c r="N71" s="15" t="str">
        <x:v>蒙得维的亚</x:v>
      </x:c>
      <x:c r="O71" s="15" t="str">
        <x:v>蒙得维的亚补给船坞</x:v>
      </x:c>
      <x:c r="P71" s="15" t="str">
        <x:v>等待南角气候窗口，完成一段真实补给预算</x:v>
      </x:c>
      <x:c r="Q71" s="30" t="n">
        <x:v>1000</x:v>
      </x:c>
      <x:c r="R71" s="30" t="n">
        <x:v>310</x:v>
      </x:c>
    </x:row>
    <x:row r="72" ht="31" customHeight="1">
      <x:c r="A72" s="13" t="str">
        <x:v>C067</x:v>
      </x:c>
      <x:c r="B72" s="13" t="str">
        <x:v>莫阿娜·归星</x:v>
      </x:c>
      <x:c r="C72" s="13" t="str">
        <x:v>Moana Homewardstar</x:v>
      </x:c>
      <x:c r="D72" s="27" t="n">
        <x:v>63</x:v>
      </x:c>
      <x:c r="E72" s="13" t="str">
        <x:v>女</x:v>
      </x:c>
      <x:c r="F72" s="13" t="str">
        <x:v>马塔瓦伊湾</x:v>
      </x:c>
      <x:c r="G72" s="13" t="str">
        <x:v>R12</x:v>
      </x:c>
      <x:c r="H72" s="13" t="str">
        <x:v>深棕肤色、银黑长发盘起、明亮褐眼、靛蓝长衣与红白披帛，木鱼钩坠</x:v>
      </x:c>
      <x:c r="I72" s="13" t="str">
        <x:v>从容有锋芒的酷老太，笑声像突然放晴</x:v>
      </x:c>
      <x:c r="J72" s="13" t="str">
        <x:v>船长</x:v>
      </x:c>
      <x:c r="K72" s="13" t="str">
        <x:v>航海长</x:v>
      </x:c>
      <x:c r="L72" s="13" t="str">
        <x:v>跨岛远航领航者，曾与C007母亲共同驶向未知海</x:v>
      </x:c>
      <x:c r="M72" s="13" t="str">
        <x:v>完成旧友没来得及公开的群星航路</x:v>
      </x:c>
      <x:c r="N72" s="13" t="str">
        <x:v>马塔瓦伊湾</x:v>
      </x:c>
      <x:c r="O72" s="13" t="str">
        <x:v>马塔瓦伊湾舟屋</x:v>
      </x:c>
      <x:c r="P72" s="13" t="str">
        <x:v>收集三套不同文化航法记录并听完她的完整故事</x:v>
      </x:c>
      <x:c r="Q72" s="27" t="n">
        <x:v>0</x:v>
      </x:c>
      <x:c r="R72" s="27" t="n">
        <x:v>360</x:v>
      </x:c>
    </x:row>
    <x:row r="73" ht="31" customHeight="1">
      <x:c r="A73" s="15" t="str">
        <x:v>C068</x:v>
      </x:c>
      <x:c r="B73" s="15" t="str">
        <x:v>塔维塔·双潮梁</x:v>
      </x:c>
      <x:c r="C73" s="15" t="str">
        <x:v>Tavita Twintide</x:v>
      </x:c>
      <x:c r="D73" s="30" t="n">
        <x:v>29</x:v>
      </x:c>
      <x:c r="E73" s="15" t="str">
        <x:v>男</x:v>
      </x:c>
      <x:c r="F73" s="15" t="str">
        <x:v>怀特马塔湾</x:v>
      </x:c>
      <x:c r="G73" s="15" t="str">
        <x:v>R12</x:v>
      </x:c>
      <x:c r="H73" s="15" t="str">
        <x:v>棕肤、黑发高束、深眼、灰白短披肩与耐磨裤，手臂几何纹饰</x:v>
      </x:c>
      <x:c r="I73" s="15" t="str">
        <x:v>沉稳健谈的健朗帅哥，制作时要求极细</x:v>
      </x:c>
      <x:c r="J73" s="15" t="str">
        <x:v>船匠</x:v>
      </x:c>
      <x:c r="K73" s="15" t="str">
        <x:v>帆缆长</x:v>
      </x:c>
      <x:c r="L73" s="15" t="str">
        <x:v>双体舟工匠与绳结师，喜欢拆解不同船的受力方式</x:v>
      </x:c>
      <x:c r="M73" s="15" t="str">
        <x:v>让大型双体船能承载远航学堂与共同工坊</x:v>
      </x:c>
      <x:c r="N73" s="15" t="str">
        <x:v>怀特马塔湾</x:v>
      </x:c>
      <x:c r="O73" s="15" t="str">
        <x:v>怀特马塔湾舟屋</x:v>
      </x:c>
      <x:c r="P73" s="15" t="str">
        <x:v>带回三类绳材并协助完成横梁负载试验</x:v>
      </x:c>
      <x:c r="Q73" s="30" t="n">
        <x:v>850</x:v>
      </x:c>
      <x:c r="R73" s="30" t="n">
        <x:v>280</x:v>
      </x:c>
    </x:row>
    <x:row r="74" ht="31" customHeight="1">
      <x:c r="A74" s="13" t="str">
        <x:v>C069</x:v>
      </x:c>
      <x:c r="B74" s="13" t="str">
        <x:v>希娜诺·花潮</x:v>
      </x:c>
      <x:c r="C74" s="13" t="str">
        <x:v>Hinano Flowertide</x:v>
      </x:c>
      <x:c r="D74" s="27" t="n">
        <x:v>22</x:v>
      </x:c>
      <x:c r="E74" s="13" t="str">
        <x:v>女</x:v>
      </x:c>
      <x:c r="F74" s="13" t="str">
        <x:v>马塔瓦伊湾</x:v>
      </x:c>
      <x:c r="G74" s="13" t="str">
        <x:v>R12</x:v>
      </x:c>
      <x:c r="H74" s="13" t="str">
        <x:v>深棕长卷发、蜜色眼、珊瑚粉短披肩与象牙白旅行裙，单侧花饰</x:v>
      </x:c>
      <x:c r="I74" s="13" t="str">
        <x:v>甜美元气，站上舞台便有强大掌控力</x:v>
      </x:c>
      <x:c r="J74" s="13" t="str">
        <x:v>乐师</x:v>
      </x:c>
      <x:c r="K74" s="13" t="str">
        <x:v>主厨</x:v>
      </x:c>
      <x:c r="L74" s="13" t="str">
        <x:v>宴会组织者与歌者，把不同岛屿的欢迎歌记在心里</x:v>
      </x:c>
      <x:c r="M74" s="13" t="str">
        <x:v>办一场远航者与留乡者共同参与的归港节</x:v>
      </x:c>
      <x:c r="N74" s="13" t="str">
        <x:v>马塔瓦伊湾</x:v>
      </x:c>
      <x:c r="O74" s="13" t="str">
        <x:v>马塔瓦伊湾公共会堂</x:v>
      </x:c>
      <x:c r="P74" s="13" t="str">
        <x:v>帮助准备一次社区归港宴，并带一首自己家乡的歌</x:v>
      </x:c>
      <x:c r="Q74" s="27" t="n">
        <x:v>300</x:v>
      </x:c>
      <x:c r="R74" s="27" t="n">
        <x:v>180</x:v>
      </x:c>
    </x:row>
    <x:row r="75" ht="31" customHeight="1">
      <x:c r="A75" s="15" t="str">
        <x:v>C070</x:v>
      </x:c>
      <x:c r="B75" s="15" t="str">
        <x:v>凯阿努·浪脊</x:v>
      </x:c>
      <x:c r="C75" s="15" t="str">
        <x:v>Keanu Wavecrest</x:v>
      </x:c>
      <x:c r="D75" s="30" t="n">
        <x:v>21</x:v>
      </x:c>
      <x:c r="E75" s="15" t="str">
        <x:v>男</x:v>
      </x:c>
      <x:c r="F75" s="15" t="str">
        <x:v>科乌港</x:v>
      </x:c>
      <x:c r="G75" s="15" t="str">
        <x:v>R12</x:v>
      </x:c>
      <x:c r="H75" s="15" t="str">
        <x:v>棕肤、黑色短翘发、清亮褐眼、海青无袖外衣罩白衫，木制浪纹护腕</x:v>
      </x:c>
      <x:c r="I75" s="15" t="str">
        <x:v>俊美热血，信任身体经验也愿意学书本</x:v>
      </x:c>
      <x:c r="J75" s="15" t="str">
        <x:v>操舵手</x:v>
      </x:c>
      <x:c r="K75" s="15" t="str">
        <x:v>航海长</x:v>
      </x:c>
      <x:c r="L75" s="15" t="str">
        <x:v>在浪板与小舟间长大的领航学徒，能感受长涌方向</x:v>
      </x:c>
      <x:c r="M75" s="15" t="str">
        <x:v>把身体记得的海写成能教给别人的语言</x:v>
      </x:c>
      <x:c r="N75" s="15" t="str">
        <x:v>科乌港</x:v>
      </x:c>
      <x:c r="O75" s="15" t="str">
        <x:v>科乌港礁外舟场</x:v>
      </x:c>
      <x:c r="P75" s="15" t="str">
        <x:v>记录同一涌浪从白天到夜晚的改变</x:v>
      </x:c>
      <x:c r="Q75" s="30" t="n">
        <x:v>500</x:v>
      </x:c>
      <x:c r="R75" s="30" t="n">
        <x:v>200</x:v>
      </x:c>
    </x:row>
    <x:row r="76" ht="31" customHeight="1">
      <x:c r="A76" s="13" t="str">
        <x:v>C071</x:v>
      </x:c>
      <x:c r="B76" s="13" t="str">
        <x:v>拉妮·贝铃</x:v>
      </x:c>
      <x:c r="C76" s="13" t="str">
        <x:v>Lani Shellbell</x:v>
      </x:c>
      <x:c r="D76" s="27" t="n">
        <x:v>14</x:v>
      </x:c>
      <x:c r="E76" s="13" t="str">
        <x:v>女</x:v>
      </x:c>
      <x:c r="F76" s="13" t="str">
        <x:v>哈加特纳</x:v>
      </x:c>
      <x:c r="G76" s="13" t="str">
        <x:v>R12</x:v>
      </x:c>
      <x:c r="H76" s="13" t="str">
        <x:v>棕肤、黑色齐耳发、圆棕眼、贝白短斗篷与海蓝背带长裤，小贝铃</x:v>
      </x:c>
      <x:c r="I76" s="13" t="str">
        <x:v>娇小可爱的信使少女，认真、好奇、容易自责</x:v>
      </x:c>
      <x:c r="J76" s="13" t="str">
        <x:v>信号官</x:v>
      </x:c>
      <x:c r="K76" s="13" t="str">
        <x:v>瞭望员</x:v>
      </x:c>
      <x:c r="L76" s="13" t="str">
        <x:v>码头灯火看守家的学徒，替停靠船只传递生活消息</x:v>
      </x:c>
      <x:c r="M76" s="13" t="str">
        <x:v>让最小的岛也能被远方的船听见</x:v>
      </x:c>
      <x:c r="N76" s="13" t="str">
        <x:v>哈加特纳</x:v>
      </x:c>
      <x:c r="O76" s="13" t="str">
        <x:v>哈加特纳灯火棚</x:v>
      </x:c>
      <x:c r="P76" s="13" t="str">
        <x:v>帮她修好受潮的灯罩，并建立明确的船上导师安排</x:v>
      </x:c>
      <x:c r="Q76" s="27" t="n">
        <x:v>100</x:v>
      </x:c>
      <x:c r="R76" s="27" t="n">
        <x:v>80</x:v>
      </x:c>
    </x:row>
    <x:row r="77" ht="31" customHeight="1">
      <x:c r="A77" s="16" t="str">
        <x:v>C072</x:v>
      </x:c>
      <x:c r="B77" s="16" t="str">
        <x:v>兰吉·刻潮</x:v>
      </x:c>
      <x:c r="C77" s="16" t="str">
        <x:v>Rangi Carvetide</x:v>
      </x:c>
      <x:c r="D77" s="32" t="n">
        <x:v>45</x:v>
      </x:c>
      <x:c r="E77" s="16" t="str">
        <x:v>男</x:v>
      </x:c>
      <x:c r="F77" s="16" t="str">
        <x:v>汉加罗阿</x:v>
      </x:c>
      <x:c r="G77" s="16" t="str">
        <x:v>R12</x:v>
      </x:c>
      <x:c r="H77" s="16" t="str">
        <x:v>深棕肤色、黑灰长发束起、深眼、褐色披肩与白麻长衣，腰挂刻刀套</x:v>
      </x:c>
      <x:c r="I77" s="16" t="str">
        <x:v>沉静有魅力的艺术家，喜欢留出对话的空白</x:v>
      </x:c>
      <x:c r="J77" s="16" t="str">
        <x:v>考古学者</x:v>
      </x:c>
      <x:c r="K77" s="16" t="str">
        <x:v>船匠</x:v>
      </x:c>
      <x:c r="L77" s="16" t="str">
        <x:v>木雕师与地方故事记录者，在远航者眼中常被误当成神秘的解谜人</x:v>
      </x:c>
      <x:c r="M77" s="16" t="str">
        <x:v>让记录不只讲石像，也讲活着的人如何生活</x:v>
      </x:c>
      <x:c r="N77" s="16" t="str">
        <x:v>汉加罗阿</x:v>
      </x:c>
      <x:c r="O77" s="16" t="str">
        <x:v>汉加罗阿公共雕刻棚</x:v>
      </x:c>
      <x:c r="P77" s="16" t="str">
        <x:v>先帮助日常舟屋修补，再询问历史记录的方式</x:v>
      </x:c>
      <x:c r="Q77" s="32" t="n">
        <x:v>700</x:v>
      </x:c>
      <x:c r="R77" s="32" t="n">
        <x:v>290</x:v>
      </x:c>
    </x:row>
    <x:row r="78">
      <x:c r="A78" s="2"/>
      <x:c r="B78" s="2"/>
      <x:c r="C78" s="2"/>
      <x:c r="D78" s="2"/>
      <x:c r="E78" s="2"/>
      <x:c r="F78" s="2"/>
      <x:c r="G78" s="2"/>
      <x:c r="H78" s="2"/>
      <x:c r="I78" s="2"/>
      <x:c r="J78" s="2"/>
      <x:c r="K78" s="2"/>
      <x:c r="L78" s="2"/>
      <x:c r="M78" s="2"/>
      <x:c r="N78" s="2"/>
      <x:c r="O78" s="2"/>
      <x:c r="P78" s="2"/>
      <x:c r="Q78" s="2"/>
      <x:c r="R78" s="2"/>
    </x:row>
  </x:sheetData>
  <x:pageMargins left="0.7" right="0.7" top="0.75" bottom="0.75" header="0.3" footer="0.3"/>
  <x:tableParts count="1">
    <x:tablePart xmlns:r="http://schemas.openxmlformats.org/officeDocument/2006/relationships" r:id="R4f2c1f9841294fdb"/>
  </x:tableParts>
</x:worksheet>
</file>

<file path=xl/worksheets/sheet24.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3" hidden="0" customWidth="1"/>
    <x:col min="2" max="2" width="32" hidden="0" customWidth="1"/>
    <x:col min="3" max="3" width="21" hidden="0" customWidth="1"/>
    <x:col min="4" max="4" width="21"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28" hidden="0" customWidth="1"/>
    <x:col min="12" max="12" width="84" hidden="0" customWidth="1"/>
    <x:col min="13" max="13" width="28" hidden="0" customWidth="1"/>
    <x:col min="14" max="14" width="28" hidden="0" customWidth="1"/>
    <x:col min="15" max="15" width="58" hidden="0" customWidth="1"/>
    <x:col min="16" max="16" width="72" hidden="0" customWidth="1"/>
  </x:cols>
  <x:sheetData>
    <x:row r="1">
      <x:c r="A1" s="2"/>
      <x:c r="B1" s="2"/>
      <x:c r="C1" s="2"/>
      <x:c r="D1" s="2"/>
      <x:c r="E1" s="2"/>
      <x:c r="F1" s="2"/>
      <x:c r="G1" s="2"/>
      <x:c r="H1" s="2"/>
      <x:c r="I1" s="2"/>
      <x:c r="J1" s="2"/>
      <x:c r="K1" s="2"/>
      <x:c r="L1" s="2"/>
      <x:c r="M1" s="2"/>
      <x:c r="N1" s="2"/>
      <x:c r="O1" s="2"/>
      <x:c r="P1" s="2"/>
    </x:row>
    <x:row r="2" ht="28" customHeight="1">
      <x:c r="A2" s="3" t="str">
        <x:v>岗位、六维属性与独特技能</x:v>
      </x:c>
      <x:c r="B2" s="2"/>
      <x:c r="C2" s="2"/>
      <x:c r="D2" s="2"/>
      <x:c r="E2" s="2"/>
      <x:c r="F2" s="2"/>
      <x:c r="G2" s="2"/>
      <x:c r="H2" s="2"/>
      <x:c r="I2" s="2"/>
      <x:c r="J2" s="2"/>
      <x:c r="K2" s="2"/>
      <x:c r="L2" s="2"/>
      <x:c r="M2" s="2"/>
      <x:c r="N2" s="2"/>
      <x:c r="O2" s="2"/>
      <x:c r="P2" s="2"/>
    </x:row>
    <x:row r="3">
      <x:c r="A3" s="5" t="str">
        <x:v>六维属性为1—10起始设计值；主副岗位表示适配方向，同时只任命一个实际岗位。</x:v>
      </x:c>
      <x:c r="B3" s="2"/>
      <x:c r="C3" s="2"/>
      <x:c r="D3" s="2"/>
      <x:c r="E3" s="2"/>
      <x:c r="F3" s="2"/>
      <x:c r="G3" s="2"/>
      <x:c r="H3" s="2"/>
      <x:c r="I3" s="2"/>
      <x:c r="J3" s="2"/>
      <x:c r="K3" s="2"/>
      <x:c r="L3" s="2"/>
      <x:c r="M3" s="2"/>
      <x:c r="N3" s="2"/>
      <x:c r="O3" s="2"/>
      <x:c r="P3" s="2"/>
    </x:row>
    <x:row r="4">
      <x:c r="A4" s="2"/>
      <x:c r="B4" s="2"/>
      <x:c r="C4" s="2"/>
      <x:c r="D4" s="2"/>
      <x:c r="E4" s="2"/>
      <x:c r="F4" s="2"/>
      <x:c r="G4" s="2"/>
      <x:c r="H4" s="2"/>
      <x:c r="I4" s="2"/>
      <x:c r="J4" s="2"/>
      <x:c r="K4" s="2"/>
      <x:c r="L4" s="2"/>
      <x:c r="M4" s="2"/>
      <x:c r="N4" s="2"/>
      <x:c r="O4" s="2"/>
      <x:c r="P4" s="2"/>
    </x:row>
    <x:row r="5" ht="34" customHeight="1">
      <x:c r="A5" s="10" t="str">
        <x:v>海员ID</x:v>
      </x:c>
      <x:c r="B5" s="10" t="str">
        <x:v>姓名</x:v>
      </x:c>
      <x:c r="C5" s="10" t="str">
        <x:v>主岗位</x:v>
      </x:c>
      <x:c r="D5" s="10" t="str">
        <x:v>副岗位</x:v>
      </x:c>
      <x:c r="E5" s="10" t="str">
        <x:v>航海</x:v>
      </x:c>
      <x:c r="F5" s="10" t="str">
        <x:v>炮术</x:v>
      </x:c>
      <x:c r="G5" s="10" t="str">
        <x:v>白刃</x:v>
      </x:c>
      <x:c r="H5" s="10" t="str">
        <x:v>贸易</x:v>
      </x:c>
      <x:c r="I5" s="10" t="str">
        <x:v>学识</x:v>
      </x:c>
      <x:c r="J5" s="10" t="str">
        <x:v>统率</x:v>
      </x:c>
      <x:c r="K5" s="10" t="str">
        <x:v>主动技能</x:v>
      </x:c>
      <x:c r="L5" s="10" t="str">
        <x:v>主动效果</x:v>
      </x:c>
      <x:c r="M5" s="10" t="str">
        <x:v>主动冷却</x:v>
      </x:c>
      <x:c r="N5" s="10" t="str">
        <x:v>被动技能</x:v>
      </x:c>
      <x:c r="O5" s="10" t="str">
        <x:v>被动触发</x:v>
      </x:c>
      <x:c r="P5" s="10" t="str">
        <x:v>被动效果</x:v>
      </x:c>
    </x:row>
    <x:row r="6" ht="31" customHeight="1">
      <x:c r="A6" s="12" t="str">
        <x:v>C001</x:v>
      </x:c>
      <x:c r="B6" s="12" t="str">
        <x:v>艾尔莎·霜针</x:v>
      </x:c>
      <x:c r="C6" s="12" t="str">
        <x:v>航海长</x:v>
      </x:c>
      <x:c r="D6" s="12" t="str">
        <x:v>测绘师</x:v>
      </x:c>
      <x:c r="E6" s="26" t="n">
        <x:v>9</x:v>
      </x:c>
      <x:c r="F6" s="26" t="n">
        <x:v>3</x:v>
      </x:c>
      <x:c r="G6" s="26" t="n">
        <x:v>4</x:v>
      </x:c>
      <x:c r="H6" s="26" t="n">
        <x:v>3</x:v>
      </x:c>
      <x:c r="I6" s="26" t="n">
        <x:v>8</x:v>
      </x:c>
      <x:c r="J6" s="26" t="n">
        <x:v>6</x:v>
      </x:c>
      <x:c r="K6" s="12" t="str">
        <x:v>霜线领航</x:v>
      </x:c>
      <x:c r="L6" s="12" t="str">
        <x:v>60秒内己方舰队转向速度提升20%，冰雾内不丢失编队</x:v>
      </x:c>
      <x:c r="M6" s="12" t="str">
        <x:v>战斗180秒</x:v>
      </x:c>
      <x:c r="N6" s="12" t="str">
        <x:v>归港针</x:v>
      </x:c>
      <x:c r="O6" s="12" t="str">
        <x:v>沿已测绘北海航段航行</x:v>
      </x:c>
      <x:c r="P6" s="12" t="str">
        <x:v>补给消耗降低10%</x:v>
      </x:c>
    </x:row>
    <x:row r="7" ht="31" customHeight="1">
      <x:c r="A7" s="15" t="str">
        <x:v>C002</x:v>
      </x:c>
      <x:c r="B7" s="15" t="str">
        <x:v>米克尔·鸦湾</x:v>
      </x:c>
      <x:c r="C7" s="15" t="str">
        <x:v>操舵手</x:v>
      </x:c>
      <x:c r="D7" s="15" t="str">
        <x:v>登船战长</x:v>
      </x:c>
      <x:c r="E7" s="30" t="n">
        <x:v>9</x:v>
      </x:c>
      <x:c r="F7" s="30" t="n">
        <x:v>4</x:v>
      </x:c>
      <x:c r="G7" s="30" t="n">
        <x:v>7</x:v>
      </x:c>
      <x:c r="H7" s="30" t="n">
        <x:v>3</x:v>
      </x:c>
      <x:c r="I7" s="30" t="n">
        <x:v>4</x:v>
      </x:c>
      <x:c r="J7" s="30" t="n">
        <x:v>7</x:v>
      </x:c>
      <x:c r="K7" s="15" t="str">
        <x:v>鸦翼回首</x:v>
      </x:c>
      <x:c r="L7" s="15" t="str">
        <x:v>立即执行一次紧凑回转，后15秒被侧舷命中率降低20%</x:v>
      </x:c>
      <x:c r="M7" s="15" t="str">
        <x:v>战斗150秒</x:v>
      </x:c>
      <x:c r="N7" s="15" t="str">
        <x:v>听木知潮</x:v>
      </x:c>
      <x:c r="O7" s="15" t="str">
        <x:v>船体耐久低于50%</x:v>
      </x:c>
      <x:c r="P7" s="15" t="str">
        <x:v>转向速度不受船损惩罚</x:v>
      </x:c>
    </x:row>
    <x:row r="8" ht="31" customHeight="1">
      <x:c r="A8" s="13" t="str">
        <x:v>C003</x:v>
      </x:c>
      <x:c r="B8" s="13" t="str">
        <x:v>奥菲莉娅·洛森</x:v>
      </x:c>
      <x:c r="C8" s="13" t="str">
        <x:v>会计师</x:v>
      </x:c>
      <x:c r="D8" s="13" t="str">
        <x:v>交易长</x:v>
      </x:c>
      <x:c r="E8" s="27" t="n">
        <x:v>4</x:v>
      </x:c>
      <x:c r="F8" s="27" t="n">
        <x:v>2</x:v>
      </x:c>
      <x:c r="G8" s="27" t="n">
        <x:v>3</x:v>
      </x:c>
      <x:c r="H8" s="27" t="n">
        <x:v>9</x:v>
      </x:c>
      <x:c r="I8" s="27" t="n">
        <x:v>8</x:v>
      </x:c>
      <x:c r="J8" s="27" t="n">
        <x:v>6</x:v>
      </x:c>
      <x:c r="K8" s="13" t="str">
        <x:v>金线拆单</x:v>
      </x:c>
      <x:c r="L8" s="13" t="str">
        <x:v>把一笔大订单拆成三批连续结算，减半本次成交引发的价格冲击</x:v>
      </x:c>
      <x:c r="M8" s="13" t="str">
        <x:v>每港每月1次</x:v>
      </x:c>
      <x:c r="N8" s="13" t="str">
        <x:v>账本余白</x:v>
      </x:c>
      <x:c r="O8" s="13" t="str">
        <x:v>连续三航段如实支付薪酬</x:v>
      </x:c>
      <x:c r="P8" s="13" t="str">
        <x:v>全船薪酬满意度额外提高，借贷利率降低1个百分点</x:v>
      </x:c>
    </x:row>
    <x:row r="9" ht="31" customHeight="1">
      <x:c r="A9" s="15" t="str">
        <x:v>C004</x:v>
      </x:c>
      <x:c r="B9" s="15" t="str">
        <x:v>托比·苔页</x:v>
      </x:c>
      <x:c r="C9" s="15" t="str">
        <x:v>博物学者</x:v>
      </x:c>
      <x:c r="D9" s="15" t="str">
        <x:v>主厨</x:v>
      </x:c>
      <x:c r="E9" s="30" t="n">
        <x:v>6</x:v>
      </x:c>
      <x:c r="F9" s="30" t="n">
        <x:v>1</x:v>
      </x:c>
      <x:c r="G9" s="30" t="n">
        <x:v>2</x:v>
      </x:c>
      <x:c r="H9" s="30" t="n">
        <x:v>3</x:v>
      </x:c>
      <x:c r="I9" s="30" t="n">
        <x:v>8</x:v>
      </x:c>
      <x:c r="J9" s="30" t="n">
        <x:v>3</x:v>
      </x:c>
      <x:c r="K9" s="15" t="str">
        <x:v>漂木来信</x:v>
      </x:c>
      <x:c r="L9" s="15" t="str">
        <x:v>根据附近漂流物显示一处未记录海岸或生态点的方向</x:v>
      </x:c>
      <x:c r="M9" s="15" t="str">
        <x:v>航海7日</x:v>
      </x:c>
      <x:c r="N9" s="15" t="str">
        <x:v>样本小抽屉</x:v>
      </x:c>
      <x:c r="O9" s="15" t="str">
        <x:v>首次携带三类食材离港</x:v>
      </x:c>
      <x:c r="P9" s="15" t="str">
        <x:v>补给多样性维持时间增加20%</x:v>
      </x:c>
    </x:row>
    <x:row r="10" ht="31" customHeight="1">
      <x:c r="A10" s="13" t="str">
        <x:v>C005</x:v>
      </x:c>
      <x:c r="B10" s="13" t="str">
        <x:v>西格丽德·烬斧</x:v>
      </x:c>
      <x:c r="C10" s="13" t="str">
        <x:v>船匠</x:v>
      </x:c>
      <x:c r="D10" s="13" t="str">
        <x:v>登船战长</x:v>
      </x:c>
      <x:c r="E10" s="27" t="n">
        <x:v>6</x:v>
      </x:c>
      <x:c r="F10" s="27" t="n">
        <x:v>5</x:v>
      </x:c>
      <x:c r="G10" s="27" t="n">
        <x:v>8</x:v>
      </x:c>
      <x:c r="H10" s="27" t="n">
        <x:v>3</x:v>
      </x:c>
      <x:c r="I10" s="27" t="n">
        <x:v>8</x:v>
      </x:c>
      <x:c r="J10" s="27" t="n">
        <x:v>7</x:v>
      </x:c>
      <x:c r="K10" s="13" t="str">
        <x:v>热铆锁梁</x:v>
      </x:c>
      <x:c r="L10" s="13" t="str">
        <x:v>消耗1修理材，45秒内受损舷侧减伤25%并停止一处进水</x:v>
      </x:c>
      <x:c r="M10" s="13" t="str">
        <x:v>战斗180秒</x:v>
      </x:c>
      <x:c r="N10" s="13" t="str">
        <x:v>匠人的署名</x:v>
      </x:c>
      <x:c r="O10" s="13" t="str">
        <x:v>装备三种本区域船体改造</x:v>
      </x:c>
      <x:c r="P10" s="13" t="str">
        <x:v>最大船体耐久增加8%</x:v>
      </x:c>
    </x:row>
    <x:row r="11" ht="31" customHeight="1">
      <x:c r="A11" s="15" t="str">
        <x:v>C006</x:v>
      </x:c>
      <x:c r="B11" s="15" t="str">
        <x:v>英格丽德·赫尔姆</x:v>
      </x:c>
      <x:c r="C11" s="15" t="str">
        <x:v>副官</x:v>
      </x:c>
      <x:c r="D11" s="15" t="str">
        <x:v>船医</x:v>
      </x:c>
      <x:c r="E11" s="30" t="n">
        <x:v>8</x:v>
      </x:c>
      <x:c r="F11" s="30" t="n">
        <x:v>6</x:v>
      </x:c>
      <x:c r="G11" s="30" t="n">
        <x:v>6</x:v>
      </x:c>
      <x:c r="H11" s="30" t="n">
        <x:v>5</x:v>
      </x:c>
      <x:c r="I11" s="30" t="n">
        <x:v>8</x:v>
      </x:c>
      <x:c r="J11" s="30" t="n">
        <x:v>10</x:v>
      </x:c>
      <x:c r="K11" s="15" t="str">
        <x:v>全员归队</x:v>
      </x:c>
      <x:c r="L11" s="15" t="str">
        <x:v>立即重整己方失序编队，30秒内士气不再因友舰重创下降</x:v>
      </x:c>
      <x:c r="M11" s="15" t="str">
        <x:v>战斗1次</x:v>
      </x:c>
      <x:c r="N11" s="15" t="str">
        <x:v>老船上的名字</x:v>
      </x:c>
      <x:c r="O11" s="15" t="str">
        <x:v>任命不同区域三名以上伙伴</x:v>
      </x:c>
      <x:c r="P11" s="15" t="str">
        <x:v>关系事件触发所需航海日数减少20%</x:v>
      </x:c>
    </x:row>
    <x:row r="12" ht="31" customHeight="1">
      <x:c r="A12" s="13" t="str">
        <x:v>C007</x:v>
      </x:c>
      <x:c r="B12" s="13" t="str">
        <x:v>蕾奥诺拉·瓦伦特</x:v>
      </x:c>
      <x:c r="C12" s="13" t="str">
        <x:v>船长</x:v>
      </x:c>
      <x:c r="D12" s="13" t="str">
        <x:v>航海长</x:v>
      </x:c>
      <x:c r="E12" s="27" t="n">
        <x:v>8</x:v>
      </x:c>
      <x:c r="F12" s="27" t="n">
        <x:v>6</x:v>
      </x:c>
      <x:c r="G12" s="27" t="n">
        <x:v>7</x:v>
      </x:c>
      <x:c r="H12" s="27" t="n">
        <x:v>5</x:v>
      </x:c>
      <x:c r="I12" s="27" t="n">
        <x:v>7</x:v>
      </x:c>
      <x:c r="J12" s="27" t="n">
        <x:v>9</x:v>
      </x:c>
      <x:c r="K12" s="13" t="str">
        <x:v>向日冲阵</x:v>
      </x:c>
      <x:c r="L12" s="13" t="str">
        <x:v>旗舰与最近两友舰加速20秒，首次交叉齐射伤害提升15%</x:v>
      </x:c>
      <x:c r="M12" s="13" t="str">
        <x:v>战斗180秒</x:v>
      </x:c>
      <x:c r="N12" s="13" t="str">
        <x:v>未落的太阳</x:v>
      </x:c>
      <x:c r="O12" s="13" t="str">
        <x:v>迎着日出驶入未到访海域</x:v>
      </x:c>
      <x:c r="P12" s="13" t="str">
        <x:v>当日士气与探索线索获取率提高</x:v>
      </x:c>
    </x:row>
    <x:row r="13" ht="31" customHeight="1">
      <x:c r="A13" s="15" t="str">
        <x:v>C008</x:v>
      </x:c>
      <x:c r="B13" s="15" t="str">
        <x:v>加斯帕尔·维达</x:v>
      </x:c>
      <x:c r="C13" s="15" t="str">
        <x:v>交易长</x:v>
      </x:c>
      <x:c r="D13" s="15" t="str">
        <x:v>翻译官</x:v>
      </x:c>
      <x:c r="E13" s="30" t="n">
        <x:v>4</x:v>
      </x:c>
      <x:c r="F13" s="30" t="n">
        <x:v>5</x:v>
      </x:c>
      <x:c r="G13" s="30" t="n">
        <x:v>5</x:v>
      </x:c>
      <x:c r="H13" s="30" t="n">
        <x:v>9</x:v>
      </x:c>
      <x:c r="I13" s="30" t="n">
        <x:v>6</x:v>
      </x:c>
      <x:c r="J13" s="30" t="n">
        <x:v>7</x:v>
      </x:c>
      <x:c r="K13" s="15" t="str">
        <x:v>压轴开价</x:v>
      </x:c>
      <x:c r="L13" s="15" t="str">
        <x:v>将一项滞销货转成港口节庆组合订单，售量上限受节庆规模限制</x:v>
      </x:c>
      <x:c r="M13" s="15" t="str">
        <x:v>每港30日</x:v>
      </x:c>
      <x:c r="N13" s="15" t="str">
        <x:v>报幕人的耳朵</x:v>
      </x:c>
      <x:c r="O13" s="15" t="str">
        <x:v>进港后首次拜访酒馆</x:v>
      </x:c>
      <x:c r="P13" s="15" t="str">
        <x:v>免费获知一条邻港需求消息</x:v>
      </x:c>
    </x:row>
    <x:row r="14" ht="31" customHeight="1">
      <x:c r="A14" s="13" t="str">
        <x:v>C009</x:v>
      </x:c>
      <x:c r="B14" s="13" t="str">
        <x:v>伊内斯·蓝盐</x:v>
      </x:c>
      <x:c r="C14" s="13" t="str">
        <x:v>主厨</x:v>
      </x:c>
      <x:c r="D14" s="13" t="str">
        <x:v>交易长</x:v>
      </x:c>
      <x:c r="E14" s="27" t="n">
        <x:v>4</x:v>
      </x:c>
      <x:c r="F14" s="27" t="n">
        <x:v>1</x:v>
      </x:c>
      <x:c r="G14" s="27" t="n">
        <x:v>4</x:v>
      </x:c>
      <x:c r="H14" s="27" t="n">
        <x:v>7</x:v>
      </x:c>
      <x:c r="I14" s="27" t="n">
        <x:v>7</x:v>
      </x:c>
      <x:c r="J14" s="27" t="n">
        <x:v>5</x:v>
      </x:c>
      <x:c r="K14" s="13" t="str">
        <x:v>一锅到天亮</x:v>
      </x:c>
      <x:c r="L14" s="13" t="str">
        <x:v>消耗指定食材，恢复全船20士气并移除一次口粮厌倦</x:v>
      </x:c>
      <x:c r="M14" s="13" t="str">
        <x:v>航海5日</x:v>
      </x:c>
      <x:c r="N14" s="13" t="str">
        <x:v>盐封记忆</x:v>
      </x:c>
      <x:c r="O14" s="13" t="str">
        <x:v>制作含盐腌食</x:v>
      </x:c>
      <x:c r="P14" s="13" t="str">
        <x:v>生鲜类补给变质时间延长25%</x:v>
      </x:c>
    </x:row>
    <x:row r="15" ht="31" customHeight="1">
      <x:c r="A15" s="15" t="str">
        <x:v>C010</x:v>
      </x:c>
      <x:c r="B15" s="15" t="str">
        <x:v>阿德里安·德·拉·维加</x:v>
      </x:c>
      <x:c r="C15" s="15" t="str">
        <x:v>登船战长</x:v>
      </x:c>
      <x:c r="D15" s="15" t="str">
        <x:v>副官</x:v>
      </x:c>
      <x:c r="E15" s="30" t="n">
        <x:v>5</x:v>
      </x:c>
      <x:c r="F15" s="30" t="n">
        <x:v>4</x:v>
      </x:c>
      <x:c r="G15" s="30" t="n">
        <x:v>9</x:v>
      </x:c>
      <x:c r="H15" s="30" t="n">
        <x:v>3</x:v>
      </x:c>
      <x:c r="I15" s="30" t="n">
        <x:v>5</x:v>
      </x:c>
      <x:c r="J15" s="30" t="n">
        <x:v>8</x:v>
      </x:c>
      <x:c r="K15" s="15" t="str">
        <x:v>玫瑰交锋</x:v>
      </x:c>
      <x:c r="L15" s="15" t="str">
        <x:v>接舷时挑战敌军精英，胜利立刻压低敌方20士气</x:v>
      </x:c>
      <x:c r="M15" s="15" t="str">
        <x:v>战斗150秒</x:v>
      </x:c>
      <x:c r="N15" s="15" t="str">
        <x:v>剑尖礼节</x:v>
      </x:c>
      <x:c r="O15" s="15" t="str">
        <x:v>击败后接纳敌方投降</x:v>
      </x:c>
      <x:c r="P15" s="15" t="str">
        <x:v>获得额外招募声望</x:v>
      </x:c>
    </x:row>
    <x:row r="16" ht="31" customHeight="1">
      <x:c r="A16" s="13" t="str">
        <x:v>C011</x:v>
      </x:c>
      <x:c r="B16" s="13" t="str">
        <x:v>瑟蕾丝·贝洛</x:v>
      </x:c>
      <x:c r="C16" s="13" t="str">
        <x:v>火药师</x:v>
      </x:c>
      <x:c r="D16" s="13" t="str">
        <x:v>炮术长</x:v>
      </x:c>
      <x:c r="E16" s="27" t="n">
        <x:v>3</x:v>
      </x:c>
      <x:c r="F16" s="27" t="n">
        <x:v>9</x:v>
      </x:c>
      <x:c r="G16" s="27" t="n">
        <x:v>5</x:v>
      </x:c>
      <x:c r="H16" s="27" t="n">
        <x:v>4</x:v>
      </x:c>
      <x:c r="I16" s="27" t="n">
        <x:v>8</x:v>
      </x:c>
      <x:c r="J16" s="27" t="n">
        <x:v>6</x:v>
      </x:c>
      <x:c r="K16" s="13" t="str">
        <x:v>彩焰航标</x:v>
      </x:c>
      <x:c r="L16" s="13" t="str">
        <x:v>投出不致伤信号焰，40秒内指定区域友舰命中提高10%且目标轮廓可见</x:v>
      </x:c>
      <x:c r="M16" s="13" t="str">
        <x:v>战斗120秒</x:v>
      </x:c>
      <x:c r="N16" s="13" t="str">
        <x:v>干药匣</x:v>
      </x:c>
      <x:c r="O16" s="13" t="str">
        <x:v>经过连续雨天</x:v>
      </x:c>
      <x:c r="P16" s="13" t="str">
        <x:v>火药受潮概率降低50%，特殊弹制造量增加1</x:v>
      </x:c>
    </x:row>
    <x:row r="17" ht="31" customHeight="1">
      <x:c r="A17" s="15" t="str">
        <x:v>C012</x:v>
      </x:c>
      <x:c r="B17" s="15" t="str">
        <x:v>埃斯特万·旧潮</x:v>
      </x:c>
      <x:c r="C17" s="15" t="str">
        <x:v>帆缆长</x:v>
      </x:c>
      <x:c r="D17" s="15" t="str">
        <x:v>航海长</x:v>
      </x:c>
      <x:c r="E17" s="30" t="n">
        <x:v>10</x:v>
      </x:c>
      <x:c r="F17" s="30" t="n">
        <x:v>4</x:v>
      </x:c>
      <x:c r="G17" s="30" t="n">
        <x:v>6</x:v>
      </x:c>
      <x:c r="H17" s="30" t="n">
        <x:v>3</x:v>
      </x:c>
      <x:c r="I17" s="30" t="n">
        <x:v>7</x:v>
      </x:c>
      <x:c r="J17" s="30" t="n">
        <x:v>7</x:v>
      </x:c>
      <x:c r="K17" s="15" t="str">
        <x:v>老风扶帆</x:v>
      </x:c>
      <x:c r="L17" s="15" t="str">
        <x:v>顺风夹角内保持25秒可获得下一次转向免费加速</x:v>
      </x:c>
      <x:c r="M17" s="15" t="str">
        <x:v>战斗120秒</x:v>
      </x:c>
      <x:c r="N17" s="15" t="str">
        <x:v>风有旧名</x:v>
      </x:c>
      <x:c r="O17" s="15" t="str">
        <x:v>首次航行跨大西洋已记录航线</x:v>
      </x:c>
      <x:c r="P17" s="15" t="str">
        <x:v>海上事件前可获一次预兆提示</x:v>
      </x:c>
    </x:row>
    <x:row r="18" ht="31" customHeight="1">
      <x:c r="A18" s="13" t="str">
        <x:v>C013</x:v>
      </x:c>
      <x:c r="B18" s="13" t="str">
        <x:v>维奥莱塔·孔塔里尼</x:v>
      </x:c>
      <x:c r="C18" s="13" t="str">
        <x:v>交易长</x:v>
      </x:c>
      <x:c r="D18" s="13" t="str">
        <x:v>考古学者</x:v>
      </x:c>
      <x:c r="E18" s="27" t="n">
        <x:v>4</x:v>
      </x:c>
      <x:c r="F18" s="27" t="n">
        <x:v>2</x:v>
      </x:c>
      <x:c r="G18" s="27" t="n">
        <x:v>4</x:v>
      </x:c>
      <x:c r="H18" s="27" t="n">
        <x:v>10</x:v>
      </x:c>
      <x:c r="I18" s="27" t="n">
        <x:v>8</x:v>
      </x:c>
      <x:c r="J18" s="27" t="n">
        <x:v>7</x:v>
      </x:c>
      <x:c r="K18" s="13" t="str">
        <x:v>万花竞价</x:v>
      </x:c>
      <x:c r="L18" s="13" t="str">
        <x:v>为三种不同文化工艺品建立套组订单，首笔组合售卖额外溢价18%</x:v>
      </x:c>
      <x:c r="M18" s="13" t="str">
        <x:v>每港30日</x:v>
      </x:c>
      <x:c r="N18" s="13" t="str">
        <x:v>鉴赏家的留白</x:v>
      </x:c>
      <x:c r="O18" s="13" t="str">
        <x:v>货舱载有四类工艺品</x:v>
      </x:c>
      <x:c r="P18" s="13" t="str">
        <x:v>文化交流事件额外给予当地关系</x:v>
      </x:c>
    </x:row>
    <x:row r="19" ht="31" customHeight="1">
      <x:c r="A19" s="15" t="str">
        <x:v>C014</x:v>
      </x:c>
      <x:c r="B19" s="15" t="str">
        <x:v>莱安德罗斯·阿斯特里斯</x:v>
      </x:c>
      <x:c r="C19" s="15" t="str">
        <x:v>考古学者</x:v>
      </x:c>
      <x:c r="D19" s="15" t="str">
        <x:v>测绘师</x:v>
      </x:c>
      <x:c r="E19" s="30" t="n">
        <x:v>6</x:v>
      </x:c>
      <x:c r="F19" s="30" t="n">
        <x:v>2</x:v>
      </x:c>
      <x:c r="G19" s="30" t="n">
        <x:v>3</x:v>
      </x:c>
      <x:c r="H19" s="30" t="n">
        <x:v>5</x:v>
      </x:c>
      <x:c r="I19" s="30" t="n">
        <x:v>10</x:v>
      </x:c>
      <x:c r="J19" s="30" t="n">
        <x:v>5</x:v>
      </x:c>
      <x:c r="K19" s="15" t="str">
        <x:v>碑影指路</x:v>
      </x:c>
      <x:c r="L19" s="15" t="str">
        <x:v>把当前遗迹一条模糊线索转成带方向与距离的地图扇区</x:v>
      </x:c>
      <x:c r="M19" s="15" t="str">
        <x:v>探索7日</x:v>
      </x:c>
      <x:c r="N19" s="15" t="str">
        <x:v>抄本留乡</x:v>
      </x:c>
      <x:c r="O19" s="15" t="str">
        <x:v>完成遗迹记录并向当地学馆交副本</x:v>
      </x:c>
      <x:c r="P19" s="15" t="str">
        <x:v>探索声望增加15%</x:v>
      </x:c>
    </x:row>
    <x:row r="20" ht="31" customHeight="1">
      <x:c r="A20" s="13" t="str">
        <x:v>C015</x:v>
      </x:c>
      <x:c r="B20" s="13" t="str">
        <x:v>奈芙丝·月铜</x:v>
      </x:c>
      <x:c r="C20" s="13" t="str">
        <x:v>炮术长</x:v>
      </x:c>
      <x:c r="D20" s="13" t="str">
        <x:v>火药师</x:v>
      </x:c>
      <x:c r="E20" s="27" t="n">
        <x:v>4</x:v>
      </x:c>
      <x:c r="F20" s="27" t="n">
        <x:v>10</x:v>
      </x:c>
      <x:c r="G20" s="27" t="n">
        <x:v>4</x:v>
      </x:c>
      <x:c r="H20" s="27" t="n">
        <x:v>4</x:v>
      </x:c>
      <x:c r="I20" s="27" t="n">
        <x:v>9</x:v>
      </x:c>
      <x:c r="J20" s="27" t="n">
        <x:v>6</x:v>
      </x:c>
      <x:c r="K20" s="13" t="str">
        <x:v>月铜回声</x:v>
      </x:c>
      <x:c r="L20" s="13" t="str">
        <x:v>标记敌舰一侧炮列，下一轮命中有更高概率使该炮位停火20秒</x:v>
      </x:c>
      <x:c r="M20" s="13" t="str">
        <x:v>战斗150秒</x:v>
      </x:c>
      <x:c r="N20" s="13" t="str">
        <x:v>听钟辨膛</x:v>
      </x:c>
      <x:c r="O20" s="13" t="str">
        <x:v>每次靠港保养火炮后</x:v>
      </x:c>
      <x:c r="P20" s="13" t="str">
        <x:v>本次远航火炮装填失误率降低，射程增加5%</x:v>
      </x:c>
    </x:row>
    <x:row r="21" ht="31" customHeight="1">
      <x:c r="A21" s="15" t="str">
        <x:v>C016</x:v>
      </x:c>
      <x:c r="B21" s="15" t="str">
        <x:v>罗萨里奥·德尔·马雷</x:v>
      </x:c>
      <x:c r="C21" s="15" t="str">
        <x:v>船医</x:v>
      </x:c>
      <x:c r="D21" s="15" t="str">
        <x:v>副官</x:v>
      </x:c>
      <x:c r="E21" s="30" t="n">
        <x:v>4</x:v>
      </x:c>
      <x:c r="F21" s="30" t="n">
        <x:v>2</x:v>
      </x:c>
      <x:c r="G21" s="30" t="n">
        <x:v>6</x:v>
      </x:c>
      <x:c r="H21" s="30" t="n">
        <x:v>3</x:v>
      </x:c>
      <x:c r="I21" s="30" t="n">
        <x:v>10</x:v>
      </x:c>
      <x:c r="J21" s="30" t="n">
        <x:v>7</x:v>
      </x:c>
      <x:c r="K21" s="15" t="str">
        <x:v>甲板诊疗</x:v>
      </x:c>
      <x:c r="L21" s="15" t="str">
        <x:v>消耗1药品，恢复一支接舷队的战力并缩短本战伤员失能时间</x:v>
      </x:c>
      <x:c r="M21" s="15" t="str">
        <x:v>战斗120秒</x:v>
      </x:c>
      <x:c r="N21" s="15" t="str">
        <x:v>清楚的药签</x:v>
      </x:c>
      <x:c r="O21" s="15" t="str">
        <x:v>配备三种不同药品</x:v>
      </x:c>
      <x:c r="P21" s="15" t="str">
        <x:v>海上疾病持续日数减少25%</x:v>
      </x:c>
    </x:row>
    <x:row r="22" ht="31" customHeight="1">
      <x:c r="A22" s="13" t="str">
        <x:v>C017</x:v>
      </x:c>
      <x:c r="B22" s="13" t="str">
        <x:v>梅莉娅·沙钟</x:v>
      </x:c>
      <x:c r="C22" s="13" t="str">
        <x:v>测绘师</x:v>
      </x:c>
      <x:c r="D22" s="13" t="str">
        <x:v>博物学者</x:v>
      </x:c>
      <x:c r="E22" s="27" t="n">
        <x:v>7</x:v>
      </x:c>
      <x:c r="F22" s="27" t="n">
        <x:v>2</x:v>
      </x:c>
      <x:c r="G22" s="27" t="n">
        <x:v>2</x:v>
      </x:c>
      <x:c r="H22" s="27" t="n">
        <x:v>4</x:v>
      </x:c>
      <x:c r="I22" s="27" t="n">
        <x:v>9</x:v>
      </x:c>
      <x:c r="J22" s="27" t="n">
        <x:v>4</x:v>
      </x:c>
      <x:c r="K22" s="13" t="str">
        <x:v>沙钟刻度</x:v>
      </x:c>
      <x:c r="L22" s="13" t="str">
        <x:v>显示未来6小时本海区潮位阶段及一条浅滩通行窗口</x:v>
      </x:c>
      <x:c r="M22" s="13" t="str">
        <x:v>航海3日</x:v>
      </x:c>
      <x:c r="N22" s="13" t="str">
        <x:v>迟到一分钟</x:v>
      </x:c>
      <x:c r="O22" s="13" t="str">
        <x:v>按潮窗进入港口</x:v>
      </x:c>
      <x:c r="P22" s="13" t="str">
        <x:v>码头等待时间减半</x:v>
      </x:c>
    </x:row>
    <x:row r="23" ht="31" customHeight="1">
      <x:c r="A23" s="15" t="str">
        <x:v>C018</x:v>
      </x:c>
      <x:c r="B23" s="15" t="str">
        <x:v>马里卡·黑珍珠</x:v>
      </x:c>
      <x:c r="C23" s="15" t="str">
        <x:v>登船战长</x:v>
      </x:c>
      <x:c r="D23" s="15" t="str">
        <x:v>船长</x:v>
      </x:c>
      <x:c r="E23" s="30" t="n">
        <x:v>7</x:v>
      </x:c>
      <x:c r="F23" s="30" t="n">
        <x:v>7</x:v>
      </x:c>
      <x:c r="G23" s="30" t="n">
        <x:v>10</x:v>
      </x:c>
      <x:c r="H23" s="30" t="n">
        <x:v>4</x:v>
      </x:c>
      <x:c r="I23" s="30" t="n">
        <x:v>6</x:v>
      </x:c>
      <x:c r="J23" s="30" t="n">
        <x:v>9</x:v>
      </x:c>
      <x:c r="K23" s="15" t="str">
        <x:v>珍珠夺旗</x:v>
      </x:c>
      <x:c r="L23" s="15" t="str">
        <x:v>接舷开场绕过一层甲板阻碍，夺取敌旗后额外降低敌士气15</x:v>
      </x:c>
      <x:c r="M23" s="15" t="str">
        <x:v>战斗1次</x:v>
      </x:c>
      <x:c r="N23" s="15" t="str">
        <x:v>不卖同伴</x:v>
      </x:c>
      <x:c r="O23" s="15" t="str">
        <x:v>从战场带回所有失能伙伴</x:v>
      </x:c>
      <x:c r="P23" s="15" t="str">
        <x:v>本船士气恢复翻倍</x:v>
      </x:c>
    </x:row>
    <x:row r="24" ht="31" customHeight="1">
      <x:c r="A24" s="13" t="str">
        <x:v>C019</x:v>
      </x:c>
      <x:c r="B24" s="13" t="str">
        <x:v>穆萨·迪亚洛</x:v>
      </x:c>
      <x:c r="C24" s="13" t="str">
        <x:v>翻译官</x:v>
      </x:c>
      <x:c r="D24" s="13" t="str">
        <x:v>乐师</x:v>
      </x:c>
      <x:c r="E24" s="27" t="n">
        <x:v>6</x:v>
      </x:c>
      <x:c r="F24" s="27" t="n">
        <x:v>2</x:v>
      </x:c>
      <x:c r="G24" s="27" t="n">
        <x:v>3</x:v>
      </x:c>
      <x:c r="H24" s="27" t="n">
        <x:v>8</x:v>
      </x:c>
      <x:c r="I24" s="27" t="n">
        <x:v>9</x:v>
      </x:c>
      <x:c r="J24" s="27" t="n">
        <x:v>7</x:v>
      </x:c>
      <x:c r="K24" s="13" t="str">
        <x:v>三种说法</x:v>
      </x:c>
      <x:c r="L24" s="13" t="str">
        <x:v>在一次外交争端中显露三方真实诉求，可选出互换订单的和解方案</x:v>
      </x:c>
      <x:c r="M24" s="13" t="str">
        <x:v>每港30日</x:v>
      </x:c>
      <x:c r="N24" s="13" t="str">
        <x:v>故事要有主人</x:v>
      </x:c>
      <x:c r="O24" s="13" t="str">
        <x:v>首次记录当地传说并注明讲述者</x:v>
      </x:c>
      <x:c r="P24" s="13" t="str">
        <x:v>当地势力关系额外提高5</x:v>
      </x:c>
    </x:row>
    <x:row r="25" ht="31" customHeight="1">
      <x:c r="A25" s="15" t="str">
        <x:v>C020</x:v>
      </x:c>
      <x:c r="B25" s="15" t="str">
        <x:v>阿瓦·森巴</x:v>
      </x:c>
      <x:c r="C25" s="15" t="str">
        <x:v>乐师</x:v>
      </x:c>
      <x:c r="D25" s="15" t="str">
        <x:v>副官</x:v>
      </x:c>
      <x:c r="E25" s="30" t="n">
        <x:v>5</x:v>
      </x:c>
      <x:c r="F25" s="30" t="n">
        <x:v>2</x:v>
      </x:c>
      <x:c r="G25" s="30" t="n">
        <x:v>4</x:v>
      </x:c>
      <x:c r="H25" s="30" t="n">
        <x:v>5</x:v>
      </x:c>
      <x:c r="I25" s="30" t="n">
        <x:v>7</x:v>
      </x:c>
      <x:c r="J25" s="30" t="n">
        <x:v>9</x:v>
      </x:c>
      <x:c r="K25" s="15" t="str">
        <x:v>同潮合拍</x:v>
      </x:c>
      <x:c r="L25" s="15" t="str">
        <x:v>30秒内全船划桨、装填和修理动作同步，立刻结束一次忙乱状态</x:v>
      </x:c>
      <x:c r="M25" s="15" t="str">
        <x:v>战斗150秒</x:v>
      </x:c>
      <x:c r="N25" s="15" t="str">
        <x:v>共同的节拍</x:v>
      </x:c>
      <x:c r="O25" s="15" t="str">
        <x:v>三名不同区域伙伴参加晚餐</x:v>
      </x:c>
      <x:c r="P25" s="15" t="str">
        <x:v>次日全队士气恢复增加10</x:v>
      </x:c>
    </x:row>
    <x:row r="26" ht="31" customHeight="1">
      <x:c r="A26" s="13" t="str">
        <x:v>C021</x:v>
      </x:c>
      <x:c r="B26" s="13" t="str">
        <x:v>阿乔娅·金棱</x:v>
      </x:c>
      <x:c r="C26" s="13" t="str">
        <x:v>驻港管事</x:v>
      </x:c>
      <x:c r="D26" s="13" t="str">
        <x:v>交易长</x:v>
      </x:c>
      <x:c r="E26" s="27" t="n">
        <x:v>2</x:v>
      </x:c>
      <x:c r="F26" s="27" t="n">
        <x:v>2</x:v>
      </x:c>
      <x:c r="G26" s="27" t="n">
        <x:v>5</x:v>
      </x:c>
      <x:c r="H26" s="27" t="n">
        <x:v>10</x:v>
      </x:c>
      <x:c r="I26" s="27" t="n">
        <x:v>8</x:v>
      </x:c>
      <x:c r="J26" s="27" t="n">
        <x:v>8</x:v>
      </x:c>
      <x:c r="K26" s="13" t="str">
        <x:v>金棱复衡</x:v>
      </x:c>
      <x:c r="L26" s="13" t="str">
        <x:v>重算本港一笔存在品级争议的订单，返还差额并建立质量档案</x:v>
      </x:c>
      <x:c r="M26" s="13" t="str">
        <x:v>每港30日</x:v>
      </x:c>
      <x:c r="N26" s="13" t="str">
        <x:v>她的秤</x:v>
      </x:c>
      <x:c r="O26" s="13" t="str">
        <x:v>驻任商馆</x:v>
      </x:c>
      <x:c r="P26" s="13" t="str">
        <x:v>该港同类商品品级信息永久可见，验货时间缩短</x:v>
      </x:c>
    </x:row>
    <x:row r="27" ht="31" customHeight="1">
      <x:c r="A27" s="15" t="str">
        <x:v>C022</x:v>
      </x:c>
      <x:c r="B27" s="15" t="str">
        <x:v>诺埃·风籽</x:v>
      </x:c>
      <x:c r="C27" s="15" t="str">
        <x:v>瞭望员</x:v>
      </x:c>
      <x:c r="D27" s="15" t="str">
        <x:v>帆缆长</x:v>
      </x:c>
      <x:c r="E27" s="30" t="n">
        <x:v>8</x:v>
      </x:c>
      <x:c r="F27" s="30" t="n">
        <x:v>2</x:v>
      </x:c>
      <x:c r="G27" s="30" t="n">
        <x:v>3</x:v>
      </x:c>
      <x:c r="H27" s="30" t="n">
        <x:v>3</x:v>
      </x:c>
      <x:c r="I27" s="30" t="n">
        <x:v>6</x:v>
      </x:c>
      <x:c r="J27" s="30" t="n">
        <x:v>4</x:v>
      </x:c>
      <x:c r="K27" s="15" t="str">
        <x:v>高空纸翼</x:v>
      </x:c>
      <x:c r="L27" s="15" t="str">
        <x:v>放出侦察风筝，60秒内扩大前方探测扇区并显示一处风带</x:v>
      </x:c>
      <x:c r="M27" s="15" t="str">
        <x:v>战斗180秒</x:v>
      </x:c>
      <x:c r="N27" s="15" t="str">
        <x:v>信风邮袋</x:v>
      </x:c>
      <x:c r="O27" s="15" t="str">
        <x:v>进入已建立信号站的海域</x:v>
      </x:c>
      <x:c r="P27" s="15" t="str">
        <x:v>获得最近邻港一条新消息</x:v>
      </x:c>
    </x:row>
    <x:row r="28" ht="31" customHeight="1">
      <x:c r="A28" s="13" t="str">
        <x:v>C023</x:v>
      </x:c>
      <x:c r="B28" s="13" t="str">
        <x:v>扎赫拉·阿尔米拉</x:v>
      </x:c>
      <x:c r="C28" s="13" t="str">
        <x:v>补给长</x:v>
      </x:c>
      <x:c r="D28" s="13" t="str">
        <x:v>交易长</x:v>
      </x:c>
      <x:c r="E28" s="27" t="n">
        <x:v>6</x:v>
      </x:c>
      <x:c r="F28" s="27" t="n">
        <x:v>2</x:v>
      </x:c>
      <x:c r="G28" s="27" t="n">
        <x:v>4</x:v>
      </x:c>
      <x:c r="H28" s="27" t="n">
        <x:v>9</x:v>
      </x:c>
      <x:c r="I28" s="27" t="n">
        <x:v>7</x:v>
      </x:c>
      <x:c r="J28" s="27" t="n">
        <x:v>7</x:v>
      </x:c>
      <x:c r="K28" s="13" t="str">
        <x:v>水线重排</x:v>
      </x:c>
      <x:c r="L28" s="13" t="str">
        <x:v>将闲置货舱临时转为补给舱，本航段可用补给容量增加10%但货载减少等体积</x:v>
      </x:c>
      <x:c r="M28" s="13" t="str">
        <x:v>航海7日</x:v>
      </x:c>
      <x:c r="N28" s="13" t="str">
        <x:v>沙海的余桶</x:v>
      </x:c>
      <x:c r="O28" s="13" t="str">
        <x:v>计划航线经过两类气候区</x:v>
      </x:c>
      <x:c r="P28" s="13" t="str">
        <x:v>出港补给报价可预见下一个补给港</x:v>
      </x:c>
    </x:row>
    <x:row r="29" ht="31" customHeight="1">
      <x:c r="A29" s="15" t="str">
        <x:v>C024</x:v>
      </x:c>
      <x:c r="B29" s="15" t="str">
        <x:v>马特乌斯·火山缎</x:v>
      </x:c>
      <x:c r="C29" s="15" t="str">
        <x:v>帆缆长</x:v>
      </x:c>
      <x:c r="D29" s="15" t="str">
        <x:v>船匠</x:v>
      </x:c>
      <x:c r="E29" s="30" t="n">
        <x:v>9</x:v>
      </x:c>
      <x:c r="F29" s="30" t="n">
        <x:v>3</x:v>
      </x:c>
      <x:c r="G29" s="30" t="n">
        <x:v>6</x:v>
      </x:c>
      <x:c r="H29" s="30" t="n">
        <x:v>5</x:v>
      </x:c>
      <x:c r="I29" s="30" t="n">
        <x:v>8</x:v>
      </x:c>
      <x:c r="J29" s="30" t="n">
        <x:v>6</x:v>
      </x:c>
      <x:c r="K29" s="15" t="str">
        <x:v>折风裁帆</x:v>
      </x:c>
      <x:c r="L29" s="15" t="str">
        <x:v>切换一次帆面受风形态，45秒内逆风最小可航角缩小5度</x:v>
      </x:c>
      <x:c r="M29" s="15" t="str">
        <x:v>战斗150秒</x:v>
      </x:c>
      <x:c r="N29" s="15" t="str">
        <x:v>每针一道风</x:v>
      </x:c>
      <x:c r="O29" s="15" t="str">
        <x:v>本船装有自制帆装</x:v>
      </x:c>
      <x:c r="P29" s="15" t="str">
        <x:v>帆耐久修复材料消耗降低20%</x:v>
      </x:c>
    </x:row>
    <x:row r="30" ht="31" customHeight="1">
      <x:c r="A30" s="13" t="str">
        <x:v>C025</x:v>
      </x:c>
      <x:c r="B30" s="13" t="str">
        <x:v>萨菲娅·珊瑚墨</x:v>
      </x:c>
      <x:c r="C30" s="13" t="str">
        <x:v>考古学者</x:v>
      </x:c>
      <x:c r="D30" s="13" t="str">
        <x:v>翻译官</x:v>
      </x:c>
      <x:c r="E30" s="27" t="n">
        <x:v>5</x:v>
      </x:c>
      <x:c r="F30" s="27" t="n">
        <x:v>2</x:v>
      </x:c>
      <x:c r="G30" s="27" t="n">
        <x:v>3</x:v>
      </x:c>
      <x:c r="H30" s="27" t="n">
        <x:v>7</x:v>
      </x:c>
      <x:c r="I30" s="27" t="n">
        <x:v>10</x:v>
      </x:c>
      <x:c r="J30" s="27" t="n">
        <x:v>6</x:v>
      </x:c>
      <x:c r="K30" s="13" t="str">
        <x:v>陶片的旅程</x:v>
      </x:c>
      <x:c r="L30" s="13" t="str">
        <x:v>为一件考古记录追加原产地线索，在地图标记一条跨海调查链</x:v>
      </x:c>
      <x:c r="M30" s="13" t="str">
        <x:v>探索7日</x:v>
      </x:c>
      <x:c r="N30" s="13" t="str">
        <x:v>千港一器</x:v>
      </x:c>
      <x:c r="O30" s="13" t="str">
        <x:v>在不同区域记录同类工艺</x:v>
      </x:c>
      <x:c r="P30" s="13" t="str">
        <x:v>下一处相关遗迹检定学识需求降低1</x:v>
      </x:c>
    </x:row>
    <x:row r="31" ht="31" customHeight="1">
      <x:c r="A31" s="15" t="str">
        <x:v>C026</x:v>
      </x:c>
      <x:c r="B31" s="15" t="str">
        <x:v>伊利亚斯·季帆</x:v>
      </x:c>
      <x:c r="C31" s="15" t="str">
        <x:v>航海长</x:v>
      </x:c>
      <x:c r="D31" s="15" t="str">
        <x:v>船长</x:v>
      </x:c>
      <x:c r="E31" s="30" t="n">
        <x:v>10</x:v>
      </x:c>
      <x:c r="F31" s="30" t="n">
        <x:v>4</x:v>
      </x:c>
      <x:c r="G31" s="30" t="n">
        <x:v>5</x:v>
      </x:c>
      <x:c r="H31" s="30" t="n">
        <x:v>6</x:v>
      </x:c>
      <x:c r="I31" s="30" t="n">
        <x:v>7</x:v>
      </x:c>
      <x:c r="J31" s="30" t="n">
        <x:v>7</x:v>
      </x:c>
      <x:c r="K31" s="15" t="str">
        <x:v>借季过洋</x:v>
      </x:c>
      <x:c r="L31" s="15" t="str">
        <x:v>选择当前海域一条季风走廊，60秒内顺其航行加速且不消耗冲刺资源</x:v>
      </x:c>
      <x:c r="M31" s="15" t="str">
        <x:v>战斗180秒</x:v>
      </x:c>
      <x:c r="N31" s="15" t="str">
        <x:v>半年另一面</x:v>
      </x:c>
      <x:c r="O31" s="15" t="str">
        <x:v>进入季风换向前30日</x:v>
      </x:c>
      <x:c r="P31" s="15" t="str">
        <x:v>提前显示相邻海域风向与补给建议</x:v>
      </x:c>
    </x:row>
    <x:row r="32" ht="31" customHeight="1">
      <x:c r="A32" s="13" t="str">
        <x:v>C027</x:v>
      </x:c>
      <x:c r="B32" s="13" t="str">
        <x:v>妮娅·暖雨</x:v>
      </x:c>
      <x:c r="C32" s="13" t="str">
        <x:v>船医</x:v>
      </x:c>
      <x:c r="D32" s="13" t="str">
        <x:v>博物学者</x:v>
      </x:c>
      <x:c r="E32" s="27" t="n">
        <x:v>4</x:v>
      </x:c>
      <x:c r="F32" s="27" t="n">
        <x:v>1</x:v>
      </x:c>
      <x:c r="G32" s="27" t="n">
        <x:v>3</x:v>
      </x:c>
      <x:c r="H32" s="27" t="n">
        <x:v>4</x:v>
      </x:c>
      <x:c r="I32" s="27" t="n">
        <x:v>9</x:v>
      </x:c>
      <x:c r="J32" s="27" t="n">
        <x:v>6</x:v>
      </x:c>
      <x:c r="K32" s="13" t="str">
        <x:v>暖雨值夜</x:v>
      </x:c>
      <x:c r="L32" s="13" t="str">
        <x:v>指定一名受伤伙伴在下一次靠港前恢复参与非战斗岗位，仍需休养治疗</x:v>
      </x:c>
      <x:c r="M32" s="13" t="str">
        <x:v>航海7日</x:v>
      </x:c>
      <x:c r="N32" s="13" t="str">
        <x:v>诊所里的椅子</x:v>
      </x:c>
      <x:c r="O32" s="13" t="str">
        <x:v>访问新港当地医师</x:v>
      </x:c>
      <x:c r="P32" s="13" t="str">
        <x:v>永久登记一种地方药方并降低当地疗养费</x:v>
      </x:c>
    </x:row>
    <x:row r="33" ht="31" customHeight="1">
      <x:c r="A33" s="15" t="str">
        <x:v>C028</x:v>
      </x:c>
      <x:c r="B33" s="15" t="str">
        <x:v>拉希德·木月</x:v>
      </x:c>
      <x:c r="C33" s="15" t="str">
        <x:v>船匠</x:v>
      </x:c>
      <x:c r="D33" s="15" t="str">
        <x:v>主厨</x:v>
      </x:c>
      <x:c r="E33" s="30" t="n">
        <x:v>7</x:v>
      </x:c>
      <x:c r="F33" s="30" t="n">
        <x:v>3</x:v>
      </x:c>
      <x:c r="G33" s="30" t="n">
        <x:v>6</x:v>
      </x:c>
      <x:c r="H33" s="30" t="n">
        <x:v>4</x:v>
      </x:c>
      <x:c r="I33" s="30" t="n">
        <x:v>9</x:v>
      </x:c>
      <x:c r="J33" s="30" t="n">
        <x:v>7</x:v>
      </x:c>
      <x:c r="K33" s="15" t="str">
        <x:v>柔骨渡浪</x:v>
      </x:c>
      <x:c r="L33" s="15" t="str">
        <x:v>暂时放松局部索结，45秒内迎浪船损减半，期间不能全速冲刺</x:v>
      </x:c>
      <x:c r="M33" s="15" t="str">
        <x:v>战斗180秒</x:v>
      </x:c>
      <x:c r="N33" s="15" t="str">
        <x:v>针脚记海</x:v>
      </x:c>
      <x:c r="O33" s="15" t="str">
        <x:v>船体装备缝合加固或弹性接合</x:v>
      </x:c>
      <x:c r="P33" s="15" t="str">
        <x:v>海上修理恢复量增加15%</x:v>
      </x:c>
    </x:row>
    <x:row r="34" ht="31" customHeight="1">
      <x:c r="A34" s="13" t="str">
        <x:v>C029</x:v>
      </x:c>
      <x:c r="B34" s="13" t="str">
        <x:v>菲拉·叶冠</x:v>
      </x:c>
      <x:c r="C34" s="13" t="str">
        <x:v>博物学者</x:v>
      </x:c>
      <x:c r="D34" s="13" t="str">
        <x:v>瞭望员</x:v>
      </x:c>
      <x:c r="E34" s="27" t="n">
        <x:v>7</x:v>
      </x:c>
      <x:c r="F34" s="27" t="n">
        <x:v>1</x:v>
      </x:c>
      <x:c r="G34" s="27" t="n">
        <x:v>4</x:v>
      </x:c>
      <x:c r="H34" s="27" t="n">
        <x:v>3</x:v>
      </x:c>
      <x:c r="I34" s="27" t="n">
        <x:v>9</x:v>
      </x:c>
      <x:c r="J34" s="27" t="n">
        <x:v>4</x:v>
      </x:c>
      <x:c r="K34" s="13" t="str">
        <x:v>叶影辨岸</x:v>
      </x:c>
      <x:c r="L34" s="13" t="str">
        <x:v>观察海鸟、漂叶与云影，显示附近隐蔽登陆点的方位</x:v>
      </x:c>
      <x:c r="M34" s="13" t="str">
        <x:v>探索5日</x:v>
      </x:c>
      <x:c r="N34" s="13" t="str">
        <x:v>活着的图鉴</x:v>
      </x:c>
      <x:c r="O34" s="13" t="str">
        <x:v>完成生态观察而非采走稀有个体</x:v>
      </x:c>
      <x:c r="P34" s="13" t="str">
        <x:v>额外获得生态声望与园圃种苗订单</x:v>
      </x:c>
    </x:row>
    <x:row r="35" ht="31" customHeight="1">
      <x:c r="A35" s="15" t="str">
        <x:v>C030</x:v>
      </x:c>
      <x:c r="B35" s="15" t="str">
        <x:v>阿玛拉·岬灯</x:v>
      </x:c>
      <x:c r="C35" s="15" t="str">
        <x:v>船长</x:v>
      </x:c>
      <x:c r="D35" s="15" t="str">
        <x:v>信号官</x:v>
      </x:c>
      <x:c r="E35" s="30" t="n">
        <x:v>9</x:v>
      </x:c>
      <x:c r="F35" s="30" t="n">
        <x:v>6</x:v>
      </x:c>
      <x:c r="G35" s="30" t="n">
        <x:v>6</x:v>
      </x:c>
      <x:c r="H35" s="30" t="n">
        <x:v>4</x:v>
      </x:c>
      <x:c r="I35" s="30" t="n">
        <x:v>7</x:v>
      </x:c>
      <x:c r="J35" s="30" t="n">
        <x:v>9</x:v>
      </x:c>
      <x:c r="K35" s="15" t="str">
        <x:v>岬灯接力</x:v>
      </x:c>
      <x:c r="L35" s="15" t="str">
        <x:v>为三艘友舰依序标记前进点，执行护航队形时彼此分担一次士气打击</x:v>
      </x:c>
      <x:c r="M35" s="15" t="str">
        <x:v>战斗180秒</x:v>
      </x:c>
      <x:c r="N35" s="15" t="str">
        <x:v>一盏接一盏</x:v>
      </x:c>
      <x:c r="O35" s="15" t="str">
        <x:v>沿建有灯站的岬角航线</x:v>
      </x:c>
      <x:c r="P35" s="15" t="str">
        <x:v>夜航遇险事件可提前一段航程获知</x:v>
      </x:c>
    </x:row>
    <x:row r="36" ht="31" customHeight="1">
      <x:c r="A36" s="13" t="str">
        <x:v>C031</x:v>
      </x:c>
      <x:c r="B36" s="13" t="str">
        <x:v>赛伊达·远镜</x:v>
      </x:c>
      <x:c r="C36" s="13" t="str">
        <x:v>瞭望员</x:v>
      </x:c>
      <x:c r="D36" s="13" t="str">
        <x:v>信号官</x:v>
      </x:c>
      <x:c r="E36" s="27" t="n">
        <x:v>9</x:v>
      </x:c>
      <x:c r="F36" s="27" t="n">
        <x:v>5</x:v>
      </x:c>
      <x:c r="G36" s="27" t="n">
        <x:v>5</x:v>
      </x:c>
      <x:c r="H36" s="27" t="n">
        <x:v>4</x:v>
      </x:c>
      <x:c r="I36" s="27" t="n">
        <x:v>8</x:v>
      </x:c>
      <x:c r="J36" s="27" t="n">
        <x:v>8</x:v>
      </x:c>
      <x:c r="K36" s="13" t="str">
        <x:v>远镜接目</x:v>
      </x:c>
      <x:c r="L36" s="13" t="str">
        <x:v>将一处可见目标的位置传给全队，30秒内离开本舰视线仍保留最后航向预测</x:v>
      </x:c>
      <x:c r="M36" s="13" t="str">
        <x:v>战斗120秒</x:v>
      </x:c>
      <x:c r="N36" s="13" t="str">
        <x:v>先看到家</x:v>
      </x:c>
      <x:c r="O36" s="13" t="str">
        <x:v>航行经过已建望站</x:v>
      </x:c>
      <x:c r="P36" s="13" t="str">
        <x:v>提前获知港外封航、节庆或舰队到港消息</x:v>
      </x:c>
    </x:row>
    <x:row r="37" ht="31" customHeight="1">
      <x:c r="A37" s="15" t="str">
        <x:v>C032</x:v>
      </x:c>
      <x:c r="B37" s="15" t="str">
        <x:v>萨米尔·砚星</x:v>
      </x:c>
      <x:c r="C37" s="15" t="str">
        <x:v>翻译官</x:v>
      </x:c>
      <x:c r="D37" s="15" t="str">
        <x:v>考古学者</x:v>
      </x:c>
      <x:c r="E37" s="30" t="n">
        <x:v>4</x:v>
      </x:c>
      <x:c r="F37" s="30" t="n">
        <x:v>1</x:v>
      </x:c>
      <x:c r="G37" s="30" t="n">
        <x:v>2</x:v>
      </x:c>
      <x:c r="H37" s="30" t="n">
        <x:v>6</x:v>
      </x:c>
      <x:c r="I37" s="30" t="n">
        <x:v>10</x:v>
      </x:c>
      <x:c r="J37" s="30" t="n">
        <x:v>6</x:v>
      </x:c>
      <x:c r="K37" s="15" t="str">
        <x:v>双页对读</x:v>
      </x:c>
      <x:c r="L37" s="15" t="str">
        <x:v>在铭文或契约检定中显示两种解释及各自后续路线</x:v>
      </x:c>
      <x:c r="M37" s="15" t="str">
        <x:v>探索5日</x:v>
      </x:c>
      <x:c r="N37" s="15" t="str">
        <x:v>页边的人名</x:v>
      </x:c>
      <x:c r="O37" s="15" t="str">
        <x:v>与陌生势力首次谈判</x:v>
      </x:c>
      <x:c r="P37" s="15" t="str">
        <x:v>若持对方故事记录则初始信任增加8</x:v>
      </x:c>
    </x:row>
    <x:row r="38" ht="31" customHeight="1">
      <x:c r="A38" s="13" t="str">
        <x:v>C033</x:v>
      </x:c>
      <x:c r="B38" s="13" t="str">
        <x:v>蕾姆·月砂</x:v>
      </x:c>
      <x:c r="C38" s="13" t="str">
        <x:v>航海长</x:v>
      </x:c>
      <x:c r="D38" s="13" t="str">
        <x:v>测绘师</x:v>
      </x:c>
      <x:c r="E38" s="27" t="n">
        <x:v>10</x:v>
      </x:c>
      <x:c r="F38" s="27" t="n">
        <x:v>2</x:v>
      </x:c>
      <x:c r="G38" s="27" t="n">
        <x:v>3</x:v>
      </x:c>
      <x:c r="H38" s="27" t="n">
        <x:v>4</x:v>
      </x:c>
      <x:c r="I38" s="27" t="n">
        <x:v>9</x:v>
      </x:c>
      <x:c r="J38" s="27" t="n">
        <x:v>6</x:v>
      </x:c>
      <x:c r="K38" s="13" t="str">
        <x:v>月砂星径</x:v>
      </x:c>
      <x:c r="L38" s="13" t="str">
        <x:v>夜战锁定一条天文方位线，沿线友舰免受能见度导致的航向偏差</x:v>
      </x:c>
      <x:c r="M38" s="13" t="str">
        <x:v>战斗180秒</x:v>
      </x:c>
      <x:c r="N38" s="13" t="str">
        <x:v>没有月亮也有路</x:v>
      </x:c>
      <x:c r="O38" s="13" t="str">
        <x:v>新月前后夜航</x:v>
      </x:c>
      <x:c r="P38" s="13" t="str">
        <x:v>导航误差降低并增加一处天文观察机会</x:v>
      </x:c>
    </x:row>
    <x:row r="39" ht="31" customHeight="1">
      <x:c r="A39" s="15" t="str">
        <x:v>C034</x:v>
      </x:c>
      <x:c r="B39" s="15" t="str">
        <x:v>努尔·咖啡雾</x:v>
      </x:c>
      <x:c r="C39" s="15" t="str">
        <x:v>主厨</x:v>
      </x:c>
      <x:c r="D39" s="15" t="str">
        <x:v>交易长</x:v>
      </x:c>
      <x:c r="E39" s="30" t="n">
        <x:v>3</x:v>
      </x:c>
      <x:c r="F39" s="30" t="n">
        <x:v>1</x:v>
      </x:c>
      <x:c r="G39" s="30" t="n">
        <x:v>3</x:v>
      </x:c>
      <x:c r="H39" s="30" t="n">
        <x:v>8</x:v>
      </x:c>
      <x:c r="I39" s="30" t="n">
        <x:v>8</x:v>
      </x:c>
      <x:c r="J39" s="30" t="n">
        <x:v>6</x:v>
      </x:c>
      <x:c r="K39" s="15" t="str">
        <x:v>醒潮热饮</x:v>
      </x:c>
      <x:c r="L39" s="15" t="str">
        <x:v>消耗咖啡与淡水，让当日一次连续工作不额外积累疲劳</x:v>
      </x:c>
      <x:c r="M39" s="15" t="str">
        <x:v>航海3日</x:v>
      </x:c>
      <x:c r="N39" s="15" t="str">
        <x:v>焙火识香</x:v>
      </x:c>
      <x:c r="O39" s="15" t="str">
        <x:v>交易咖啡、茶、香料</x:v>
      </x:c>
      <x:c r="P39" s="15" t="str">
        <x:v>可见商品新鲜度与适宜目的港</x:v>
      </x:c>
    </x:row>
    <x:row r="40" ht="31" customHeight="1">
      <x:c r="A40" s="13" t="str">
        <x:v>C035</x:v>
      </x:c>
      <x:c r="B40" s="13" t="str">
        <x:v>达里乌什·铜弦</x:v>
      </x:c>
      <x:c r="C40" s="13" t="str">
        <x:v>火药师</x:v>
      </x:c>
      <x:c r="D40" s="13" t="str">
        <x:v>船匠</x:v>
      </x:c>
      <x:c r="E40" s="27" t="n">
        <x:v>4</x:v>
      </x:c>
      <x:c r="F40" s="27" t="n">
        <x:v>9</x:v>
      </x:c>
      <x:c r="G40" s="27" t="n">
        <x:v>6</x:v>
      </x:c>
      <x:c r="H40" s="27" t="n">
        <x:v>5</x:v>
      </x:c>
      <x:c r="I40" s="27" t="n">
        <x:v>9</x:v>
      </x:c>
      <x:c r="J40" s="27" t="n">
        <x:v>7</x:v>
      </x:c>
      <x:c r="K40" s="13" t="str">
        <x:v>铜弦定座</x:v>
      </x:c>
      <x:c r="L40" s="13" t="str">
        <x:v>指定一组炮位改变俯仰设定，下一发可越过近处友舰射击高目标</x:v>
      </x:c>
      <x:c r="M40" s="13" t="str">
        <x:v>战斗150秒</x:v>
      </x:c>
      <x:c r="N40" s="13" t="str">
        <x:v>拆得开的力量</x:v>
      </x:c>
      <x:c r="O40" s="13" t="str">
        <x:v>靠港修理武器</x:v>
      </x:c>
      <x:c r="P40" s="13" t="str">
        <x:v>炮座维修价格降低20%，修理日数减少1</x:v>
      </x:c>
    </x:row>
    <x:row r="41" ht="31" customHeight="1">
      <x:c r="A41" s="15" t="str">
        <x:v>C036</x:v>
      </x:c>
      <x:c r="B41" s="15" t="str">
        <x:v>法蒂玛·绯印</x:v>
      </x:c>
      <x:c r="C41" s="15" t="str">
        <x:v>驻港管事</x:v>
      </x:c>
      <x:c r="D41" s="15" t="str">
        <x:v>副官</x:v>
      </x:c>
      <x:c r="E41" s="30" t="n">
        <x:v>3</x:v>
      </x:c>
      <x:c r="F41" s="30" t="n">
        <x:v>2</x:v>
      </x:c>
      <x:c r="G41" s="30" t="n">
        <x:v>4</x:v>
      </x:c>
      <x:c r="H41" s="30" t="n">
        <x:v>9</x:v>
      </x:c>
      <x:c r="I41" s="30" t="n">
        <x:v>8</x:v>
      </x:c>
      <x:c r="J41" s="30" t="n">
        <x:v>9</x:v>
      </x:c>
      <x:c r="K41" s="15" t="str">
        <x:v>绯印担保</x:v>
      </x:c>
      <x:c r="L41" s="15" t="str">
        <x:v>将一笔合约货款转为目的港提货结算，减少出发时占用的现金</x:v>
      </x:c>
      <x:c r="M41" s="15" t="str">
        <x:v>每港30日</x:v>
      </x:c>
      <x:c r="N41" s="15" t="str">
        <x:v>寄到家里</x:v>
      </x:c>
      <x:c r="O41" s="15" t="str">
        <x:v>驻任商馆且全额发薪</x:v>
      </x:c>
      <x:c r="P41" s="15" t="str">
        <x:v>所在航区雇佣水手可选家属汇款，士气上限提高5</x:v>
      </x:c>
    </x:row>
    <x:row r="42" ht="31" customHeight="1">
      <x:c r="A42" s="13" t="str">
        <x:v>C037</x:v>
      </x:c>
      <x:c r="B42" s="13" t="str">
        <x:v>安贾莉·莲秤</x:v>
      </x:c>
      <x:c r="C42" s="13" t="str">
        <x:v>交易长</x:v>
      </x:c>
      <x:c r="D42" s="13" t="str">
        <x:v>会计师</x:v>
      </x:c>
      <x:c r="E42" s="27" t="n">
        <x:v>4</x:v>
      </x:c>
      <x:c r="F42" s="27" t="n">
        <x:v>2</x:v>
      </x:c>
      <x:c r="G42" s="27" t="n">
        <x:v>3</x:v>
      </x:c>
      <x:c r="H42" s="27" t="n">
        <x:v>10</x:v>
      </x:c>
      <x:c r="I42" s="27" t="n">
        <x:v>7</x:v>
      </x:c>
      <x:c r="J42" s="27" t="n">
        <x:v>7</x:v>
      </x:c>
      <x:c r="K42" s="13" t="str">
        <x:v>莲瓣换舱</x:v>
      </x:c>
      <x:c r="L42" s="13" t="str">
        <x:v>把两种互补货品打包为指定客户需求，允许以货易货补足最多30%货款</x:v>
      </x:c>
      <x:c r="M42" s="13" t="str">
        <x:v>每港15日</x:v>
      </x:c>
      <x:c r="N42" s="13" t="str">
        <x:v>先闻再买</x:v>
      </x:c>
      <x:c r="O42" s="13" t="str">
        <x:v>购买香料</x:v>
      </x:c>
      <x:c r="P42" s="13" t="str">
        <x:v>提前识别品质与本季收成趋势</x:v>
      </x:c>
    </x:row>
    <x:row r="43" ht="31" customHeight="1">
      <x:c r="A43" s="15" t="str">
        <x:v>C038</x:v>
      </x:c>
      <x:c r="B43" s="15" t="str">
        <x:v>阿尔琼·雷弦</x:v>
      </x:c>
      <x:c r="C43" s="15" t="str">
        <x:v>炮术长</x:v>
      </x:c>
      <x:c r="D43" s="15" t="str">
        <x:v>登船战长</x:v>
      </x:c>
      <x:c r="E43" s="30" t="n">
        <x:v>5</x:v>
      </x:c>
      <x:c r="F43" s="30" t="n">
        <x:v>10</x:v>
      </x:c>
      <x:c r="G43" s="30" t="n">
        <x:v>8</x:v>
      </x:c>
      <x:c r="H43" s="30" t="n">
        <x:v>3</x:v>
      </x:c>
      <x:c r="I43" s="30" t="n">
        <x:v>5</x:v>
      </x:c>
      <x:c r="J43" s="30" t="n">
        <x:v>7</x:v>
      </x:c>
      <x:c r="K43" s="15" t="str">
        <x:v>断帆雷弦</x:v>
      </x:c>
      <x:c r="L43" s="15" t="str">
        <x:v>为一侧火炮切换桅杆分段瞄准，下一轮集中破坏帆桁并显露航向弱点</x:v>
      </x:c>
      <x:c r="M43" s="15" t="str">
        <x:v>战斗150秒</x:v>
      </x:c>
      <x:c r="N43" s="15" t="str">
        <x:v>留一条路</x:v>
      </x:c>
      <x:c r="O43" s="15" t="str">
        <x:v>敌舰失去主帆后接受劝降</x:v>
      </x:c>
      <x:c r="P43" s="15" t="str">
        <x:v>战利品船体保有率提高</x:v>
      </x:c>
    </x:row>
    <x:row r="44" ht="31" customHeight="1">
      <x:c r="A44" s="13" t="str">
        <x:v>C039</x:v>
      </x:c>
      <x:c r="B44" s="13" t="str">
        <x:v>帕德玛·石莲</x:v>
      </x:c>
      <x:c r="C44" s="13" t="str">
        <x:v>考古学者</x:v>
      </x:c>
      <x:c r="D44" s="13" t="str">
        <x:v>博物学者</x:v>
      </x:c>
      <x:c r="E44" s="27" t="n">
        <x:v>4</x:v>
      </x:c>
      <x:c r="F44" s="27" t="n">
        <x:v>1</x:v>
      </x:c>
      <x:c r="G44" s="27" t="n">
        <x:v>2</x:v>
      </x:c>
      <x:c r="H44" s="27" t="n">
        <x:v>5</x:v>
      </x:c>
      <x:c r="I44" s="27" t="n">
        <x:v>10</x:v>
      </x:c>
      <x:c r="J44" s="27" t="n">
        <x:v>6</x:v>
      </x:c>
      <x:c r="K44" s="13" t="str">
        <x:v>石莲显影</x:v>
      </x:c>
      <x:c r="L44" s="13" t="str">
        <x:v>通过斜光和颜料比对显出一处壁画隐线，开放额外调查分支</x:v>
      </x:c>
      <x:c r="M44" s="13" t="str">
        <x:v>探索7日</x:v>
      </x:c>
      <x:c r="N44" s="13" t="str">
        <x:v>旧色新生</x:v>
      </x:c>
      <x:c r="O44" s="13" t="str">
        <x:v>向遗迹当地修复项目提供材料</x:v>
      </x:c>
      <x:c r="P44" s="13" t="str">
        <x:v>相关发现声望增加15%，开放工艺订单</x:v>
      </x:c>
    </x:row>
    <x:row r="45" ht="31" customHeight="1">
      <x:c r="A45" s="15" t="str">
        <x:v>C040</x:v>
      </x:c>
      <x:c r="B45" s="15" t="str">
        <x:v>米拉·姜花</x:v>
      </x:c>
      <x:c r="C45" s="15" t="str">
        <x:v>主厨</x:v>
      </x:c>
      <x:c r="D45" s="15" t="str">
        <x:v>补给长</x:v>
      </x:c>
      <x:c r="E45" s="30" t="n">
        <x:v>4</x:v>
      </x:c>
      <x:c r="F45" s="30" t="n">
        <x:v>1</x:v>
      </x:c>
      <x:c r="G45" s="30" t="n">
        <x:v>4</x:v>
      </x:c>
      <x:c r="H45" s="30" t="n">
        <x:v>7</x:v>
      </x:c>
      <x:c r="I45" s="30" t="n">
        <x:v>9</x:v>
      </x:c>
      <x:c r="J45" s="30" t="n">
        <x:v>7</x:v>
      </x:c>
      <x:c r="K45" s="15" t="str">
        <x:v>一桌四海</x:v>
      </x:c>
      <x:c r="L45" s="15" t="str">
        <x:v>以三地食材举行共餐，立即推进两名关系僵持伙伴的对话阶段</x:v>
      </x:c>
      <x:c r="M45" s="15" t="str">
        <x:v>航海10日</x:v>
      </x:c>
      <x:c r="N45" s="15" t="str">
        <x:v>姜花小罐</x:v>
      </x:c>
      <x:c r="O45" s="15" t="str">
        <x:v>船上同时携带姜、盐与干粮</x:v>
      </x:c>
      <x:c r="P45" s="15" t="str">
        <x:v>长航段疲劳累积降低10%</x:v>
      </x:c>
    </x:row>
    <x:row r="46" ht="31" customHeight="1">
      <x:c r="A46" s="13" t="str">
        <x:v>C041</x:v>
      </x:c>
      <x:c r="B46" s="13" t="str">
        <x:v>德夫·织风</x:v>
      </x:c>
      <x:c r="C46" s="13" t="str">
        <x:v>帆缆长</x:v>
      </x:c>
      <x:c r="D46" s="13" t="str">
        <x:v>船匠</x:v>
      </x:c>
      <x:c r="E46" s="27" t="n">
        <x:v>9</x:v>
      </x:c>
      <x:c r="F46" s="27" t="n">
        <x:v>2</x:v>
      </x:c>
      <x:c r="G46" s="27" t="n">
        <x:v>5</x:v>
      </x:c>
      <x:c r="H46" s="27" t="n">
        <x:v>6</x:v>
      </x:c>
      <x:c r="I46" s="27" t="n">
        <x:v>9</x:v>
      </x:c>
      <x:c r="J46" s="27" t="n">
        <x:v>6</x:v>
      </x:c>
      <x:c r="K46" s="13" t="str">
        <x:v>经纬换势</x:v>
      </x:c>
      <x:c r="L46" s="13" t="str">
        <x:v>在30秒内分两次调整前后帆受力，可在转向中保留一半既有航速</x:v>
      </x:c>
      <x:c r="M46" s="13" t="str">
        <x:v>战斗150秒</x:v>
      </x:c>
      <x:c r="N46" s="13" t="str">
        <x:v>细线也能承重</x:v>
      </x:c>
      <x:c r="O46" s="13" t="str">
        <x:v>装备轻帆与补强帆角</x:v>
      </x:c>
      <x:c r="P46" s="13" t="str">
        <x:v>基础帆装重量降低5%</x:v>
      </x:c>
    </x:row>
    <x:row r="47" ht="31" customHeight="1">
      <x:c r="A47" s="15" t="str">
        <x:v>C042</x:v>
      </x:c>
      <x:c r="B47" s="15" t="str">
        <x:v>伊莎·孟加拉潮</x:v>
      </x:c>
      <x:c r="C47" s="15" t="str">
        <x:v>操舵手</x:v>
      </x:c>
      <x:c r="D47" s="15" t="str">
        <x:v>副官</x:v>
      </x:c>
      <x:c r="E47" s="30" t="n">
        <x:v>10</x:v>
      </x:c>
      <x:c r="F47" s="30" t="n">
        <x:v>3</x:v>
      </x:c>
      <x:c r="G47" s="30" t="n">
        <x:v>5</x:v>
      </x:c>
      <x:c r="H47" s="30" t="n">
        <x:v>5</x:v>
      </x:c>
      <x:c r="I47" s="30" t="n">
        <x:v>9</x:v>
      </x:c>
      <x:c r="J47" s="30" t="n">
        <x:v>9</x:v>
      </x:c>
      <x:c r="K47" s="15" t="str">
        <x:v>潮道落笔</x:v>
      </x:c>
      <x:c r="L47" s="15" t="str">
        <x:v>现场标出一条浅水转向通道，沿线船可低速穿过并免一次轻微搁浅</x:v>
      </x:c>
      <x:c r="M47" s="15" t="str">
        <x:v>战斗180秒</x:v>
      </x:c>
      <x:c r="N47" s="15" t="str">
        <x:v>河会改名</x:v>
      </x:c>
      <x:c r="O47" s="15" t="str">
        <x:v>每次雨季后重访河口港</x:v>
      </x:c>
      <x:c r="P47" s="15" t="str">
        <x:v>立即更新本港浅滩图，不收引航费</x:v>
      </x:c>
    </x:row>
    <x:row r="48" ht="31" customHeight="1">
      <x:c r="A48" s="13" t="str">
        <x:v>C043</x:v>
      </x:c>
      <x:c r="B48" s="13" t="str">
        <x:v>拉特娜·千结</x:v>
      </x:c>
      <x:c r="C48" s="13" t="str">
        <x:v>翻译官</x:v>
      </x:c>
      <x:c r="D48" s="13" t="str">
        <x:v>交易长</x:v>
      </x:c>
      <x:c r="E48" s="27" t="n">
        <x:v>5</x:v>
      </x:c>
      <x:c r="F48" s="27" t="n">
        <x:v>2</x:v>
      </x:c>
      <x:c r="G48" s="27" t="n">
        <x:v>4</x:v>
      </x:c>
      <x:c r="H48" s="27" t="n">
        <x:v>8</x:v>
      </x:c>
      <x:c r="I48" s="27" t="n">
        <x:v>9</x:v>
      </x:c>
      <x:c r="J48" s="27" t="n">
        <x:v>7</x:v>
      </x:c>
      <x:c r="K48" s="13" t="str">
        <x:v>千结解扣</x:v>
      </x:c>
      <x:c r="L48" s="13" t="str">
        <x:v>把一项语言导致的任务前置改为可用商品、手势或当地向导完成的替代步骤</x:v>
      </x:c>
      <x:c r="M48" s="13" t="str">
        <x:v>探索7日</x:v>
      </x:c>
      <x:c r="N48" s="13" t="str">
        <x:v>码头口音</x:v>
      </x:c>
      <x:c r="O48" s="13" t="str">
        <x:v>每到访一处新文化港</x:v>
      </x:c>
      <x:c r="P48" s="13" t="str">
        <x:v>积累1会话页，5页可降低一次谈判难度</x:v>
      </x:c>
    </x:row>
    <x:row r="49" ht="31" customHeight="1">
      <x:c r="A49" s="15" t="str">
        <x:v>C044</x:v>
      </x:c>
      <x:c r="B49" s="15" t="str">
        <x:v>巴尤·雨雀</x:v>
      </x:c>
      <x:c r="C49" s="15" t="str">
        <x:v>瞭望员</x:v>
      </x:c>
      <x:c r="D49" s="15" t="str">
        <x:v>博物学者</x:v>
      </x:c>
      <x:c r="E49" s="30" t="n">
        <x:v>9</x:v>
      </x:c>
      <x:c r="F49" s="30" t="n">
        <x:v>1</x:v>
      </x:c>
      <x:c r="G49" s="30" t="n">
        <x:v>3</x:v>
      </x:c>
      <x:c r="H49" s="30" t="n">
        <x:v>2</x:v>
      </x:c>
      <x:c r="I49" s="30" t="n">
        <x:v>7</x:v>
      </x:c>
      <x:c r="J49" s="30" t="n">
        <x:v>4</x:v>
      </x:c>
      <x:c r="K49" s="15" t="str">
        <x:v>雨雀转向</x:v>
      </x:c>
      <x:c r="L49" s="15" t="str">
        <x:v>放出观察标记，预告下一阵风雨从哪个扇区进入战场</x:v>
      </x:c>
      <x:c r="M49" s="15" t="str">
        <x:v>战斗120秒</x:v>
      </x:c>
      <x:c r="N49" s="15" t="str">
        <x:v>鸟比人先回家</x:v>
      </x:c>
      <x:c r="O49" s="15" t="str">
        <x:v>驶近岛链并临近日落</x:v>
      </x:c>
      <x:c r="P49" s="15" t="str">
        <x:v>额外提示一处可避风锚地</x:v>
      </x:c>
    </x:row>
    <x:row r="50" ht="31" customHeight="1">
      <x:c r="A50" s="13" t="str">
        <x:v>C045</x:v>
      </x:c>
      <x:c r="B50" s="13" t="str">
        <x:v>阮绫瓷</x:v>
      </x:c>
      <x:c r="C50" s="13" t="str">
        <x:v>交易长</x:v>
      </x:c>
      <x:c r="D50" s="13" t="str">
        <x:v>考古学者</x:v>
      </x:c>
      <x:c r="E50" s="27" t="n">
        <x:v>4</x:v>
      </x:c>
      <x:c r="F50" s="27" t="n">
        <x:v>1</x:v>
      </x:c>
      <x:c r="G50" s="27" t="n">
        <x:v>2</x:v>
      </x:c>
      <x:c r="H50" s="27" t="n">
        <x:v>9</x:v>
      </x:c>
      <x:c r="I50" s="27" t="n">
        <x:v>9</x:v>
      </x:c>
      <x:c r="J50" s="27" t="n">
        <x:v>5</x:v>
      </x:c>
      <x:c r="K50" s="13" t="str">
        <x:v>一箱成器</x:v>
      </x:c>
      <x:c r="L50" s="13" t="str">
        <x:v>为瓷器与玻璃货物设计本次专用装箱，减少损耗并开放小批高品订单</x:v>
      </x:c>
      <x:c r="M50" s="13" t="str">
        <x:v>每次离港</x:v>
      </x:c>
      <x:c r="N50" s="13" t="str">
        <x:v>窑火识名</x:v>
      </x:c>
      <x:c r="O50" s="13" t="str">
        <x:v>记录同类器物的两个产地</x:v>
      </x:c>
      <x:c r="P50" s="13" t="str">
        <x:v>获得一条工艺交流线索</x:v>
      </x:c>
    </x:row>
    <x:row r="51" ht="31" customHeight="1">
      <x:c r="A51" s="15" t="str">
        <x:v>C046</x:v>
      </x:c>
      <x:c r="B51" s="15" t="str">
        <x:v>萨莉·丁香星</x:v>
      </x:c>
      <x:c r="C51" s="15" t="str">
        <x:v>驻港管事</x:v>
      </x:c>
      <x:c r="D51" s="15" t="str">
        <x:v>交易长</x:v>
      </x:c>
      <x:c r="E51" s="30" t="n">
        <x:v>4</x:v>
      </x:c>
      <x:c r="F51" s="30" t="n">
        <x:v>2</x:v>
      </x:c>
      <x:c r="G51" s="30" t="n">
        <x:v>4</x:v>
      </x:c>
      <x:c r="H51" s="30" t="n">
        <x:v>9</x:v>
      </x:c>
      <x:c r="I51" s="30" t="n">
        <x:v>7</x:v>
      </x:c>
      <x:c r="J51" s="30" t="n">
        <x:v>8</x:v>
      </x:c>
      <x:c r="K51" s="15" t="str">
        <x:v>花期订约</x:v>
      </x:c>
      <x:c r="L51" s="15" t="str">
        <x:v>预购下一季指定香料，锁定数量与质量阶梯，价格随收成而非当天行情结算</x:v>
      </x:c>
      <x:c r="M51" s="15" t="str">
        <x:v>每季1次</x:v>
      </x:c>
      <x:c r="N51" s="15" t="str">
        <x:v>树下的账</x:v>
      </x:c>
      <x:c r="O51" s="15" t="str">
        <x:v>驻任香料产地商馆</x:v>
      </x:c>
      <x:c r="P51" s="15" t="str">
        <x:v>收成预测提前30日揭示，合作社关系增加</x:v>
      </x:c>
    </x:row>
    <x:row r="52" ht="31" customHeight="1">
      <x:c r="A52" s="13" t="str">
        <x:v>C047</x:v>
      </x:c>
      <x:c r="B52" s="13" t="str">
        <x:v>拉斐尔·雾刃</x:v>
      </x:c>
      <x:c r="C52" s="13" t="str">
        <x:v>登船战长</x:v>
      </x:c>
      <x:c r="D52" s="13" t="str">
        <x:v>信号官</x:v>
      </x:c>
      <x:c r="E52" s="27" t="n">
        <x:v>6</x:v>
      </x:c>
      <x:c r="F52" s="27" t="n">
        <x:v>4</x:v>
      </x:c>
      <x:c r="G52" s="27" t="n">
        <x:v>10</x:v>
      </x:c>
      <x:c r="H52" s="27" t="n">
        <x:v>3</x:v>
      </x:c>
      <x:c r="I52" s="27" t="n">
        <x:v>5</x:v>
      </x:c>
      <x:c r="J52" s="27" t="n">
        <x:v>7</x:v>
      </x:c>
      <x:c r="K52" s="13" t="str">
        <x:v>雾步换位</x:v>
      </x:c>
      <x:c r="L52" s="13" t="str">
        <x:v>接舷时将前排与后排队伍交换，撤回一支低战力队且不中断交锋</x:v>
      </x:c>
      <x:c r="M52" s="13" t="str">
        <x:v>战斗120秒</x:v>
      </x:c>
      <x:c r="N52" s="13" t="str">
        <x:v>甲板也是舞台</x:v>
      </x:c>
      <x:c r="O52" s="13" t="str">
        <x:v>敌船与己船横摇差异较大</x:v>
      </x:c>
      <x:c r="P52" s="13" t="str">
        <x:v>接舷起手优势增加</x:v>
      </x:c>
    </x:row>
    <x:row r="53" ht="31" customHeight="1">
      <x:c r="A53" s="15" t="str">
        <x:v>C048</x:v>
      </x:c>
      <x:c r="B53" s="15" t="str">
        <x:v>茜蒂·深蓝环</x:v>
      </x:c>
      <x:c r="C53" s="15" t="str">
        <x:v>操舵手</x:v>
      </x:c>
      <x:c r="D53" s="15" t="str">
        <x:v>航海长</x:v>
      </x:c>
      <x:c r="E53" s="30" t="n">
        <x:v>10</x:v>
      </x:c>
      <x:c r="F53" s="30" t="n">
        <x:v>3</x:v>
      </x:c>
      <x:c r="G53" s="30" t="n">
        <x:v>5</x:v>
      </x:c>
      <x:c r="H53" s="30" t="n">
        <x:v>4</x:v>
      </x:c>
      <x:c r="I53" s="30" t="n">
        <x:v>8</x:v>
      </x:c>
      <x:c r="J53" s="30" t="n">
        <x:v>7</x:v>
      </x:c>
      <x:c r="K53" s="15" t="str">
        <x:v>深蓝侧滑</x:v>
      </x:c>
      <x:c r="L53" s="15" t="str">
        <x:v>利用横流完成一次短距离侧向改线，保持船首朝向不变</x:v>
      </x:c>
      <x:c r="M53" s="15" t="str">
        <x:v>战斗150秒</x:v>
      </x:c>
      <x:c r="N53" s="15" t="str">
        <x:v>海床的呼吸</x:v>
      </x:c>
      <x:c r="O53" s="15" t="str">
        <x:v>航行火山岛附近海区</x:v>
      </x:c>
      <x:c r="P53" s="15" t="str">
        <x:v>提前显示一处强横流区域</x:v>
      </x:c>
    </x:row>
    <x:row r="54" ht="31" customHeight="1">
      <x:c r="A54" s="13" t="str">
        <x:v>C049</x:v>
      </x:c>
      <x:c r="B54" s="13" t="str">
        <x:v>沈照夜</x:v>
      </x:c>
      <x:c r="C54" s="13" t="str">
        <x:v>船长</x:v>
      </x:c>
      <x:c r="D54" s="13" t="str">
        <x:v>副官</x:v>
      </x:c>
      <x:c r="E54" s="27" t="n">
        <x:v>8</x:v>
      </x:c>
      <x:c r="F54" s="27" t="n">
        <x:v>7</x:v>
      </x:c>
      <x:c r="G54" s="27" t="n">
        <x:v>8</x:v>
      </x:c>
      <x:c r="H54" s="27" t="n">
        <x:v>7</x:v>
      </x:c>
      <x:c r="I54" s="27" t="n">
        <x:v>6</x:v>
      </x:c>
      <x:c r="J54" s="27" t="n">
        <x:v>9</x:v>
      </x:c>
      <x:c r="K54" s="13" t="str">
        <x:v>照夜合围</x:v>
      </x:c>
      <x:c r="L54" s="13" t="str">
        <x:v>指定两友舰以交叉航向压迫敌舰，形成扇区后开放一次劝降窗口</x:v>
      </x:c>
      <x:c r="M54" s="13" t="str">
        <x:v>战斗180秒</x:v>
      </x:c>
      <x:c r="N54" s="13" t="str">
        <x:v>留灯待客</x:v>
      </x:c>
      <x:c r="O54" s="13" t="str">
        <x:v>护航任务让目标船完整进港</x:v>
      </x:c>
      <x:c r="P54" s="13" t="str">
        <x:v>额外获得两方商会关系</x:v>
      </x:c>
    </x:row>
    <x:row r="55" ht="31" customHeight="1">
      <x:c r="A55" s="15" t="str">
        <x:v>C050</x:v>
      </x:c>
      <x:c r="B55" s="15" t="str">
        <x:v>杜映梨</x:v>
      </x:c>
      <x:c r="C55" s="15" t="str">
        <x:v>翻译官</x:v>
      </x:c>
      <x:c r="D55" s="15" t="str">
        <x:v>会计师</x:v>
      </x:c>
      <x:c r="E55" s="30" t="n">
        <x:v>4</x:v>
      </x:c>
      <x:c r="F55" s="30" t="n">
        <x:v>1</x:v>
      </x:c>
      <x:c r="G55" s="30" t="n">
        <x:v>3</x:v>
      </x:c>
      <x:c r="H55" s="30" t="n">
        <x:v>8</x:v>
      </x:c>
      <x:c r="I55" s="30" t="n">
        <x:v>10</x:v>
      </x:c>
      <x:c r="J55" s="30" t="n">
        <x:v>6</x:v>
      </x:c>
      <x:c r="K55" s="15" t="str">
        <x:v>一字千潮</x:v>
      </x:c>
      <x:c r="L55" s="15" t="str">
        <x:v>揭示当前合约一个隐藏的履约条件，允许以等价交货时间或货品重新协商</x:v>
      </x:c>
      <x:c r="M55" s="15" t="str">
        <x:v>每港15日</x:v>
      </x:c>
      <x:c r="N55" s="15" t="str">
        <x:v>白纸有声</x:v>
      </x:c>
      <x:c r="O55" s="15" t="str">
        <x:v>持对方语言词册签约</x:v>
      </x:c>
      <x:c r="P55" s="15" t="str">
        <x:v>取消首次翻译服务费并提高谈判信任</x:v>
      </x:c>
    </x:row>
    <x:row r="56" ht="31" customHeight="1">
      <x:c r="A56" s="13" t="str">
        <x:v>C051</x:v>
      </x:c>
      <x:c r="B56" s="13" t="str">
        <x:v>宋时雨</x:v>
      </x:c>
      <x:c r="C56" s="13" t="str">
        <x:v>测绘师</x:v>
      </x:c>
      <x:c r="D56" s="13" t="str">
        <x:v>火药师</x:v>
      </x:c>
      <x:c r="E56" s="27" t="n">
        <x:v>6</x:v>
      </x:c>
      <x:c r="F56" s="27" t="n">
        <x:v>3</x:v>
      </x:c>
      <x:c r="G56" s="27" t="n">
        <x:v>2</x:v>
      </x:c>
      <x:c r="H56" s="27" t="n">
        <x:v>3</x:v>
      </x:c>
      <x:c r="I56" s="27" t="n">
        <x:v>10</x:v>
      </x:c>
      <x:c r="J56" s="27" t="n">
        <x:v>4</x:v>
      </x:c>
      <x:c r="K56" s="13" t="str">
        <x:v>雨刻复测</x:v>
      </x:c>
      <x:c r="L56" s="13" t="str">
        <x:v>在当前航区重做时刻校准，移除一项累计定位误差并缩小探索搜索扇区</x:v>
      </x:c>
      <x:c r="M56" s="13" t="str">
        <x:v>航海5日</x:v>
      </x:c>
      <x:c r="N56" s="13" t="str">
        <x:v>滴水不漏</x:v>
      </x:c>
      <x:c r="O56" s="13" t="str">
        <x:v>连续三日保养航时器</x:v>
      </x:c>
      <x:c r="P56" s="13" t="str">
        <x:v>新海图测绘声望增加10%</x:v>
      </x:c>
    </x:row>
    <x:row r="57" ht="31" customHeight="1">
      <x:c r="A57" s="15" t="str">
        <x:v>C052</x:v>
      </x:c>
      <x:c r="B57" s="15" t="str">
        <x:v>九条澄花</x:v>
      </x:c>
      <x:c r="C57" s="15" t="str">
        <x:v>登船战长</x:v>
      </x:c>
      <x:c r="D57" s="15" t="str">
        <x:v>副官</x:v>
      </x:c>
      <x:c r="E57" s="30" t="n">
        <x:v>5</x:v>
      </x:c>
      <x:c r="F57" s="30" t="n">
        <x:v>3</x:v>
      </x:c>
      <x:c r="G57" s="30" t="n">
        <x:v>10</x:v>
      </x:c>
      <x:c r="H57" s="30" t="n">
        <x:v>3</x:v>
      </x:c>
      <x:c r="I57" s="30" t="n">
        <x:v>6</x:v>
      </x:c>
      <x:c r="J57" s="30" t="n">
        <x:v>8</x:v>
      </x:c>
      <x:c r="K57" s="15" t="str">
        <x:v>白梅截步</x:v>
      </x:c>
      <x:c r="L57" s="15" t="str">
        <x:v>接舷交锋时封锁敌方一次突击路线，并让后排队伍获得前移窗口</x:v>
      </x:c>
      <x:c r="M57" s="15" t="str">
        <x:v>战斗120秒</x:v>
      </x:c>
      <x:c r="N57" s="15" t="str">
        <x:v>剑归鞘后</x:v>
      </x:c>
      <x:c r="O57" s="15" t="str">
        <x:v>战斗以投降结束且接纳伤员</x:v>
      </x:c>
      <x:c r="P57" s="15" t="str">
        <x:v>下次进入该势力港口减少敌意</x:v>
      </x:c>
    </x:row>
    <x:row r="58" ht="31" customHeight="1">
      <x:c r="A58" s="13" t="str">
        <x:v>C053</x:v>
      </x:c>
      <x:c r="B58" s="13" t="str">
        <x:v>月城凛久</x:v>
      </x:c>
      <x:c r="C58" s="13" t="str">
        <x:v>炮术长</x:v>
      </x:c>
      <x:c r="D58" s="13" t="str">
        <x:v>瞭望员</x:v>
      </x:c>
      <x:c r="E58" s="27" t="n">
        <x:v>6</x:v>
      </x:c>
      <x:c r="F58" s="27" t="n">
        <x:v>10</x:v>
      </x:c>
      <x:c r="G58" s="27" t="n">
        <x:v>6</x:v>
      </x:c>
      <x:c r="H58" s="27" t="n">
        <x:v>3</x:v>
      </x:c>
      <x:c r="I58" s="27" t="n">
        <x:v>8</x:v>
      </x:c>
      <x:c r="J58" s="27" t="n">
        <x:v>5</x:v>
      </x:c>
      <x:c r="K58" s="13" t="str">
        <x:v>凛线校射</x:v>
      </x:c>
      <x:c r="L58" s="13" t="str">
        <x:v>先打一发校射弹，标记水柱后本侧下一轮可选击帆、舵或炮位</x:v>
      </x:c>
      <x:c r="M58" s="13" t="str">
        <x:v>战斗120秒</x:v>
      </x:c>
      <x:c r="N58" s="13" t="str">
        <x:v>先看再开火</x:v>
      </x:c>
      <x:c r="O58" s="13" t="str">
        <x:v>保持同一目标视线10秒</x:v>
      </x:c>
      <x:c r="P58" s="13" t="str">
        <x:v>显示其一个关键部位与适合弹种</x:v>
      </x:c>
    </x:row>
    <x:row r="59" ht="31" customHeight="1">
      <x:c r="A59" s="15" t="str">
        <x:v>C054</x:v>
      </x:c>
      <x:c r="B59" s="15" t="str">
        <x:v>韩素绳</x:v>
      </x:c>
      <x:c r="C59" s="15" t="str">
        <x:v>信号官</x:v>
      </x:c>
      <x:c r="D59" s="15" t="str">
        <x:v>乐师</x:v>
      </x:c>
      <x:c r="E59" s="30" t="n">
        <x:v>7</x:v>
      </x:c>
      <x:c r="F59" s="30" t="n">
        <x:v>4</x:v>
      </x:c>
      <x:c r="G59" s="30" t="n">
        <x:v>4</x:v>
      </x:c>
      <x:c r="H59" s="30" t="n">
        <x:v>6</x:v>
      </x:c>
      <x:c r="I59" s="30" t="n">
        <x:v>9</x:v>
      </x:c>
      <x:c r="J59" s="30" t="n">
        <x:v>8</x:v>
      </x:c>
      <x:c r="K59" s="15" t="str">
        <x:v>三路同令</x:v>
      </x:c>
      <x:c r="L59" s="15" t="str">
        <x:v>用旗灯号同时发送一条编队命令，使分散友舰立即开始执行</x:v>
      </x:c>
      <x:c r="M59" s="15" t="str">
        <x:v>战斗120秒</x:v>
      </x:c>
      <x:c r="N59" s="15" t="str">
        <x:v>总有看得懂的方式</x:v>
      </x:c>
      <x:c r="O59" s="15" t="str">
        <x:v>遭遇浓雾、炮烟或暴雨</x:v>
      </x:c>
      <x:c r="P59" s="15" t="str">
        <x:v>舰队命令延迟减半</x:v>
      </x:c>
    </x:row>
    <x:row r="60" ht="31" customHeight="1">
      <x:c r="A60" s="13" t="str">
        <x:v>C055</x:v>
      </x:c>
      <x:c r="B60" s="13" t="str">
        <x:v>伊芙琳·盐玫瑰</x:v>
      </x:c>
      <x:c r="C60" s="13" t="str">
        <x:v>船长</x:v>
      </x:c>
      <x:c r="D60" s="13" t="str">
        <x:v>登船战长</x:v>
      </x:c>
      <x:c r="E60" s="27" t="n">
        <x:v>8</x:v>
      </x:c>
      <x:c r="F60" s="27" t="n">
        <x:v>8</x:v>
      </x:c>
      <x:c r="G60" s="27" t="n">
        <x:v>9</x:v>
      </x:c>
      <x:c r="H60" s="27" t="n">
        <x:v>7</x:v>
      </x:c>
      <x:c r="I60" s="27" t="n">
        <x:v>6</x:v>
      </x:c>
      <x:c r="J60" s="27" t="n">
        <x:v>9</x:v>
      </x:c>
      <x:c r="K60" s="13" t="str">
        <x:v>盐玫瑰截航</x:v>
      </x:c>
      <x:c r="L60" s="13" t="str">
        <x:v>以旗舰锁定敌方撤离扇区，使其转向时暴露弱侧并触发一次最后谈判</x:v>
      </x:c>
      <x:c r="M60" s="13" t="str">
        <x:v>战斗1次</x:v>
      </x:c>
      <x:c r="N60" s="13" t="str">
        <x:v>不欠明天</x:v>
      </x:c>
      <x:c r="O60" s="13" t="str">
        <x:v>连续完成三次有明确报酬的护商委托</x:v>
      </x:c>
      <x:c r="P60" s="13" t="str">
        <x:v>旧私掠水手转职成本下降</x:v>
      </x:c>
    </x:row>
    <x:row r="61" ht="31" customHeight="1">
      <x:c r="A61" s="15" t="str">
        <x:v>C056</x:v>
      </x:c>
      <x:c r="B61" s="15" t="str">
        <x:v>朱利安·晨锚</x:v>
      </x:c>
      <x:c r="C61" s="15" t="str">
        <x:v>副官</x:v>
      </x:c>
      <x:c r="D61" s="15" t="str">
        <x:v>船长</x:v>
      </x:c>
      <x:c r="E61" s="30" t="n">
        <x:v>8</x:v>
      </x:c>
      <x:c r="F61" s="30" t="n">
        <x:v>8</x:v>
      </x:c>
      <x:c r="G61" s="30" t="n">
        <x:v>6</x:v>
      </x:c>
      <x:c r="H61" s="30" t="n">
        <x:v>5</x:v>
      </x:c>
      <x:c r="I61" s="30" t="n">
        <x:v>6</x:v>
      </x:c>
      <x:c r="J61" s="30" t="n">
        <x:v>9</x:v>
      </x:c>
      <x:c r="K61" s="15" t="str">
        <x:v>晨锚护舷</x:v>
      </x:c>
      <x:c r="L61" s="15" t="str">
        <x:v>指定一艘友方商船，附近护卫舰自动挡入其受威胁侧形成护送走廊</x:v>
      </x:c>
      <x:c r="M61" s="15" t="str">
        <x:v>战斗180秒</x:v>
      </x:c>
      <x:c r="N61" s="15" t="str">
        <x:v>每艘都算数</x:v>
      </x:c>
      <x:c r="O61" s="15" t="str">
        <x:v>护航编队所有船成功到港</x:v>
      </x:c>
      <x:c r="P61" s="15" t="str">
        <x:v>奖励追加经验与地方民望</x:v>
      </x:c>
    </x:row>
    <x:row r="62" ht="31" customHeight="1">
      <x:c r="A62" s="13" t="str">
        <x:v>C057</x:v>
      </x:c>
      <x:c r="B62" s="13" t="str">
        <x:v>克莱芒汀·糖火</x:v>
      </x:c>
      <x:c r="C62" s="13" t="str">
        <x:v>主厨</x:v>
      </x:c>
      <x:c r="D62" s="13" t="str">
        <x:v>火药师</x:v>
      </x:c>
      <x:c r="E62" s="27" t="n">
        <x:v>3</x:v>
      </x:c>
      <x:c r="F62" s="27" t="n">
        <x:v>4</x:v>
      </x:c>
      <x:c r="G62" s="27" t="n">
        <x:v>2</x:v>
      </x:c>
      <x:c r="H62" s="27" t="n">
        <x:v>6</x:v>
      </x:c>
      <x:c r="I62" s="27" t="n">
        <x:v>8</x:v>
      </x:c>
      <x:c r="J62" s="27" t="n">
        <x:v>5</x:v>
      </x:c>
      <x:c r="K62" s="13" t="str">
        <x:v>糖火庆功</x:v>
      </x:c>
      <x:c r="L62" s="13" t="str">
        <x:v>战后消耗糖与可可举行小宴，恢复额外士气并激活一段胜利船舱场景</x:v>
      </x:c>
      <x:c r="M62" s="13" t="str">
        <x:v>航海5日</x:v>
      </x:c>
      <x:c r="N62" s="13" t="str">
        <x:v>焦糖刻度</x:v>
      </x:c>
      <x:c r="O62" s="13" t="str">
        <x:v>制作高能量航海点心</x:v>
      </x:c>
      <x:c r="P62" s="13" t="str">
        <x:v>同等体积口粮持续日数增加8%</x:v>
      </x:c>
    </x:row>
    <x:row r="63" ht="31" customHeight="1">
      <x:c r="A63" s="15" t="str">
        <x:v>C058</x:v>
      </x:c>
      <x:c r="B63" s="15" t="str">
        <x:v>阿莫斯·格雷岬</x:v>
      </x:c>
      <x:c r="C63" s="15" t="str">
        <x:v>航海长</x:v>
      </x:c>
      <x:c r="D63" s="15" t="str">
        <x:v>副官</x:v>
      </x:c>
      <x:c r="E63" s="30" t="n">
        <x:v>10</x:v>
      </x:c>
      <x:c r="F63" s="30" t="n">
        <x:v>6</x:v>
      </x:c>
      <x:c r="G63" s="30" t="n">
        <x:v>4</x:v>
      </x:c>
      <x:c r="H63" s="30" t="n">
        <x:v>4</x:v>
      </x:c>
      <x:c r="I63" s="30" t="n">
        <x:v>10</x:v>
      </x:c>
      <x:c r="J63" s="30" t="n">
        <x:v>8</x:v>
      </x:c>
      <x:c r="K63" s="15" t="str">
        <x:v>灰岬基线</x:v>
      </x:c>
      <x:c r="L63" s="15" t="str">
        <x:v>在海战中设置一条测量基线，60秒内全舰共享目标距离与航向信息</x:v>
      </x:c>
      <x:c r="M63" s="15" t="str">
        <x:v>战斗180秒</x:v>
      </x:c>
      <x:c r="N63" s="15" t="str">
        <x:v>听地方的人</x:v>
      </x:c>
      <x:c r="O63" s="15" t="str">
        <x:v>出港前访问渔民或引航人</x:v>
      </x:c>
      <x:c r="P63" s="15" t="str">
        <x:v>本航区探索搜索半径缩小20%</x:v>
      </x:c>
    </x:row>
    <x:row r="64" ht="31" customHeight="1">
      <x:c r="A64" s="13" t="str">
        <x:v>C059</x:v>
      </x:c>
      <x:c r="B64" s="13" t="str">
        <x:v>卡塔莉娜·未寄潮</x:v>
      </x:c>
      <x:c r="C64" s="13" t="str">
        <x:v>测绘师</x:v>
      </x:c>
      <x:c r="D64" s="13" t="str">
        <x:v>乐师</x:v>
      </x:c>
      <x:c r="E64" s="27" t="n">
        <x:v>7</x:v>
      </x:c>
      <x:c r="F64" s="27" t="n">
        <x:v>2</x:v>
      </x:c>
      <x:c r="G64" s="27" t="n">
        <x:v>3</x:v>
      </x:c>
      <x:c r="H64" s="27" t="n">
        <x:v>5</x:v>
      </x:c>
      <x:c r="I64" s="27" t="n">
        <x:v>9</x:v>
      </x:c>
      <x:c r="J64" s="27" t="n">
        <x:v>6</x:v>
      </x:c>
      <x:c r="K64" s="13" t="str">
        <x:v>潮线拼图</x:v>
      </x:c>
      <x:c r="L64" s="13" t="str">
        <x:v>将两张不同年代海图叠合，揭示一处已经改变的港口或遗址登陆点</x:v>
      </x:c>
      <x:c r="M64" s="13" t="str">
        <x:v>探索7日</x:v>
      </x:c>
      <x:c r="N64" s="13" t="str">
        <x:v>没有寄出的地方</x:v>
      </x:c>
      <x:c r="O64" s="13" t="str">
        <x:v>持私人信件到访相关港</x:v>
      </x:c>
      <x:c r="P64" s="13" t="str">
        <x:v>额外触发一段伙伴回忆与线索</x:v>
      </x:c>
    </x:row>
    <x:row r="65" ht="31" customHeight="1">
      <x:c r="A65" s="15" t="str">
        <x:v>C060</x:v>
      </x:c>
      <x:c r="B65" s="15" t="str">
        <x:v>华金·银衡</x:v>
      </x:c>
      <x:c r="C65" s="15" t="str">
        <x:v>会计师</x:v>
      </x:c>
      <x:c r="D65" s="15" t="str">
        <x:v>驻港管事</x:v>
      </x:c>
      <x:c r="E65" s="30" t="n">
        <x:v>2</x:v>
      </x:c>
      <x:c r="F65" s="30" t="n">
        <x:v>2</x:v>
      </x:c>
      <x:c r="G65" s="30" t="n">
        <x:v>4</x:v>
      </x:c>
      <x:c r="H65" s="30" t="n">
        <x:v>10</x:v>
      </x:c>
      <x:c r="I65" s="30" t="n">
        <x:v>9</x:v>
      </x:c>
      <x:c r="J65" s="30" t="n">
        <x:v>7</x:v>
      </x:c>
      <x:c r="K65" s="15" t="str">
        <x:v>银衡折算</x:v>
      </x:c>
      <x:c r="L65" s="15" t="str">
        <x:v>以公开成色重算一批贵金属的结算价，建立本次交易的可追溯重量凭据</x:v>
      </x:c>
      <x:c r="M65" s="15" t="str">
        <x:v>每港15日</x:v>
      </x:c>
      <x:c r="N65" s="15" t="str">
        <x:v>重量不会说谎</x:v>
      </x:c>
      <x:c r="O65" s="15" t="str">
        <x:v>贵金属货物有公秤印记</x:v>
      </x:c>
      <x:c r="P65" s="15" t="str">
        <x:v>跨港兑换手续费降低1个百分点</x:v>
      </x:c>
    </x:row>
    <x:row r="66" ht="31" customHeight="1">
      <x:c r="A66" s="13" t="str">
        <x:v>C061</x:v>
      </x:c>
      <x:c r="B66" s="13" t="str">
        <x:v>奈拉·日阶</x:v>
      </x:c>
      <x:c r="C66" s="13" t="str">
        <x:v>考古学者</x:v>
      </x:c>
      <x:c r="D66" s="13" t="str">
        <x:v>翻译官</x:v>
      </x:c>
      <x:c r="E66" s="27" t="n">
        <x:v>5</x:v>
      </x:c>
      <x:c r="F66" s="27" t="n">
        <x:v>1</x:v>
      </x:c>
      <x:c r="G66" s="27" t="n">
        <x:v>3</x:v>
      </x:c>
      <x:c r="H66" s="27" t="n">
        <x:v>6</x:v>
      </x:c>
      <x:c r="I66" s="27" t="n">
        <x:v>10</x:v>
      </x:c>
      <x:c r="J66" s="27" t="n">
        <x:v>7</x:v>
      </x:c>
      <x:c r="K66" s="13" t="str">
        <x:v>日阶对纹</x:v>
      </x:c>
      <x:c r="L66" s="13" t="str">
        <x:v>比对织纹、道路和建筑朝向，解出一段通往山地观察点的路线</x:v>
      </x:c>
      <x:c r="M66" s="13" t="str">
        <x:v>探索7日</x:v>
      </x:c>
      <x:c r="N66" s="13" t="str">
        <x:v>山海相接</x:v>
      </x:c>
      <x:c r="O66" s="13" t="str">
        <x:v>发现链包含港口与内陆各一节点</x:v>
      </x:c>
      <x:c r="P66" s="13" t="str">
        <x:v>该链额外获得路线声望</x:v>
      </x:c>
    </x:row>
    <x:row r="67" ht="31" customHeight="1">
      <x:c r="A67" s="15" t="str">
        <x:v>C062</x:v>
      </x:c>
      <x:c r="B67" s="15" t="str">
        <x:v>阿马鲁·赤木</x:v>
      </x:c>
      <x:c r="C67" s="15" t="str">
        <x:v>船匠</x:v>
      </x:c>
      <x:c r="D67" s="15" t="str">
        <x:v>登船战长</x:v>
      </x:c>
      <x:c r="E67" s="30" t="n">
        <x:v>6</x:v>
      </x:c>
      <x:c r="F67" s="30" t="n">
        <x:v>3</x:v>
      </x:c>
      <x:c r="G67" s="30" t="n">
        <x:v>8</x:v>
      </x:c>
      <x:c r="H67" s="30" t="n">
        <x:v>3</x:v>
      </x:c>
      <x:c r="I67" s="30" t="n">
        <x:v>9</x:v>
      </x:c>
      <x:c r="J67" s="30" t="n">
        <x:v>6</x:v>
      </x:c>
      <x:c r="K67" s="15" t="str">
        <x:v>赤木换肋</x:v>
      </x:c>
      <x:c r="L67" s="15" t="str">
        <x:v>消耗修理材替换一段损坏肋骨，本战恢复局部结构并改变该处受击反馈</x:v>
      </x:c>
      <x:c r="M67" s="15" t="str">
        <x:v>战斗1次</x:v>
      </x:c>
      <x:c r="N67" s="15" t="str">
        <x:v>木纹朝海</x:v>
      </x:c>
      <x:c r="O67" s="15" t="str">
        <x:v>船体主材与加强材互补</x:v>
      </x:c>
      <x:c r="P67" s="15" t="str">
        <x:v>船体重量减少5%，海修额外恢复5%</x:v>
      </x:c>
    </x:row>
    <x:row r="68" ht="31" customHeight="1">
      <x:c r="A68" s="13" t="str">
        <x:v>C063</x:v>
      </x:c>
      <x:c r="B68" s="13" t="str">
        <x:v>比阿特丽斯·绿烛</x:v>
      </x:c>
      <x:c r="C68" s="13" t="str">
        <x:v>博物学者</x:v>
      </x:c>
      <x:c r="D68" s="13" t="str">
        <x:v>船医</x:v>
      </x:c>
      <x:c r="E68" s="27" t="n">
        <x:v>5</x:v>
      </x:c>
      <x:c r="F68" s="27" t="n">
        <x:v>1</x:v>
      </x:c>
      <x:c r="G68" s="27" t="n">
        <x:v>3</x:v>
      </x:c>
      <x:c r="H68" s="27" t="n">
        <x:v>5</x:v>
      </x:c>
      <x:c r="I68" s="27" t="n">
        <x:v>10</x:v>
      </x:c>
      <x:c r="J68" s="27" t="n">
        <x:v>6</x:v>
      </x:c>
      <x:c r="K68" s="13" t="str">
        <x:v>绿烛夜访</x:v>
      </x:c>
      <x:c r="L68" s="13" t="str">
        <x:v>在夜间探索中改变观察时段，显露只在夜里活动的生态线索</x:v>
      </x:c>
      <x:c r="M68" s="13" t="str">
        <x:v>探索5日</x:v>
      </x:c>
      <x:c r="N68" s="13" t="str">
        <x:v>观察者也休息</x:v>
      </x:c>
      <x:c r="O68" s="13" t="str">
        <x:v>完成昼夜两次生态记录</x:v>
      </x:c>
      <x:c r="P68" s="13" t="str">
        <x:v>图鉴追加行为页并获得药草园关系</x:v>
      </x:c>
    </x:row>
    <x:row r="69" ht="31" customHeight="1">
      <x:c r="A69" s="15" t="str">
        <x:v>C064</x:v>
      </x:c>
      <x:c r="B69" s="15" t="str">
        <x:v>蒂亚戈·飞沫</x:v>
      </x:c>
      <x:c r="C69" s="15" t="str">
        <x:v>瞭望员</x:v>
      </x:c>
      <x:c r="D69" s="15" t="str">
        <x:v>操舵手</x:v>
      </x:c>
      <x:c r="E69" s="30" t="n">
        <x:v>8</x:v>
      </x:c>
      <x:c r="F69" s="30" t="n">
        <x:v>1</x:v>
      </x:c>
      <x:c r="G69" s="30" t="n">
        <x:v>4</x:v>
      </x:c>
      <x:c r="H69" s="30" t="n">
        <x:v>3</x:v>
      </x:c>
      <x:c r="I69" s="30" t="n">
        <x:v>6</x:v>
      </x:c>
      <x:c r="J69" s="30" t="n">
        <x:v>4</x:v>
      </x:c>
      <x:c r="K69" s="15" t="str">
        <x:v>飞沫先行</x:v>
      </x:c>
      <x:c r="L69" s="15" t="str">
        <x:v>驾驶随船小艇侦察一段河道，显露前方一处岔口和可回转水面</x:v>
      </x:c>
      <x:c r="M69" s="15" t="str">
        <x:v>探索3日</x:v>
      </x:c>
      <x:c r="N69" s="15" t="str">
        <x:v>记得每个拐角</x:v>
      </x:c>
      <x:c r="O69" s="15" t="str">
        <x:v>第二次进入同一港口</x:v>
      </x:c>
      <x:c r="P69" s="15" t="str">
        <x:v>卸货与出入港事件时间减少</x:v>
      </x:c>
    </x:row>
    <x:row r="70" ht="31" customHeight="1">
      <x:c r="A70" s="13" t="str">
        <x:v>C065</x:v>
      </x:c>
      <x:c r="B70" s="13" t="str">
        <x:v>库耶恩·雨弓</x:v>
      </x:c>
      <x:c r="C70" s="13" t="str">
        <x:v>测绘师</x:v>
      </x:c>
      <x:c r="D70" s="13" t="str">
        <x:v>博物学者</x:v>
      </x:c>
      <x:c r="E70" s="27" t="n">
        <x:v>8</x:v>
      </x:c>
      <x:c r="F70" s="27" t="n">
        <x:v>2</x:v>
      </x:c>
      <x:c r="G70" s="27" t="n">
        <x:v>4</x:v>
      </x:c>
      <x:c r="H70" s="27" t="n">
        <x:v>5</x:v>
      </x:c>
      <x:c r="I70" s="27" t="n">
        <x:v>10</x:v>
      </x:c>
      <x:c r="J70" s="27" t="n">
        <x:v>6</x:v>
      </x:c>
      <x:c r="K70" s="13" t="str">
        <x:v>雨弓南针</x:v>
      </x:c>
      <x:c r="L70" s="13" t="str">
        <x:v>以南天星位重建当前位置，解锁本次航段的南半球夜间测绘</x:v>
      </x:c>
      <x:c r="M70" s="13" t="str">
        <x:v>航海5日</x:v>
      </x:c>
      <x:c r="N70" s="13" t="str">
        <x:v>另一片天空</x:v>
      </x:c>
      <x:c r="O70" s="13" t="str">
        <x:v>船上同时有南北天观测记录</x:v>
      </x:c>
      <x:c r="P70" s="13" t="str">
        <x:v>跨赤道后定位准备时间减半</x:v>
      </x:c>
    </x:row>
    <x:row r="71" ht="31" customHeight="1">
      <x:c r="A71" s="15" t="str">
        <x:v>C066</x:v>
      </x:c>
      <x:c r="B71" s="15" t="str">
        <x:v>托马斯·南折</x:v>
      </x:c>
      <x:c r="C71" s="15" t="str">
        <x:v>航海长</x:v>
      </x:c>
      <x:c r="D71" s="15" t="str">
        <x:v>补给长</x:v>
      </x:c>
      <x:c r="E71" s="30" t="n">
        <x:v>10</x:v>
      </x:c>
      <x:c r="F71" s="30" t="n">
        <x:v>5</x:v>
      </x:c>
      <x:c r="G71" s="30" t="n">
        <x:v>6</x:v>
      </x:c>
      <x:c r="H71" s="30" t="n">
        <x:v>6</x:v>
      </x:c>
      <x:c r="I71" s="30" t="n">
        <x:v>8</x:v>
      </x:c>
      <x:c r="J71" s="30" t="n">
        <x:v>8</x:v>
      </x:c>
      <x:c r="K71" s="15" t="str">
        <x:v>南折避锋</x:v>
      </x:c>
      <x:c r="L71" s="15" t="str">
        <x:v>标记当前风暴边缘的退避航向，30秒内沿其航行能保留帆面完整</x:v>
      </x:c>
      <x:c r="M71" s="15" t="str">
        <x:v>战斗180秒</x:v>
      </x:c>
      <x:c r="N71" s="15" t="str">
        <x:v>错过也能回来</x:v>
      </x:c>
      <x:c r="O71" s="15" t="str">
        <x:v>主动取消不适季节航程</x:v>
      </x:c>
      <x:c r="P71" s="15" t="str">
        <x:v>订好的次季补给订单可转存而非作废</x:v>
      </x:c>
    </x:row>
    <x:row r="72" ht="31" customHeight="1">
      <x:c r="A72" s="13" t="str">
        <x:v>C067</x:v>
      </x:c>
      <x:c r="B72" s="13" t="str">
        <x:v>莫阿娜·归星</x:v>
      </x:c>
      <x:c r="C72" s="13" t="str">
        <x:v>船长</x:v>
      </x:c>
      <x:c r="D72" s="13" t="str">
        <x:v>航海长</x:v>
      </x:c>
      <x:c r="E72" s="27" t="n">
        <x:v>10</x:v>
      </x:c>
      <x:c r="F72" s="27" t="n">
        <x:v>4</x:v>
      </x:c>
      <x:c r="G72" s="27" t="n">
        <x:v>5</x:v>
      </x:c>
      <x:c r="H72" s="27" t="n">
        <x:v>5</x:v>
      </x:c>
      <x:c r="I72" s="27" t="n">
        <x:v>10</x:v>
      </x:c>
      <x:c r="J72" s="27" t="n">
        <x:v>10</x:v>
      </x:c>
      <x:c r="K72" s="13" t="str">
        <x:v>归星接航</x:v>
      </x:c>
      <x:c r="L72" s="13" t="str">
        <x:v>夜间让分散友舰以各自可见星位重回共同航线，立即恢复一次失联编队</x:v>
      </x:c>
      <x:c r="M72" s="13" t="str">
        <x:v>战斗1次</x:v>
      </x:c>
      <x:c r="N72" s="13" t="str">
        <x:v>不是一个人的发现</x:v>
      </x:c>
      <x:c r="O72" s="13" t="str">
        <x:v>有三名不同传统领航伙伴</x:v>
      </x:c>
      <x:c r="P72" s="13" t="str">
        <x:v>最终远航可选择公开群星图结局</x:v>
      </x:c>
    </x:row>
    <x:row r="73" ht="31" customHeight="1">
      <x:c r="A73" s="15" t="str">
        <x:v>C068</x:v>
      </x:c>
      <x:c r="B73" s="15" t="str">
        <x:v>塔维塔·双潮梁</x:v>
      </x:c>
      <x:c r="C73" s="15" t="str">
        <x:v>船匠</x:v>
      </x:c>
      <x:c r="D73" s="15" t="str">
        <x:v>帆缆长</x:v>
      </x:c>
      <x:c r="E73" s="30" t="n">
        <x:v>8</x:v>
      </x:c>
      <x:c r="F73" s="30" t="n">
        <x:v>2</x:v>
      </x:c>
      <x:c r="G73" s="30" t="n">
        <x:v>7</x:v>
      </x:c>
      <x:c r="H73" s="30" t="n">
        <x:v>4</x:v>
      </x:c>
      <x:c r="I73" s="30" t="n">
        <x:v>10</x:v>
      </x:c>
      <x:c r="J73" s="30" t="n">
        <x:v>7</x:v>
      </x:c>
      <x:c r="K73" s="15" t="str">
        <x:v>双梁换力</x:v>
      </x:c>
      <x:c r="L73" s="15" t="str">
        <x:v>在双体或配浮架船上切换受力索组，60秒内横摇下降并稳定甲板动作</x:v>
      </x:c>
      <x:c r="M73" s="15" t="str">
        <x:v>战斗180秒</x:v>
      </x:c>
      <x:c r="N73" s="15" t="str">
        <x:v>结要解得开</x:v>
      </x:c>
      <x:c r="O73" s="15" t="str">
        <x:v>装备索结式横梁或可拆炮座</x:v>
      </x:c>
      <x:c r="P73" s="15" t="str">
        <x:v>海上部件更换时间降低20%</x:v>
      </x:c>
    </x:row>
    <x:row r="74" ht="31" customHeight="1">
      <x:c r="A74" s="13" t="str">
        <x:v>C069</x:v>
      </x:c>
      <x:c r="B74" s="13" t="str">
        <x:v>希娜诺·花潮</x:v>
      </x:c>
      <x:c r="C74" s="13" t="str">
        <x:v>乐师</x:v>
      </x:c>
      <x:c r="D74" s="13" t="str">
        <x:v>主厨</x:v>
      </x:c>
      <x:c r="E74" s="27" t="n">
        <x:v>5</x:v>
      </x:c>
      <x:c r="F74" s="27" t="n">
        <x:v>1</x:v>
      </x:c>
      <x:c r="G74" s="27" t="n">
        <x:v>3</x:v>
      </x:c>
      <x:c r="H74" s="27" t="n">
        <x:v>5</x:v>
      </x:c>
      <x:c r="I74" s="27" t="n">
        <x:v>8</x:v>
      </x:c>
      <x:c r="J74" s="27" t="n">
        <x:v>9</x:v>
      </x:c>
      <x:c r="K74" s="13" t="str">
        <x:v>欢迎你归来</x:v>
      </x:c>
      <x:c r="L74" s="13" t="str">
        <x:v>入港后为两支关系疏远群体举办共宴，解锁一次文化合作谈判</x:v>
      </x:c>
      <x:c r="M74" s="13" t="str">
        <x:v>每港30日</x:v>
      </x:c>
      <x:c r="N74" s="13" t="str">
        <x:v>每个人有一段</x:v>
      </x:c>
      <x:c r="O74" s="13" t="str">
        <x:v>船上演出包含三种传统</x:v>
      </x:c>
      <x:c r="P74" s="13" t="str">
        <x:v>士气恢复额外增加，关系场景增加1段</x:v>
      </x:c>
    </x:row>
    <x:row r="75" ht="31" customHeight="1">
      <x:c r="A75" s="15" t="str">
        <x:v>C070</x:v>
      </x:c>
      <x:c r="B75" s="15" t="str">
        <x:v>凯阿努·浪脊</x:v>
      </x:c>
      <x:c r="C75" s="15" t="str">
        <x:v>操舵手</x:v>
      </x:c>
      <x:c r="D75" s="15" t="str">
        <x:v>航海长</x:v>
      </x:c>
      <x:c r="E75" s="30" t="n">
        <x:v>10</x:v>
      </x:c>
      <x:c r="F75" s="30" t="n">
        <x:v>2</x:v>
      </x:c>
      <x:c r="G75" s="30" t="n">
        <x:v>5</x:v>
      </x:c>
      <x:c r="H75" s="30" t="n">
        <x:v>3</x:v>
      </x:c>
      <x:c r="I75" s="30" t="n">
        <x:v>8</x:v>
      </x:c>
      <x:c r="J75" s="30" t="n">
        <x:v>5</x:v>
      </x:c>
      <x:c r="K75" s="15" t="str">
        <x:v>跨脊借浪</x:v>
      </x:c>
      <x:c r="L75" s="15" t="str">
        <x:v>沿长涌方向执行一次加速越浪，进入下一个波谷时可选择立即转舵</x:v>
      </x:c>
      <x:c r="M75" s="15" t="str">
        <x:v>战斗120秒</x:v>
      </x:c>
      <x:c r="N75" s="15" t="str">
        <x:v>海先告诉脚</x:v>
      </x:c>
      <x:c r="O75" s="15" t="str">
        <x:v>长涌显著的开阔海域</x:v>
      </x:c>
      <x:c r="P75" s="15" t="str">
        <x:v>提前提示横浪方向，减少航行疲劳</x:v>
      </x:c>
    </x:row>
    <x:row r="76" ht="31" customHeight="1">
      <x:c r="A76" s="13" t="str">
        <x:v>C071</x:v>
      </x:c>
      <x:c r="B76" s="13" t="str">
        <x:v>拉妮·贝铃</x:v>
      </x:c>
      <x:c r="C76" s="13" t="str">
        <x:v>信号官</x:v>
      </x:c>
      <x:c r="D76" s="13" t="str">
        <x:v>瞭望员</x:v>
      </x:c>
      <x:c r="E76" s="27" t="n">
        <x:v>7</x:v>
      </x:c>
      <x:c r="F76" s="27" t="n">
        <x:v>1</x:v>
      </x:c>
      <x:c r="G76" s="27" t="n">
        <x:v>2</x:v>
      </x:c>
      <x:c r="H76" s="27" t="n">
        <x:v>3</x:v>
      </x:c>
      <x:c r="I76" s="27" t="n">
        <x:v>7</x:v>
      </x:c>
      <x:c r="J76" s="27" t="n">
        <x:v>4</x:v>
      </x:c>
      <x:c r="K76" s="13" t="str">
        <x:v>贝铃回音</x:v>
      </x:c>
      <x:c r="L76" s="13" t="str">
        <x:v>向最近友舰发送一次确认讯号，显露其当前需求并取消一次重复命令</x:v>
      </x:c>
      <x:c r="M76" s="13" t="str">
        <x:v>战斗90秒</x:v>
      </x:c>
      <x:c r="N76" s="13" t="str">
        <x:v>每条都收到</x:v>
      </x:c>
      <x:c r="O76" s="13" t="str">
        <x:v>完成三次传信委托</x:v>
      </x:c>
      <x:c r="P76" s="13" t="str">
        <x:v>邻港消息准确度提高，传信伙伴关系增加</x:v>
      </x:c>
    </x:row>
    <x:row r="77" ht="31" customHeight="1">
      <x:c r="A77" s="16" t="str">
        <x:v>C072</x:v>
      </x:c>
      <x:c r="B77" s="16" t="str">
        <x:v>兰吉·刻潮</x:v>
      </x:c>
      <x:c r="C77" s="16" t="str">
        <x:v>考古学者</x:v>
      </x:c>
      <x:c r="D77" s="16" t="str">
        <x:v>船匠</x:v>
      </x:c>
      <x:c r="E77" s="32" t="n">
        <x:v>6</x:v>
      </x:c>
      <x:c r="F77" s="32" t="n">
        <x:v>1</x:v>
      </x:c>
      <x:c r="G77" s="32" t="n">
        <x:v>6</x:v>
      </x:c>
      <x:c r="H77" s="32" t="n">
        <x:v>4</x:v>
      </x:c>
      <x:c r="I77" s="32" t="n">
        <x:v>10</x:v>
      </x:c>
      <x:c r="J77" s="32" t="n">
        <x:v>7</x:v>
      </x:c>
      <x:c r="K77" s="16" t="str">
        <x:v>刻痕见人</x:v>
      </x:c>
      <x:c r="L77" s="16" t="str">
        <x:v>在一项艺术探索中追加制作工具、材料与创作者叙述三个观察层</x:v>
      </x:c>
      <x:c r="M77" s="16" t="str">
        <x:v>探索7日</x:v>
      </x:c>
      <x:c r="N77" s="16" t="str">
        <x:v>作品仍在生活</x:v>
      </x:c>
      <x:c r="O77" s="16" t="str">
        <x:v>把工艺资料交由原作者确认</x:v>
      </x:c>
      <x:c r="P77" s="16" t="str">
        <x:v>获得共同展览邀请与工艺合作</x:v>
      </x:c>
    </x:row>
    <x:row r="78">
      <x:c r="A78" s="2"/>
      <x:c r="B78" s="2"/>
      <x:c r="C78" s="2"/>
      <x:c r="D78" s="2"/>
      <x:c r="E78" s="2"/>
      <x:c r="F78" s="2"/>
      <x:c r="G78" s="2"/>
      <x:c r="H78" s="2"/>
      <x:c r="I78" s="2"/>
      <x:c r="J78" s="2"/>
      <x:c r="K78" s="2"/>
      <x:c r="L78" s="2"/>
      <x:c r="M78" s="2"/>
      <x:c r="N78" s="2"/>
      <x:c r="O78" s="2"/>
      <x:c r="P78" s="2"/>
    </x:row>
  </x:sheetData>
  <x:pageMargins left="0.7" right="0.7" top="0.75" bottom="0.75" header="0.3" footer="0.3"/>
  <x:tableParts count="1">
    <x:tablePart xmlns:r="http://schemas.openxmlformats.org/officeDocument/2006/relationships" r:id="R7130573b2150465f"/>
  </x:tableParts>
</x:worksheet>
</file>

<file path=xl/worksheets/sheet25.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3" hidden="0" customWidth="1"/>
    <x:col min="2" max="2" width="32" hidden="0" customWidth="1"/>
    <x:col min="3" max="3" width="105" hidden="0" customWidth="1"/>
    <x:col min="4" max="4" width="66" hidden="0" customWidth="1"/>
    <x:col min="5" max="5" width="87" hidden="0" customWidth="1"/>
    <x:col min="6" max="6" width="40" hidden="0" customWidth="1"/>
    <x:col min="7" max="7" width="84" hidden="0" customWidth="1"/>
    <x:col min="8" max="8" width="100" hidden="0" customWidth="1"/>
  </x:cols>
  <x:sheetData>
    <x:row r="1">
      <x:c r="A1" s="2"/>
      <x:c r="B1" s="2"/>
      <x:c r="C1" s="2"/>
      <x:c r="D1" s="2"/>
      <x:c r="E1" s="2"/>
      <x:c r="F1" s="2"/>
      <x:c r="G1" s="2"/>
      <x:c r="H1" s="2"/>
    </x:row>
    <x:row r="2" ht="28" customHeight="1">
      <x:c r="A2" s="3" t="str">
        <x:v>招募之后继续展开的个人航程</x:v>
      </x:c>
      <x:c r="B2" s="2"/>
      <x:c r="C2" s="2"/>
      <x:c r="D2" s="2"/>
      <x:c r="E2" s="2"/>
      <x:c r="F2" s="2"/>
      <x:c r="G2" s="2"/>
      <x:c r="H2" s="2"/>
    </x:row>
    <x:row r="3">
      <x:c r="A3" s="2"/>
      <x:c r="B3" s="2"/>
      <x:c r="C3" s="2"/>
      <x:c r="D3" s="2"/>
      <x:c r="E3" s="2"/>
      <x:c r="F3" s="2"/>
      <x:c r="G3" s="2"/>
      <x:c r="H3" s="2"/>
    </x:row>
    <x:row r="4">
      <x:c r="A4" s="2"/>
      <x:c r="B4" s="2"/>
      <x:c r="C4" s="2"/>
      <x:c r="D4" s="2"/>
      <x:c r="E4" s="2"/>
      <x:c r="F4" s="2"/>
      <x:c r="G4" s="2"/>
      <x:c r="H4" s="2"/>
    </x:row>
    <x:row r="5" ht="34" customHeight="1">
      <x:c r="A5" s="10" t="str">
        <x:v>海员ID</x:v>
      </x:c>
      <x:c r="B5" s="10" t="str">
        <x:v>姓名</x:v>
      </x:c>
      <x:c r="C5" s="10" t="str">
        <x:v>个人任务的三幕</x:v>
      </x:c>
      <x:c r="D5" s="10" t="str">
        <x:v>任务解锁</x:v>
      </x:c>
      <x:c r="E5" s="10" t="str">
        <x:v>人物关系</x:v>
      </x:c>
      <x:c r="F5" s="10" t="str">
        <x:v>喜好</x:v>
      </x:c>
      <x:c r="G5" s="10" t="str">
        <x:v>船上日常</x:v>
      </x:c>
      <x:c r="H5" s="10" t="str">
        <x:v>个人结局</x:v>
      </x:c>
    </x:row>
    <x:row r="6" ht="31" customHeight="1">
      <x:c r="A6" s="12" t="str">
        <x:v>C001</x:v>
      </x:c>
      <x:c r="B6" s="12" t="str">
        <x:v>艾尔莎·霜针</x:v>
      </x:c>
      <x:c r="C6" s="12" t="str">
        <x:v>查出错误航图→与C002寻找事故幸存者→在冬季试航中亲自修订图版</x:v>
      </x:c>
      <x:c r="D6" s="12" t="str">
        <x:v>解锁北海冬航线与银针罗盘</x:v>
      </x:c>
      <x:c r="E6" s="12" t="str">
        <x:v>C002：互相埋怨却共同保管父辈航海日志</x:v>
      </x:c>
      <x:c r="F6" s="12" t="str">
        <x:v>热苹果酒、装订整齐的地图</x:v>
      </x:c>
      <x:c r="G6" s="12" t="str">
        <x:v>深夜替晕船的新兵缝袖口，却说是在修航海装备</x:v>
      </x:c>
      <x:c r="H6" s="12" t="str">
        <x:v>开办不收穷水手学费的海图学校，保留一张空白世界图等你回来</x:v>
      </x:c>
    </x:row>
    <x:row r="7" ht="31" customHeight="1">
      <x:c r="A7" s="15" t="str">
        <x:v>C002</x:v>
      </x:c>
      <x:c r="B7" s="15" t="str">
        <x:v>米克尔·鸦湾</x:v>
      </x:c>
      <x:c r="C7" s="15" t="str">
        <x:v>寻回旧舵轮→向C001坦白曾改动航线→在公开听证中还原沉船时刻</x:v>
      </x:c>
      <x:c r="D7" s="15" t="str">
        <x:v>乌鸦舵轮改装图、艾尔莎组合回转技</x:v>
      </x:c>
      <x:c r="E7" s="15" t="str">
        <x:v>C001：事故真相将互责变为托付</x:v>
      </x:c>
      <x:c r="F7" s="15" t="str">
        <x:v>烤鲱鱼、旧笑话</x:v>
      </x:c>
      <x:c r="G7" s="15" t="str">
        <x:v>总用旧银币决定下一杯酒由谁付，实际两面一样</x:v>
      </x:c>
      <x:c r="H7" s="15" t="str">
        <x:v>成为救援船长，每年第一场冬风都去灯塔报平安</x:v>
      </x:c>
    </x:row>
    <x:row r="8" ht="31" customHeight="1">
      <x:c r="A8" s="13" t="str">
        <x:v>C003</x:v>
      </x:c>
      <x:c r="B8" s="13" t="str">
        <x:v>奥菲莉娅·洛森</x:v>
      </x:c>
      <x:c r="C8" s="13" t="str">
        <x:v>追索旧债票→找C013鉴定伪造水印→选择公开账簿重建商号</x:v>
      </x:c>
      <x:c r="D8" s="13" t="str">
        <x:v>私人清算室、长约订货功能</x:v>
      </x:c>
      <x:c r="E8" s="13" t="str">
        <x:v>C013：同样被家族利用，互称危险的好朋友</x:v>
      </x:c>
      <x:c r="F8" s="13" t="str">
        <x:v>无糖茶、机械玩具</x:v>
      </x:c>
      <x:c r="G8" s="13" t="str">
        <x:v>拿船员绰号写一份荒唐预算，自己笑得最先破功</x:v>
      </x:c>
      <x:c r="H8" s="13" t="str">
        <x:v>将利润投入航海奖学金，把父亲的坏钟留在旗舰账台</x:v>
      </x:c>
    </x:row>
    <x:row r="9" ht="31" customHeight="1">
      <x:c r="A9" s="15" t="str">
        <x:v>C004</x:v>
      </x:c>
      <x:c r="B9" s="15" t="str">
        <x:v>托比·苔页</x:v>
      </x:c>
      <x:c r="C9" s="15" t="str">
        <x:v>学会向C006提问→观察跨洋漂木→向出版社争取把向导列为共同作者</x:v>
      </x:c>
      <x:c r="D9" s="15" t="str">
        <x:v>《小小海边图鉴》、生态观察额外声望</x:v>
      </x:c>
      <x:c r="E9" s="15" t="str">
        <x:v>C006：慈祥严师；C044：交换最丑的鱼素描</x:v>
      </x:c>
      <x:c r="F9" s="15" t="str">
        <x:v>烤栗子、旧纸边角</x:v>
      </x:c>
      <x:c r="G9" s="15" t="str">
        <x:v>偷偷给船上每盆香草挂牌，连船长的茶叶也不放过</x:v>
      </x:c>
      <x:c r="H9" s="15" t="str">
        <x:v>成年后带着自己的学生回访旧港，图鉴扉页写着第一艘船的名字</x:v>
      </x:c>
    </x:row>
    <x:row r="10" ht="31" customHeight="1">
      <x:c r="A10" s="13" t="str">
        <x:v>C005</x:v>
      </x:c>
      <x:c r="B10" s="13" t="str">
        <x:v>西格丽德·烬斧</x:v>
      </x:c>
      <x:c r="C10" s="13" t="str">
        <x:v>找到被藏的验收册→击败冒牌承包人的试航船→公开选举新船坞领班</x:v>
      </x:c>
      <x:c r="D10" s="13" t="str">
        <x:v>M001 北海叠板护壳图纸；烬斧匠印船骨外观＋大型修理订单</x:v>
      </x:c>
      <x:c r="E10" s="13" t="str">
        <x:v>C028：以书信讨论不用铁钉的另一种造船法</x:v>
      </x:c>
      <x:c r="F10" s="13" t="str">
        <x:v>烟熏奶酪、精确的尺</x:v>
      </x:c>
      <x:c r="G10" s="13" t="str">
        <x:v>一边给孩子刻木马一边与炮术长讨论弹道</x:v>
      </x:c>
      <x:c r="H10" s="13" t="str">
        <x:v>建立署名造船所，每根主梁都刻下全体工匠的名字</x:v>
      </x:c>
    </x:row>
    <x:row r="11" ht="31" customHeight="1">
      <x:c r="A11" s="15" t="str">
        <x:v>C006</x:v>
      </x:c>
      <x:c r="B11" s="15" t="str">
        <x:v>英格丽德·赫尔姆</x:v>
      </x:c>
      <x:c r="C11" s="15" t="str">
        <x:v>整理失名名单→教C004主持一次登陆→回到最后一艘撤离船的搁浅处</x:v>
      </x:c>
      <x:c r="D11" s="15" t="str">
        <x:v>赫尔姆撤退队形、团队导师岗位事件</x:v>
      </x:c>
      <x:c r="E11" s="15" t="str">
        <x:v>C004：嘴上叫小麻烦，私下替他保存每张画</x:v>
      </x:c>
      <x:c r="F11" s="15" t="str">
        <x:v>浓咖啡、年轻人认真的问题</x:v>
      </x:c>
      <x:c r="G11" s="15" t="str">
        <x:v>午夜给失眠者讲一个结尾越来越不一样的战争笑话</x:v>
      </x:c>
      <x:c r="H11" s="15" t="str">
        <x:v>选择常驻母港教新任船长，把拐杖留作旗舰荣誉舵</x:v>
      </x:c>
    </x:row>
    <x:row r="12" ht="31" customHeight="1">
      <x:c r="A12" s="13" t="str">
        <x:v>C007</x:v>
      </x:c>
      <x:c r="B12" s="13" t="str">
        <x:v>蕾奥诺拉·瓦伦特</x:v>
      </x:c>
      <x:c r="C12" s="13" t="str">
        <x:v>追回母亲海图→与C067核对南洋星位→决定把白昼海坐标公开</x:v>
      </x:c>
      <x:c r="D12" s="13" t="str">
        <x:v>白昼海主线、太阳羽旗帜、远航结局资格</x:v>
      </x:c>
      <x:c r="E12" s="13" t="str">
        <x:v>C067：母亲最后的领航者；C010：互不服输的同窗</x:v>
      </x:c>
      <x:c r="F12" s="13" t="str">
        <x:v>柑橘蛋糕、日出</x:v>
      </x:c>
      <x:c r="G12" s="13" t="str">
        <x:v>清晨在空甲板演练告白，发现水手都在帆后偷听</x:v>
      </x:c>
      <x:c r="H12" s="13" t="str">
        <x:v>放下家族姓氏的重量，以自己的旗号带队驶向地图外</x:v>
      </x:c>
    </x:row>
    <x:row r="13" ht="31" customHeight="1">
      <x:c r="A13" s="15" t="str">
        <x:v>C008</x:v>
      </x:c>
      <x:c r="B13" s="15" t="str">
        <x:v>加斯帕尔·维达</x:v>
      </x:c>
      <x:c r="C13" s="15" t="str">
        <x:v>找回演出契约→和C020重排海上戏剧→在暴风夜护送全团登台</x:v>
      </x:c>
      <x:c r="D13" s="15" t="str">
        <x:v>海港巡演订单、剧场商会折扣</x:v>
      </x:c>
      <x:c r="E13" s="15" t="str">
        <x:v>C020：互嫌浮夸的舞台搭档</x:v>
      </x:c>
      <x:c r="F13" s="15" t="str">
        <x:v>廉价好酒、真正唱跑调的人</x:v>
      </x:c>
      <x:c r="G13" s="15" t="str">
        <x:v>把报天气念成恋爱剧独白，最后被主厨赶下餐桌</x:v>
      </x:c>
      <x:c r="H13" s="15" t="str">
        <x:v>成为巡演船团经纪，在每个码头给普通水手留前排</x:v>
      </x:c>
    </x:row>
    <x:row r="14" ht="31" customHeight="1">
      <x:c r="A14" s="13" t="str">
        <x:v>C009</x:v>
      </x:c>
      <x:c r="B14" s="13" t="str">
        <x:v>伊内斯·蓝盐</x:v>
      </x:c>
      <x:c r="C14" s="13" t="str">
        <x:v>追回哥哥食谱→向C040学保存椰奶→将两种风味写进同一页</x:v>
      </x:c>
      <x:c r="D14" s="13" t="str">
        <x:v>蓝盐远航菜谱、特色菜订单</x:v>
      </x:c>
      <x:c r="E14" s="13" t="str">
        <x:v>C040：从互相嫌弃气味到交换围裙</x:v>
      </x:c>
      <x:c r="F14" s="13" t="str">
        <x:v>橙皮蜜饯、安静切菜</x:v>
      </x:c>
      <x:c r="G14" s="13" t="str">
        <x:v>每次说只做一份，最后都能喂饱整艘船</x:v>
      </x:c>
      <x:c r="H14" s="13" t="str">
        <x:v>开一间只收各地故事作小费的海员食堂</x:v>
      </x:c>
    </x:row>
    <x:row r="15" ht="31" customHeight="1">
      <x:c r="A15" s="15" t="str">
        <x:v>C010</x:v>
      </x:c>
      <x:c r="B15" s="15" t="str">
        <x:v>阿德里安·德·拉·维加</x:v>
      </x:c>
      <x:c r="C15" s="15" t="str">
        <x:v>找到伪造命令→与C007争论荣耀的代价→在大庭广众下指证导师</x:v>
      </x:c>
      <x:c r="D15" s="15" t="str">
        <x:v>玫瑰决斗剑、收编投降船员效率提升</x:v>
      </x:c>
      <x:c r="E15" s="15" t="str">
        <x:v>C007：少年同窗兼旗鼓相当的竞争者</x:v>
      </x:c>
      <x:c r="F15" s="15" t="str">
        <x:v>诗集、擦剑用的细麻布</x:v>
      </x:c>
      <x:c r="G15" s="15" t="str">
        <x:v>教新兵敬礼时过分严肃，被蕾奥诺拉故意模仿</x:v>
      </x:c>
      <x:c r="H15" s="15" t="str">
        <x:v>创建面向港口居民的剑术学堂，保留第一把缺口练习剑</x:v>
      </x:c>
    </x:row>
    <x:row r="16" ht="31" customHeight="1">
      <x:c r="A16" s="13" t="str">
        <x:v>C011</x:v>
      </x:c>
      <x:c r="B16" s="13" t="str">
        <x:v>瑟蕾丝·贝洛</x:v>
      </x:c>
      <x:c r="C16" s="13" t="str">
        <x:v>找出信号误译原因→与C054协商旗语对照→在大雾护航中验证彩焰</x:v>
      </x:c>
      <x:c r="D16" s="13" t="str">
        <x:v>三色焰信号弹、舰队信号配件</x:v>
      </x:c>
      <x:c r="E16" s="13" t="str">
        <x:v>C054：一人靠颜色一人靠结绳，互补的语言设计师</x:v>
      </x:c>
      <x:c r="F16" s="13" t="str">
        <x:v>酸樱桃、夸张烟花</x:v>
      </x:c>
      <x:c r="G16" s="13" t="str">
        <x:v>在厨房烤饼上实验颜色，被全船投票禁止接近糖罐一天</x:v>
      </x:c>
      <x:c r="H16" s="13" t="str">
        <x:v>经营信号工厂，给每艘救援船免费一箱晨光焰</x:v>
      </x:c>
    </x:row>
    <x:row r="17" ht="31" customHeight="1">
      <x:c r="A17" s="15" t="str">
        <x:v>C012</x:v>
      </x:c>
      <x:c r="B17" s="15" t="str">
        <x:v>埃斯特万·旧潮</x:v>
      </x:c>
      <x:c r="C17" s="15" t="str">
        <x:v>拜访旧港→面对C059家族的旧怨→决定把最后一封信当面交付</x:v>
      </x:c>
      <x:c r="D17" s="15" t="str">
        <x:v>老潮斜桁帆调校、完整西洋信风图</x:v>
      </x:c>
      <x:c r="E17" s="15" t="str">
        <x:v>C059：他未赴的约让对方家族等待三十年</x:v>
      </x:c>
      <x:c r="F17" s="15" t="str">
        <x:v>海盐巧克力、写不工整的信</x:v>
      </x:c>
      <x:c r="G17" s="15" t="str">
        <x:v>教大家用帆影判断时辰，自己却总错过饭点</x:v>
      </x:c>
      <x:c r="H17" s="15" t="str">
        <x:v>留下一册没有英雄事迹、只有朋友名字的航海回忆录</x:v>
      </x:c>
    </x:row>
    <x:row r="18" ht="31" customHeight="1">
      <x:c r="A18" s="13" t="str">
        <x:v>C013</x:v>
      </x:c>
      <x:c r="B18" s="13" t="str">
        <x:v>维奥莱塔·孔塔里尼</x:v>
      </x:c>
      <x:c r="C18" s="13" t="str">
        <x:v>查明名册去向→与C003破解债票水印→公开玻璃配方的基础章节</x:v>
      </x:c>
      <x:c r="D18" s="13" t="str">
        <x:v>万花玻璃工艺、自由工坊合作路线</x:v>
      </x:c>
      <x:c r="E18" s="13" t="str">
        <x:v>C003：互相试探后共享账本；C045：工艺保护争论</x:v>
      </x:c>
      <x:c r="F18" s="13" t="str">
        <x:v>淡紫花茶、意外的真诚</x:v>
      </x:c>
      <x:c r="G18" s="13" t="str">
        <x:v>在拍卖夜用一枚铜币买下新兵自制的歪木杯</x:v>
      </x:c>
      <x:c r="H18" s="13" t="str">
        <x:v>创立工匠联展，使每件商品都能追溯到创作者</x:v>
      </x:c>
    </x:row>
    <x:row r="19" ht="31" customHeight="1">
      <x:c r="A19" s="15" t="str">
        <x:v>C014</x:v>
      </x:c>
      <x:c r="B19" s="15" t="str">
        <x:v>莱安德罗斯·阿斯特里斯</x:v>
      </x:c>
      <x:c r="C19" s="15" t="str">
        <x:v>比对三份碑文→请C032校正失传词→在港口议会上读出契约全文</x:v>
      </x:c>
      <x:c r="D19" s="15" t="str">
        <x:v>古港共同停泊权、碑文工具套</x:v>
      </x:c>
      <x:c r="E19" s="15" t="str">
        <x:v>C032：远方笔友；C019：争论诗歌是否也能作史料</x:v>
      </x:c>
      <x:c r="F19" s="15" t="str">
        <x:v>无花果、干净的拓印纸</x:v>
      </x:c>
      <x:c r="G19" s="15" t="str">
        <x:v>给甲板裂纹取星座名，船匠要求他帮忙修完再抒情</x:v>
      </x:c>
      <x:c r="H19" s="15" t="str">
        <x:v>成为往返各港的译经与碑铭学者，每一本书都有多地合著者</x:v>
      </x:c>
    </x:row>
    <x:row r="20" ht="31" customHeight="1">
      <x:c r="A20" s="13" t="str">
        <x:v>C015</x:v>
      </x:c>
      <x:c r="B20" s="13" t="str">
        <x:v>奈芙丝·月铜</x:v>
      </x:c>
      <x:c r="C20" s="13" t="str">
        <x:v>追索被偷合金比例→与C011进行熔炉测试→在决战中用无瑕炮证明工艺</x:v>
      </x:c>
      <x:c r="D20" s="13" t="str">
        <x:v>月铜长炮制造权、铸炮工坊合作</x:v>
      </x:c>
      <x:c r="E20" s="13" t="str">
        <x:v>C011：第一次见面便为最响的爆炸吵起来</x:v>
      </x:c>
      <x:c r="F20" s="13" t="str">
        <x:v>杏仁甜点、清晨钟声</x:v>
      </x:c>
      <x:c r="G20" s="13" t="str">
        <x:v>把船员敲餐盘的节奏改成一首温柔小曲</x:v>
      </x:c>
      <x:c r="H20" s="13" t="str">
        <x:v>回到海峡建立工匠学院，第一课叫做听见身边的人</x:v>
      </x:c>
    </x:row>
    <x:row r="21" ht="31" customHeight="1">
      <x:c r="A21" s="15" t="str">
        <x:v>C016</x:v>
      </x:c>
      <x:c r="B21" s="15" t="str">
        <x:v>罗萨里奥·德尔·马雷</x:v>
      </x:c>
      <x:c r="C21" s="15" t="str">
        <x:v>拜访旧战友→向C027承认判断失误→以合作诊疗挽救当年指挥官</x:v>
      </x:c>
      <x:c r="D21" s="15" t="str">
        <x:v>水手急救手册、船医舱升级</x:v>
      </x:c>
      <x:c r="E21" s="15" t="str">
        <x:v>C027：两人交换药方，也交换无法挽回的遗憾</x:v>
      </x:c>
      <x:c r="F21" s="15" t="str">
        <x:v>石榴汁、无字棋谱</x:v>
      </x:c>
      <x:c r="G21" s="15" t="str">
        <x:v>偷偷替所有人的冬衣加衬里，却坚持说只是预防冻伤</x:v>
      </x:c>
      <x:c r="H21" s="15" t="str">
        <x:v>把行医收入用于沿岸诊所，仍每年登船一个航季</x:v>
      </x:c>
    </x:row>
    <x:row r="22" ht="31" customHeight="1">
      <x:c r="A22" s="13" t="str">
        <x:v>C017</x:v>
      </x:c>
      <x:c r="B22" s="13" t="str">
        <x:v>梅莉娅·沙钟</x:v>
      </x:c>
      <x:c r="C22" s="13" t="str">
        <x:v>修复水钟→与C051交换漏刻资料→组织五港同时对时</x:v>
      </x:c>
      <x:c r="D22" s="13" t="str">
        <x:v>港口潮汐历、潮窗导航图层</x:v>
      </x:c>
      <x:c r="E22" s="13" t="str">
        <x:v>C051：互相较劲谁的时间更准</x:v>
      </x:c>
      <x:c r="F22" s="13" t="str">
        <x:v>蜂蜜饼、会滴答的东西</x:v>
      </x:c>
      <x:c r="G22" s="13" t="str">
        <x:v>给船员排值日时把午睡也分成四个精确时段</x:v>
      </x:c>
      <x:c r="H22" s="13" t="str">
        <x:v>成为港口公共时刻表的编制者，第一次故意迟到是去看日出</x:v>
      </x:c>
    </x:row>
    <x:row r="23" ht="31" customHeight="1">
      <x:c r="A23" s="15" t="str">
        <x:v>C018</x:v>
      </x:c>
      <x:c r="B23" s="15" t="str">
        <x:v>马里卡·黑珍珠</x:v>
      </x:c>
      <x:c r="C23" s="15" t="str">
        <x:v>面对旧部追击→与C055谈停战条件→选择把旧据点变为自由修船港</x:v>
      </x:c>
      <x:c r="D23" s="15" t="str">
        <x:v>黑珍珠 boarding队形、自由港停泊奖励</x:v>
      </x:c>
      <x:c r="E23" s="15" t="str">
        <x:v>C055：互识旧恶习的谈判对手</x:v>
      </x:c>
      <x:c r="F23" s="15" t="str">
        <x:v>辛辣烩鱼、直话</x:v>
      </x:c>
      <x:c r="G23" s="15" t="str">
        <x:v>一边教人梳头一边用发绳讲解接舷钩的受力</x:v>
      </x:c>
      <x:c r="H23" s="15" t="str">
        <x:v>卸下私掠旗却保留船钟，所有回头的水手都可以敲它</x:v>
      </x:c>
    </x:row>
    <x:row r="24" ht="31" customHeight="1">
      <x:c r="A24" s="13" t="str">
        <x:v>C019</x:v>
      </x:c>
      <x:c r="B24" s="13" t="str">
        <x:v>穆萨·迪亚洛</x:v>
      </x:c>
      <x:c r="C24" s="13" t="str">
        <x:v>寻访离散叙事者→与C014核对碑文→把相互矛盾的版本并列刊行</x:v>
      </x:c>
      <x:c r="D24" s="13" t="str">
        <x:v>河海口述航图、更多对话解法</x:v>
      </x:c>
      <x:c r="E24" s="13" t="str">
        <x:v>C014：从史料之争到合写序言</x:v>
      </x:c>
      <x:c r="F24" s="13" t="str">
        <x:v>姜饮、耐心听完的人</x:v>
      </x:c>
      <x:c r="G24" s="13" t="str">
        <x:v>给每位船员编一个开头，让本人决定故事结尾</x:v>
      </x:c>
      <x:c r="H24" s="13" t="str">
        <x:v>主持跨洋故事大会，书的封面只写所有讲述人的姓名</x:v>
      </x:c>
    </x:row>
    <x:row r="25" ht="31" customHeight="1">
      <x:c r="A25" s="15" t="str">
        <x:v>C020</x:v>
      </x:c>
      <x:c r="B25" s="15" t="str">
        <x:v>阿瓦·森巴</x:v>
      </x:c>
      <x:c r="C25" s="15" t="str">
        <x:v>找齐散落鼓谱→与C008建立巡演航线→让被压低酬劳的工人合唱团登上主台</x:v>
      </x:c>
      <x:c r="D25" s="15" t="str">
        <x:v>海港音乐节、装卸号子演出</x:v>
      </x:c>
      <x:c r="E25" s="15" t="str">
        <x:v>C008：争论艺术与营收，学会共享收益</x:v>
      </x:c>
      <x:c r="F25" s="15" t="str">
        <x:v>芒果、观众自发的和声</x:v>
      </x:c>
      <x:c r="G25" s="15" t="str">
        <x:v>把任何抱怨编成合唱，船长也逃不过独唱段</x:v>
      </x:c>
      <x:c r="H25" s="15" t="str">
        <x:v>组建流动港口乐团，每季邀请一个普通工人当领唱</x:v>
      </x:c>
    </x:row>
    <x:row r="26" ht="31" customHeight="1">
      <x:c r="A26" s="13" t="str">
        <x:v>C021</x:v>
      </x:c>
      <x:c r="B26" s="13" t="str">
        <x:v>阿乔娅·金棱</x:v>
      </x:c>
      <x:c r="C26" s="13" t="str">
        <x:v>追回旧砝码→与C060检验远方银锭→让商会签署共同秤约</x:v>
      </x:c>
      <x:c r="D26" s="13" t="str">
        <x:v>公秤商馆设施、合金品级交易</x:v>
      </x:c>
      <x:c r="E26" s="13" t="str">
        <x:v>C060：一个称金一个称银，谁也糊弄不了谁</x:v>
      </x:c>
      <x:c r="F26" s="13" t="str">
        <x:v>苦可可、笔直的边线</x:v>
      </x:c>
      <x:c r="G26" s="13" t="str">
        <x:v>把吵架双方叫来修秤，修好前谁都不许走</x:v>
      </x:c>
      <x:c r="H26" s="13" t="str">
        <x:v>成为跨港公秤议会首任主持人，把私人金秤捐给小学堂</x:v>
      </x:c>
    </x:row>
    <x:row r="27" ht="31" customHeight="1">
      <x:c r="A27" s="15" t="str">
        <x:v>C022</x:v>
      </x:c>
      <x:c r="B27" s="15" t="str">
        <x:v>诺埃·风籽</x:v>
      </x:c>
      <x:c r="C27" s="15" t="str">
        <x:v>修复岛顶信号杆→跟C031学习方位表达→把积压三年的家书送完</x:v>
      </x:c>
      <x:c r="D27" s="15" t="str">
        <x:v>风筝瞭望装具、岛链邮路</x:v>
      </x:c>
      <x:c r="E27" s="15" t="str">
        <x:v>C031：严谨的大姐姐导师，帮他把勇敢变成技能</x:v>
      </x:c>
      <x:c r="F27" s="15" t="str">
        <x:v>柠檬汽水、自己修的风筝</x:v>
      </x:c>
      <x:c r="G27" s="15" t="str">
        <x:v>趴在桅杆平台给云起名字，暴雨云一律叫船长</x:v>
      </x:c>
      <x:c r="H27" s="15" t="str">
        <x:v>成为群岛邮船长，仍亲自送每封写着急盼归来的信</x:v>
      </x:c>
    </x:row>
    <x:row r="28" ht="31" customHeight="1">
      <x:c r="A28" s="13" t="str">
        <x:v>C023</x:v>
      </x:c>
      <x:c r="B28" s="13" t="str">
        <x:v>扎赫拉·阿尔米拉</x:v>
      </x:c>
      <x:c r="C28" s="13" t="str">
        <x:v>追查干井旧管→与C034安排远方水罐订单→让村民与商馆共同经营水站</x:v>
      </x:c>
      <x:c r="D28" s="13" t="str">
        <x:v>远洋陶罐补给架、旱季常备订单</x:v>
      </x:c>
      <x:c r="E28" s="13" t="str">
        <x:v>C034：从争论咖啡用水到合作设计节水壶</x:v>
      </x:c>
      <x:c r="F28" s="13" t="str">
        <x:v>薄荷茶、安静午后</x:v>
      </x:c>
      <x:c r="G28" s="13" t="str">
        <x:v>总能从角落拿出一桶水，却拒绝解释藏在哪里</x:v>
      </x:c>
      <x:c r="H28" s="13" t="str">
        <x:v>成为海岸补给公社协调人，所有仓库都留一扇向旅人开的窗</x:v>
      </x:c>
    </x:row>
    <x:row r="29" ht="31" customHeight="1">
      <x:c r="A29" s="15" t="str">
        <x:v>C024</x:v>
      </x:c>
      <x:c r="B29" s="15" t="str">
        <x:v>马特乌斯·火山缎</x:v>
      </x:c>
      <x:c r="C29" s="15" t="str">
        <x:v>记录山口风→向C041学拼片缝法→跨洋试航中选择最适合普通船的版本</x:v>
      </x:c>
      <x:c r="D29" s="15" t="str">
        <x:v>M007 伊比利亚分级缩帆索图纸；火山缎拼片帆外观＋可调帆试制订单</x:v>
      </x:c>
      <x:c r="E29" s="15" t="str">
        <x:v>C041：以两种传统共同造一张帆</x:v>
      </x:c>
      <x:c r="F29" s="15" t="str">
        <x:v>烤面包、耐磨纱线</x:v>
      </x:c>
      <x:c r="G29" s="15" t="str">
        <x:v>量伙伴披风尺寸时过于认真，结果给全船做了防雨披肩</x:v>
      </x:c>
      <x:c r="H29" s="15" t="str">
        <x:v>经营开放帆坊，签名只有一片手工缝上的火山红布</x:v>
      </x:c>
    </x:row>
    <x:row r="30" ht="31" customHeight="1">
      <x:c r="A30" s="13" t="str">
        <x:v>C025</x:v>
      </x:c>
      <x:c r="B30" s="13" t="str">
        <x:v>萨菲娅·珊瑚墨</x:v>
      </x:c>
      <x:c r="C30" s="13" t="str">
        <x:v>辨认瓷片→与C045交换窑址记录→举办两岸共同展览</x:v>
      </x:c>
      <x:c r="D30" s="13" t="str">
        <x:v>珊瑚庭学术线、古贸易航路图</x:v>
      </x:c>
      <x:c r="E30" s="13" t="str">
        <x:v>C045：从怀疑对方动机到交换家族器物</x:v>
      </x:c>
      <x:c r="F30" s="13" t="str">
        <x:v>椰枣、被修好的旧书</x:v>
      </x:c>
      <x:c r="G30" s="13" t="str">
        <x:v>在饭碗底画货物来历，全船吃完才发现每人不同</x:v>
      </x:c>
      <x:c r="H30" s="13" t="str">
        <x:v>成为跨海联合学馆主持人，航图上每座港都获得完整名字</x:v>
      </x:c>
    </x:row>
    <x:row r="31" ht="31" customHeight="1">
      <x:c r="A31" s="15" t="str">
        <x:v>C026</x:v>
      </x:c>
      <x:c r="B31" s="15" t="str">
        <x:v>伊利亚斯·季帆</x:v>
      </x:c>
      <x:c r="C31" s="15" t="str">
        <x:v>找回旧家书→向C066询问太平洋风系→开辟双季往返线路</x:v>
      </x:c>
      <x:c r="D31" s="15" t="str">
        <x:v>季风双向航程规划、专属远洋帆色</x:v>
      </x:c>
      <x:c r="E31" s="15" t="str">
        <x:v>C066：互相纠正对另一片海的想象</x:v>
      </x:c>
      <x:c r="F31" s="15" t="str">
        <x:v>香料奶茶、日落后唱歌</x:v>
      </x:c>
      <x:c r="G31" s="15" t="str">
        <x:v>不说想家，只一遍遍把船头木饰擦亮</x:v>
      </x:c>
      <x:c r="H31" s="15" t="str">
        <x:v>经营两岸共同船队，每个船员都可选择在哪一岸度过雨季</x:v>
      </x:c>
    </x:row>
    <x:row r="32" ht="31" customHeight="1">
      <x:c r="A32" s="13" t="str">
        <x:v>C027</x:v>
      </x:c>
      <x:c r="B32" s="13" t="str">
        <x:v>妮娅·暖雨</x:v>
      </x:c>
      <x:c r="C32" s="13" t="str">
        <x:v>记录父母药方→与C016比较海上创伤→在疫后港组织疗养船</x:v>
      </x:c>
      <x:c r="D32" s="13" t="str">
        <x:v>疗养舱菜药组合、诊所互助关系</x:v>
      </x:c>
      <x:c r="E32" s="13" t="str">
        <x:v>C016：把他的沉默当成需要耐心的病症</x:v>
      </x:c>
      <x:c r="F32" s="13" t="str">
        <x:v>姜蜜水、颜色明亮的布</x:v>
      </x:c>
      <x:c r="G32" s="13" t="str">
        <x:v>为伤员讲特别糟糕的笑话，笑得最大声的是她自己</x:v>
      </x:c>
      <x:c r="H32" s="13" t="str">
        <x:v>创建疗养邮船，甲板上既有药箱也有给孩子的花盆</x:v>
      </x:c>
    </x:row>
    <x:row r="33" ht="31" customHeight="1">
      <x:c r="A33" s="15" t="str">
        <x:v>C028</x:v>
      </x:c>
      <x:c r="B33" s="15" t="str">
        <x:v>拉希德·木月</x:v>
      </x:c>
      <x:c r="C33" s="15" t="str">
        <x:v>寻找失传索法→与C005交换龙骨草图→在风暴航道救出硬壳大船</x:v>
      </x:c>
      <x:c r="D33" s="15" t="str">
        <x:v>M025 椰绳缝板外壳图纸；木月索结外观＋手工修理材配方</x:v>
      </x:c>
      <x:c r="E33" s="15" t="str">
        <x:v>C005：互称顽固木头，互敬到愿意交换工具</x:v>
      </x:c>
      <x:c r="F33" s="15" t="str">
        <x:v>椰饭、温润木纹</x:v>
      </x:c>
      <x:c r="G33" s="15" t="str">
        <x:v>给每块补船木头画一轮不同的月亮</x:v>
      </x:c>
      <x:c r="H33" s="15" t="str">
        <x:v>成立流动船匠学堂，学费是一条家乡造船秘诀</x:v>
      </x:c>
    </x:row>
    <x:row r="34" ht="31" customHeight="1">
      <x:c r="A34" s="13" t="str">
        <x:v>C029</x:v>
      </x:c>
      <x:c r="B34" s="13" t="str">
        <x:v>菲拉·叶冠</x:v>
      </x:c>
      <x:c r="C34" s="13" t="str">
        <x:v>追查种子来源→与C004比较漂木记录→让故乡园圃与海外交换普通种苗</x:v>
      </x:c>
      <x:c r="D34" s="13" t="str">
        <x:v>M072 航海植物园台图纸；叶冠小温室外观＋群岛植物调查链</x:v>
      </x:c>
      <x:c r="E34" s="13" t="str">
        <x:v>C004：共同梦想一本看得懂的自然书</x:v>
      </x:c>
      <x:c r="F34" s="13" t="str">
        <x:v>酸甜浆果、蓬松的鸟但只远看</x:v>
      </x:c>
      <x:c r="G34" s="13" t="str">
        <x:v>每天给新芽量身高，还会责备偷吃叶片的小虫</x:v>
      </x:c>
      <x:c r="H34" s="13" t="str">
        <x:v>回乡建面向海员的园圃，记录每次远航带回的新知识</x:v>
      </x:c>
    </x:row>
    <x:row r="35" ht="31" customHeight="1">
      <x:c r="A35" s="15" t="str">
        <x:v>C030</x:v>
      </x:c>
      <x:c r="B35" s="15" t="str">
        <x:v>阿玛拉·岬灯</x:v>
      </x:c>
      <x:c r="C35" s="15" t="str">
        <x:v>寻找失守灯台→教C022读联灯讯号→组织首次多船风暴救援</x:v>
      </x:c>
      <x:c r="D35" s="15" t="str">
        <x:v>岬灯护航阵、灯塔建设合作</x:v>
      </x:c>
      <x:c r="E35" s="15" t="str">
        <x:v>C022：把鲁莽少年教成可信的信使</x:v>
      </x:c>
      <x:c r="F35" s="15" t="str">
        <x:v>浓炖汤、别人笑到喘气</x:v>
      </x:c>
      <x:c r="G35" s="15" t="str">
        <x:v>半夜巡灯后回来讲冷笑话，自己先笑弯腰</x:v>
      </x:c>
      <x:c r="H35" s="15" t="str">
        <x:v>组织跨旗号救援船团，灯塔不问来船属于哪边</x:v>
      </x:c>
    </x:row>
    <x:row r="36" ht="31" customHeight="1">
      <x:c r="A36" s="13" t="str">
        <x:v>C031</x:v>
      </x:c>
      <x:c r="B36" s="13" t="str">
        <x:v>赛伊达·远镜</x:v>
      </x:c>
      <x:c r="C36" s="13" t="str">
        <x:v>找回失联哨船→教C022区分看见与猜测→建成两岸轮值的远望接力</x:v>
      </x:c>
      <x:c r="D36" s="13" t="str">
        <x:v>海峡长距望镜、接力望站地图</x:v>
      </x:c>
      <x:c r="E36" s="13" t="str">
        <x:v>C022：把冲动当成可打磨的天赋；C030：远方的灯台同行</x:v>
      </x:c>
      <x:c r="F36" s="13" t="str">
        <x:v>酸橙茶、简单清楚的报告</x:v>
      </x:c>
      <x:c r="G36" s="13" t="str">
        <x:v>轮休时躺在桅杆阴影里假装睡着，谁想偷甜点都躲不过</x:v>
      </x:c>
      <x:c r="H36" s="13" t="str">
        <x:v>成为海峡望站总教官，最得意的是学生比她更早看见归船</x:v>
      </x:c>
    </x:row>
    <x:row r="37" ht="31" customHeight="1">
      <x:c r="A37" s="15" t="str">
        <x:v>C032</x:v>
      </x:c>
      <x:c r="B37" s="15" t="str">
        <x:v>萨米尔·砚星</x:v>
      </x:c>
      <x:c r="C37" s="15" t="str">
        <x:v>寻回署名被涂掉的译稿→与C014复原航路用词→公开并列不同译法</x:v>
      </x:c>
      <x:c r="D37" s="15" t="str">
        <x:v>双语契约、抄本研究台</x:v>
      </x:c>
      <x:c r="E37" s="15" t="str">
        <x:v>C014：从挑错到共同署名；C050：常互送书</x:v>
      </x:c>
      <x:c r="F37" s="15" t="str">
        <x:v>豆蔻咖啡、宽阔页边</x:v>
      </x:c>
      <x:c r="G37" s="15" t="str">
        <x:v>替文盲水手写家书，故意不看他们脸红的样子</x:v>
      </x:c>
      <x:c r="H37" s="15" t="str">
        <x:v>主持人人可借阅的港口书库，门口写着欢迎带来不同意见</x:v>
      </x:c>
    </x:row>
    <x:row r="38" ht="31" customHeight="1">
      <x:c r="A38" s="13" t="str">
        <x:v>C033</x:v>
      </x:c>
      <x:c r="B38" s="13" t="str">
        <x:v>蕾姆·月砂</x:v>
      </x:c>
      <x:c r="C38" s="13" t="str">
        <x:v>追回家族旧星表→与C065比较另一套星名→让两个版本共享天际坐标</x:v>
      </x:c>
      <x:c r="D38" s="13" t="str">
        <x:v>月砂星位表、夜航提示</x:v>
      </x:c>
      <x:c r="E38" s="13" t="str">
        <x:v>C065：两种星航知识平等互证</x:v>
      </x:c>
      <x:c r="F38" s="13" t="str">
        <x:v>无糖枣糕、没有评判的安静</x:v>
      </x:c>
      <x:c r="G38" s="13" t="str">
        <x:v>用面包屑在餐盘排星座，最后全被主厨当作没吃完</x:v>
      </x:c>
      <x:c r="H38" s="13" t="str">
        <x:v>创建夜航学堂，第一批学生来自普通渔船家庭</x:v>
      </x:c>
    </x:row>
    <x:row r="39" ht="31" customHeight="1">
      <x:c r="A39" s="15" t="str">
        <x:v>C034</x:v>
      </x:c>
      <x:c r="B39" s="15" t="str">
        <x:v>努尔·咖啡雾</x:v>
      </x:c>
      <x:c r="C39" s="15" t="str">
        <x:v>追查咖啡配额→与C023设计节水壶→开办港口平价晨餐会</x:v>
      </x:c>
      <x:c r="D39" s="15" t="str">
        <x:v>晨雾咖啡配方、平价早餐订单链</x:v>
      </x:c>
      <x:c r="E39" s="15" t="str">
        <x:v>C023：从互抢淡水到共享厨房</x:v>
      </x:c>
      <x:c r="F39" s="15" t="str">
        <x:v>半糖咖啡、雨前气味</x:v>
      </x:c>
      <x:c r="G39" s="15" t="str">
        <x:v>总说还有五分钟开饭，实际上早把夜班那份温在锅里</x:v>
      </x:c>
      <x:c r="H39" s="15" t="str">
        <x:v>沿海每一家挂铜壶的小店都能请落难海员吃顿热饭</x:v>
      </x:c>
    </x:row>
    <x:row r="40" ht="31" customHeight="1">
      <x:c r="A40" s="13" t="str">
        <x:v>C035</x:v>
      </x:c>
      <x:c r="B40" s="13" t="str">
        <x:v>达里乌什·铜弦</x:v>
      </x:c>
      <x:c r="C40" s="13" t="str">
        <x:v>寻找旧学徒→与C068交换绳索受力法→把炮座设计开放给小船厂</x:v>
      </x:c>
      <x:c r="D40" s="13" t="str">
        <x:v>M056 短重炮滑轨图纸；铜弦可拆炮座外观＋俯仰试验件展示</x:v>
      </x:c>
      <x:c r="E40" s="13" t="str">
        <x:v>C068：木船与铜炮的结构辩论</x:v>
      </x:c>
      <x:c r="F40" s="13" t="str">
        <x:v>藏红花饭、被认真维护的旧工具</x:v>
      </x:c>
      <x:c r="G40" s="13" t="str">
        <x:v>用最贵的量规检查主厨切的胡萝卜，引发全船抗议</x:v>
      </x:c>
      <x:c r="H40" s="13" t="str">
        <x:v>组建为受伤工匠改造工具的工坊，第一门炮以学徒命名</x:v>
      </x:c>
    </x:row>
    <x:row r="41" ht="31" customHeight="1">
      <x:c r="A41" s="15" t="str">
        <x:v>C036</x:v>
      </x:c>
      <x:c r="B41" s="15" t="str">
        <x:v>法蒂玛·绯印</x:v>
      </x:c>
      <x:c r="C41" s="15" t="str">
        <x:v>清点失联汇票→与C003建立跨港账目对照→让旧商团承认普通水手兑付权</x:v>
      </x:c>
      <x:c r="D41" s="15" t="str">
        <x:v>海员汇兑所、商馆远程薪资支付</x:v>
      </x:c>
      <x:c r="E41" s="15" t="str">
        <x:v>C003：账本上的代际传承</x:v>
      </x:c>
      <x:c r="F41" s="15" t="str">
        <x:v>玫瑰水点心、真实而简短的回信</x:v>
      </x:c>
      <x:c r="G41" s="15" t="str">
        <x:v>帮年轻人写求婚预算，先问对方想过什么生活</x:v>
      </x:c>
      <x:c r="H41" s="15" t="str">
        <x:v>成为七港汇兑会长，亲自核对的最后一笔是一名学徒寄给母亲的钱</x:v>
      </x:c>
    </x:row>
    <x:row r="42" ht="31" customHeight="1">
      <x:c r="A42" s="13" t="str">
        <x:v>C037</x:v>
      </x:c>
      <x:c r="B42" s="13" t="str">
        <x:v>安贾莉·莲秤</x:v>
      </x:c>
      <x:c r="C42" s="13" t="str">
        <x:v>追回被替换的胡椒→与C046建立产地直购→让小种植户拥有议价席位</x:v>
      </x:c>
      <x:c r="D42" s="13" t="str">
        <x:v>香料直购商约、莲秤商印</x:v>
      </x:c>
      <x:c r="E42" s="13" t="str">
        <x:v>C046：从价格对手到共同维护产地份额</x:v>
      </x:c>
      <x:c r="F42" s="13" t="str">
        <x:v>芒果酸奶、复杂棋局</x:v>
      </x:c>
      <x:c r="G42" s="13" t="str">
        <x:v>把晚餐座次排成商路图，结果被主厨改成方便传菜的样子</x:v>
      </x:c>
      <x:c r="H42" s="13" t="str">
        <x:v>成为跨海合作商会会长，名片不写出身家族</x:v>
      </x:c>
    </x:row>
    <x:row r="43" ht="31" customHeight="1">
      <x:c r="A43" s="15" t="str">
        <x:v>C038</x:v>
      </x:c>
      <x:c r="B43" s="15" t="str">
        <x:v>阿尔琼·雷弦</x:v>
      </x:c>
      <x:c r="C43" s="15" t="str">
        <x:v>寻找旧齐射命令→与C053练习两种测距法→在围港战中迫使对舰投降</x:v>
      </x:c>
      <x:c r="D43" s="15" t="str">
        <x:v>雷弦断桅测具、精确劝降命令</x:v>
      </x:c>
      <x:c r="E43" s="15" t="str">
        <x:v>C053：热血大哥与冷脸神射手的竞争</x:v>
      </x:c>
      <x:c r="F43" s="15" t="str">
        <x:v>香辛烤饼、雨后练炮</x:v>
      </x:c>
      <x:c r="G43" s="15" t="str">
        <x:v>替新兵把夸张战绩改写成更夸张却明显荒诞的版本</x:v>
      </x:c>
      <x:c r="H43" s="15" t="str">
        <x:v>成为护航学校教官，毕业考核是让双方的船都能回港</x:v>
      </x:c>
    </x:row>
    <x:row r="44" ht="31" customHeight="1">
      <x:c r="A44" s="13" t="str">
        <x:v>C039</x:v>
      </x:c>
      <x:c r="B44" s="13" t="str">
        <x:v>帕德玛·石莲</x:v>
      </x:c>
      <x:c r="C44" s="13" t="str">
        <x:v>寻找失踪壁画稿→与C061对读两地色谱→选择原位修复并举办临摹展</x:v>
      </x:c>
      <x:c r="D44" s="13" t="str">
        <x:v>古壁画色谱、矿物颜料工艺</x:v>
      </x:c>
      <x:c r="E44" s="13" t="str">
        <x:v>C061：不同时空感的遗迹学者，互相学习</x:v>
      </x:c>
      <x:c r="F44" s="13" t="str">
        <x:v>椰奶米饭、安静的雨声</x:v>
      </x:c>
      <x:c r="G44" s="13" t="str">
        <x:v>给剥落的船舱门画一朵小莲，说只是练习补色</x:v>
      </x:c>
      <x:c r="H44" s="13" t="str">
        <x:v>主持跨海修复工坊，作品留在原处，朋友把临摹带向世界</x:v>
      </x:c>
    </x:row>
    <x:row r="45" ht="31" customHeight="1">
      <x:c r="A45" s="15" t="str">
        <x:v>C040</x:v>
      </x:c>
      <x:c r="B45" s="15" t="str">
        <x:v>米拉·姜花</x:v>
      </x:c>
      <x:c r="C45" s="15" t="str">
        <x:v>收集码头家常菜→与C009争论保存方法→用共同菜谱重聚离散客栈员工</x:v>
      </x:c>
      <x:c r="D45" s="15" t="str">
        <x:v>四海家常菜谱、共餐关系事件</x:v>
      </x:c>
      <x:c r="E45" s="15" t="str">
        <x:v>C009：一个量盐一个凭手感，最终共同署名</x:v>
      </x:c>
      <x:c r="F45" s="15" t="str">
        <x:v>酸芒果、让别人多吃一口</x:v>
      </x:c>
      <x:c r="G45" s="15" t="str">
        <x:v>用极温柔的语气命令所有英雄洗碗</x:v>
      </x:c>
      <x:c r="H45" s="15" t="str">
        <x:v>开一艘移动客栈船，让每位常客在菜单上留下家乡菜</x:v>
      </x:c>
    </x:row>
    <x:row r="46" ht="31" customHeight="1">
      <x:c r="A46" s="13" t="str">
        <x:v>C041</x:v>
      </x:c>
      <x:c r="B46" s="13" t="str">
        <x:v>德夫·织风</x:v>
      </x:c>
      <x:c r="C46" s="13" t="str">
        <x:v>追查断线批次→与C024织出混纤试帆→在跨季航行中修改缝线走向</x:v>
      </x:c>
      <x:c r="D46" s="13" t="str">
        <x:v>M038 古吉拉特轻棉帆图纸；经纬交错帆角外观＋轻帆工坊订单</x:v>
      </x:c>
      <x:c r="E46" s="13" t="str">
        <x:v>C024：互相寄剪下来的帆布角作技术书信</x:v>
      </x:c>
      <x:c r="F46" s="13" t="str">
        <x:v>薄荷酸乳、整齐的纱轴</x:v>
      </x:c>
      <x:c r="G46" s="13" t="str">
        <x:v>替大家补衣服时把各人习惯偷偷缝成图案</x:v>
      </x:c>
      <x:c r="H46" s="13" t="str">
        <x:v>经营跨海帆布合作社，每张帆注明纺纱与缝制者</x:v>
      </x:c>
    </x:row>
    <x:row r="47" ht="31" customHeight="1">
      <x:c r="A47" s="15" t="str">
        <x:v>C042</x:v>
      </x:c>
      <x:c r="B47" s="15" t="str">
        <x:v>伊莎·孟加拉潮</x:v>
      </x:c>
      <x:c r="C47" s="15" t="str">
        <x:v>寻回旧河道碑→与C064共同测绘雨季新口→把家传引水表改成公开学校教材</x:v>
      </x:c>
      <x:c r="D47" s="15" t="str">
        <x:v>活河道测深图、河口快速泊位</x:v>
      </x:c>
      <x:c r="E47" s="15" t="str">
        <x:v>C064：要求小伙子先听完水声再说话</x:v>
      </x:c>
      <x:c r="F47" s="15" t="str">
        <x:v>浓姜茶、敢承认不知道的人</x:v>
      </x:c>
      <x:c r="G47" s="15" t="str">
        <x:v>一眼看穿谁偷懒，却把值班表改得人人能补觉</x:v>
      </x:c>
      <x:c r="H47" s="15" t="str">
        <x:v>退到河口学堂，每届学生都要亲手画一条她没走过的新河道</x:v>
      </x:c>
    </x:row>
    <x:row r="48" ht="31" customHeight="1">
      <x:c r="A48" s="13" t="str">
        <x:v>C043</x:v>
      </x:c>
      <x:c r="B48" s="13" t="str">
        <x:v>拉特娜·千结</x:v>
      </x:c>
      <x:c r="C48" s="13" t="str">
        <x:v>收集误会词汇→与C050编写双向例句→让水手试读并删掉学者看不懂的术语</x:v>
      </x:c>
      <x:c r="D48" s="13" t="str">
        <x:v>码头通用词册、跨文化酒馆事件</x:v>
      </x:c>
      <x:c r="E48" s="13" t="str">
        <x:v>C050：一个靠耳朵一个靠文字，互相校正</x:v>
      </x:c>
      <x:c r="F48" s="13" t="str">
        <x:v>酸梅饮、精妙的双关笑话</x:v>
      </x:c>
      <x:c r="G48" s="13" t="str">
        <x:v>模仿船员口音太像，最后被要求逐个道歉再来一遍</x:v>
      </x:c>
      <x:c r="H48" s="13" t="str">
        <x:v>成为海港译员学院院长，第一条规则是先听人把话说完</x:v>
      </x:c>
    </x:row>
    <x:row r="49" ht="31" customHeight="1">
      <x:c r="A49" s="15" t="str">
        <x:v>C044</x:v>
      </x:c>
      <x:c r="B49" s="15" t="str">
        <x:v>巴尤·雨雀</x:v>
      </x:c>
      <x:c r="C49" s="15" t="str">
        <x:v>纠正一次误报→与C004交换鸟类素描→独立带船找到雨夜避风湾</x:v>
      </x:c>
      <x:c r="D49" s="15" t="str">
        <x:v>图画天气册、岛链锚地图</x:v>
      </x:c>
      <x:c r="E49" s="15" t="str">
        <x:v>C004：谁画的鱼更丑的笔友；C071：信号小伙伴</x:v>
      </x:c>
      <x:c r="F49" s="15" t="str">
        <x:v>烤香蕉、折纸海鸟</x:v>
      </x:c>
      <x:c r="G49" s="15" t="str">
        <x:v>把天气画成怪物，毛毛雨是最矮的小怪</x:v>
      </x:c>
      <x:c r="H49" s="15" t="str">
        <x:v>成为岛链天气信使，把第一份会下雨的图留给故乡孩子</x:v>
      </x:c>
    </x:row>
    <x:row r="50" ht="31" customHeight="1">
      <x:c r="A50" s="13" t="str">
        <x:v>C045</x:v>
      </x:c>
      <x:c r="B50" s="13" t="str">
        <x:v>阮绫瓷</x:v>
      </x:c>
      <x:c r="C50" s="13" t="str">
        <x:v>调查旧瓷片→与C025建立共同图录→说服C013支持平价器皿展</x:v>
      </x:c>
      <x:c r="D50" s="13" t="str">
        <x:v>M035 乳香陶封收藏舱图纸；青瓷缓震内衬外观＋跨港陶瓷套组</x:v>
      </x:c>
      <x:c r="E50" s="13" t="str">
        <x:v>C025：跨海考古笔友；C013：奢侈与日常的争论</x:v>
      </x:c>
      <x:c r="F50" s="13" t="str">
        <x:v>桂花茶、开窑时第一道光</x:v>
      </x:c>
      <x:c r="G50" s="13" t="str">
        <x:v>给每个人选不同形状的杯，谁也猜不到她依据的是笑声</x:v>
      </x:c>
      <x:c r="H50" s="13" t="str">
        <x:v>经营跨海合作窑坊，把远航痕迹做进日常碗底</x:v>
      </x:c>
    </x:row>
    <x:row r="51" ht="31" customHeight="1">
      <x:c r="A51" s="15" t="str">
        <x:v>C046</x:v>
      </x:c>
      <x:c r="B51" s="15" t="str">
        <x:v>萨莉·丁香星</x:v>
      </x:c>
      <x:c r="C51" s="15" t="str">
        <x:v>找出贷款套约→与C037建立直购线→让各园共同决定最低出货份额</x:v>
      </x:c>
      <x:c r="D51" s="15" t="str">
        <x:v>丁香合作社合约、产地季节库存</x:v>
      </x:c>
      <x:c r="E51" s="15" t="str">
        <x:v>C037：从争取售价到共同设计长期利益</x:v>
      </x:c>
      <x:c r="F51" s="15" t="str">
        <x:v>丁香蜜糕、雨后的火山土气味</x:v>
      </x:c>
      <x:c r="G51" s="15" t="str">
        <x:v>把一粒丁香塞进船长口袋，说是请别忘记回来的味道</x:v>
      </x:c>
      <x:c r="H51" s="15" t="str">
        <x:v>成立种植家庭商会，第一次大额利润用于修复港口学校</x:v>
      </x:c>
    </x:row>
    <x:row r="52" ht="31" customHeight="1">
      <x:c r="A52" s="13" t="str">
        <x:v>C047</x:v>
      </x:c>
      <x:c r="B52" s="13" t="str">
        <x:v>拉斐尔·雾刃</x:v>
      </x:c>
      <x:c r="C52" s="13" t="str">
        <x:v>寻找幸存账房→与C052比试不同甲板步法→在公开审判中保护证人</x:v>
      </x:c>
      <x:c r="D52" s="13" t="str">
        <x:v>雾刃双刀、接舷换位战术</x:v>
      </x:c>
      <x:c r="E52" s="13" t="str">
        <x:v>C052：从挑衅决斗到把后背交给对方</x:v>
      </x:c>
      <x:c r="F52" s="13" t="str">
        <x:v>芒果干、别人识破玩笑后仍愿意留下</x:v>
      </x:c>
      <x:c r="G52" s="13" t="str">
        <x:v>装作不会跳舞，好让紧张的新人先笑出来</x:v>
      </x:c>
      <x:c r="H52" s="13" t="str">
        <x:v>重建港口护卫队，训练场白天练武晚上教舞</x:v>
      </x:c>
    </x:row>
    <x:row r="53" ht="31" customHeight="1">
      <x:c r="A53" s="15" t="str">
        <x:v>C048</x:v>
      </x:c>
      <x:c r="B53" s="15" t="str">
        <x:v>茜蒂·深蓝环</x:v>
      </x:c>
      <x:c r="C53" s="15" t="str">
        <x:v>复测旧航道→与C070比对远洋涌浪→在喷灰后的夜晚领回商船队</x:v>
      </x:c>
      <x:c r="D53" s="15" t="str">
        <x:v>涌浪判流技术、火山海峡捷径</x:v>
      </x:c>
      <x:c r="E53" s="15" t="str">
        <x:v>C070：共同讨论看不见的海床</x:v>
      </x:c>
      <x:c r="F53" s="15" t="str">
        <x:v>椰糖糕、独处看海</x:v>
      </x:c>
      <x:c r="G53" s="15" t="str">
        <x:v>会为睡着的人悄悄把吊床移离漏雨处</x:v>
      </x:c>
      <x:c r="H53" s="15" t="str">
        <x:v>成为岛际引航会领队，每张地图都留下一栏给明天的变化</x:v>
      </x:c>
    </x:row>
    <x:row r="54" ht="31" customHeight="1">
      <x:c r="A54" s="13" t="str">
        <x:v>C049</x:v>
      </x:c>
      <x:c r="B54" s="13" t="str">
        <x:v>沈照夜</x:v>
      </x:c>
      <x:c r="C54" s="13" t="str">
        <x:v>查清旧海誓毁约→与C056试行中立护航→让敌对商帮同时签约</x:v>
      </x:c>
      <x:c r="D54" s="13" t="str">
        <x:v>海誓护航条约、跨旗号护航任务</x:v>
      </x:c>
      <x:c r="E54" s="13" t="str">
        <x:v>C056：彼此警惕的两位护航船长最终互赠灯</x:v>
      </x:c>
      <x:c r="F54" s="13" t="str">
        <x:v>清茶、写得好的航海账</x:v>
      </x:c>
      <x:c r="G54" s="13" t="str">
        <x:v>嘴上说巡夜只是职责，手里却多拿一件披风</x:v>
      </x:c>
      <x:c r="H54" s="13" t="str">
        <x:v>成为护航联盟首任轮值船长，交班时留灯不留名</x:v>
      </x:c>
    </x:row>
    <x:row r="55" ht="31" customHeight="1">
      <x:c r="A55" s="15" t="str">
        <x:v>C050</x:v>
      </x:c>
      <x:c r="B55" s="15" t="str">
        <x:v>杜映梨</x:v>
      </x:c>
      <x:c r="C55" s="15" t="str">
        <x:v>追查被删条文→与C043让水手试读→向C032寄出保留分歧的译本</x:v>
      </x:c>
      <x:c r="D55" s="15" t="str">
        <x:v>双语标准货单、合约替代条款</x:v>
      </x:c>
      <x:c r="E55" s="15" t="str">
        <x:v>C043：耳朵与文字的搭档；C032：远方书信友人</x:v>
      </x:c>
      <x:c r="F55" s="15" t="str">
        <x:v>桂花糕、纠正错别字后的沉默</x:v>
      </x:c>
      <x:c r="G55" s="15" t="str">
        <x:v>给全船写对联，每个人都觉得自己的那副在被调侃</x:v>
      </x:c>
      <x:c r="H55" s="15" t="str">
        <x:v>开办海员夜学，把第一次失败的译稿贴在门口</x:v>
      </x:c>
    </x:row>
    <x:row r="56" ht="31" customHeight="1">
      <x:c r="A56" s="13" t="str">
        <x:v>C051</x:v>
      </x:c>
      <x:c r="B56" s="13" t="str">
        <x:v>宋时雨</x:v>
      </x:c>
      <x:c r="C56" s="13" t="str">
        <x:v>改坏第一版漏刻→与C017五港对时→设计可以由船匠维护的通用版本</x:v>
      </x:c>
      <x:c r="D56" s="13" t="str">
        <x:v>M012 黄铜星盘观测台图纸；雨刻稳时悬架外观＋航时器试航故事</x:v>
      </x:c>
      <x:c r="E56" s="13" t="str">
        <x:v>C017：谁先到日出的经度竞赛</x:v>
      </x:c>
      <x:c r="F56" s="13" t="str">
        <x:v>芝麻团、下雨时的屋檐</x:v>
      </x:c>
      <x:c r="G56" s="13" t="str">
        <x:v>忘记吃饭，却准确提醒全船谁迟到了两分半</x:v>
      </x:c>
      <x:c r="H56" s="13" t="str">
        <x:v>成为航时器工坊主，把导师的话刻成小字藏进机芯</x:v>
      </x:c>
    </x:row>
    <x:row r="57" ht="31" customHeight="1">
      <x:c r="A57" s="15" t="str">
        <x:v>C052</x:v>
      </x:c>
      <x:c r="B57" s="15" t="str">
        <x:v>九条澄花</x:v>
      </x:c>
      <x:c r="C57" s="15" t="str">
        <x:v>追寻被逐同门→与C047交换船上步法→在家门见证下拒绝不合理效忠</x:v>
      </x:c>
      <x:c r="D57" s="15" t="str">
        <x:v>白梅刀、甲板截击阵</x:v>
      </x:c>
      <x:c r="E57" s="15" t="str">
        <x:v>C047：最不正经的可靠搭档</x:v>
      </x:c>
      <x:c r="F57" s="15" t="str">
        <x:v>抹茶甜点、无声的晨练</x:v>
      </x:c>
      <x:c r="G57" s="15" t="str">
        <x:v>被邀请跳舞时一口回绝，夜里却对着桅杆练步子</x:v>
      </x:c>
      <x:c r="H57" s="15" t="str">
        <x:v>开一间向所有出身开放的护卫学堂，门匾由全队共同题写</x:v>
      </x:c>
    </x:row>
    <x:row r="58" ht="31" customHeight="1">
      <x:c r="A58" s="13" t="str">
        <x:v>C053</x:v>
      </x:c>
      <x:c r="B58" s="13" t="str">
        <x:v>月城凛久</x:v>
      </x:c>
      <x:c r="C58" s="13" t="str">
        <x:v>找到父亲旧尺→和C038交换断桅经验→把自己的天赋改写成公开教材</x:v>
      </x:c>
      <x:c r="D58" s="13" t="str">
        <x:v>分段测距尺、精确炮手训练</x:v>
      </x:c>
      <x:c r="E58" s="13" t="str">
        <x:v>C038：一个总喊太大声，一个总装没听见</x:v>
      </x:c>
      <x:c r="F58" s="13" t="str">
        <x:v>海苔饭团、没有脚注的好图</x:v>
      </x:c>
      <x:c r="G58" s="13" t="str">
        <x:v>半夜替大家画肖像，总把笑容画得比本人多一点</x:v>
      </x:c>
      <x:c r="H58" s="13" t="str">
        <x:v>创办沿海炮手学堂，第一课是选择不开火的时机</x:v>
      </x:c>
    </x:row>
    <x:row r="59" ht="31" customHeight="1">
      <x:c r="A59" s="15" t="str">
        <x:v>C054</x:v>
      </x:c>
      <x:c r="B59" s="15" t="str">
        <x:v>韩素绳</x:v>
      </x:c>
      <x:c r="C59" s="15" t="str">
        <x:v>查找失传旗式→与C011建立彩焰对照→在暴风演习中覆盖全舰队</x:v>
      </x:c>
      <x:c r="D59" s="15" t="str">
        <x:v>M006 极光旗语桅图纸；绳结多路信号外观＋图画命令表</x:v>
      </x:c>
      <x:c r="E59" s="15" t="str">
        <x:v>C011：颜色、节拍、结绳共同编成一套语言</x:v>
      </x:c>
      <x:c r="F59" s="15" t="str">
        <x:v>梨茶、复杂绳结</x:v>
      </x:c>
      <x:c r="G59" s="15" t="str">
        <x:v>用绳结暗号宣布晚餐，最后连船猫都学会第一声铃</x:v>
      </x:c>
      <x:c r="H59" s="15" t="str">
        <x:v>成为跨海信号联盟编制者，署名页列着每个参加测试的水手</x:v>
      </x:c>
    </x:row>
    <x:row r="60" ht="31" customHeight="1">
      <x:c r="A60" s="13" t="str">
        <x:v>C055</x:v>
      </x:c>
      <x:c r="B60" s="13" t="str">
        <x:v>伊芙琳·盐玫瑰</x:v>
      </x:c>
      <x:c r="C60" s="13" t="str">
        <x:v>清算旧分赃→与C018商定海上停战→选择把军火码头转为修造船所</x:v>
      </x:c>
      <x:c r="D60" s="13" t="str">
        <x:v>自由港共同体路线、盐玫瑰旗</x:v>
      </x:c>
      <x:c r="E60" s="13" t="str">
        <x:v>C018：最懂她的人也是最不相信她会改变的人</x:v>
      </x:c>
      <x:c r="F60" s="13" t="str">
        <x:v>苦朗姆、没有借口的道歉</x:v>
      </x:c>
      <x:c r="G60" s="13" t="str">
        <x:v>将分红分钱到最小铜子，自己那份总莫名少一点</x:v>
      </x:c>
      <x:c r="H60" s="13" t="str">
        <x:v>当选自由港轮值议长，依旧保留亲自出海的坏习惯</x:v>
      </x:c>
    </x:row>
    <x:row r="61" ht="31" customHeight="1">
      <x:c r="A61" s="15" t="str">
        <x:v>C056</x:v>
      </x:c>
      <x:c r="B61" s="15" t="str">
        <x:v>朱利安·晨锚</x:v>
      </x:c>
      <x:c r="C61" s="15" t="str">
        <x:v>揭露诱饵命令→与C049组织中立舰队→在追击与救援之间选择后者</x:v>
      </x:c>
      <x:c r="D61" s="15" t="str">
        <x:v>晨锚护商编队、跨旗号声望线</x:v>
      </x:c>
      <x:c r="E61" s="15" t="str">
        <x:v>C049：从公文试探到无言默契</x:v>
      </x:c>
      <x:c r="F61" s="15" t="str">
        <x:v>柠檬水、修好的锚链</x:v>
      </x:c>
      <x:c r="G61" s="15" t="str">
        <x:v>认真替每个新兵拍去肩头灰尘，轮到自己时反而害羞</x:v>
      </x:c>
      <x:c r="H61" s="15" t="str">
        <x:v>成为中立护航队长，退役时收到的是成千港口居民签名</x:v>
      </x:c>
    </x:row>
    <x:row r="62" ht="31" customHeight="1">
      <x:c r="A62" s="13" t="str">
        <x:v>C057</x:v>
      </x:c>
      <x:c r="B62" s="13" t="str">
        <x:v>克莱芒汀·糖火</x:v>
      </x:c>
      <x:c r="C62" s="13" t="str">
        <x:v>找回祖母糖温表→与C034设计跨洋热饮→给被拖欠工资的糖坊办合作店</x:v>
      </x:c>
      <x:c r="D62" s="13" t="str">
        <x:v>糖火远洋点心、可可庆功宴</x:v>
      </x:c>
      <x:c r="E62" s="13" t="str">
        <x:v>C034：茶壶与糖锅的甜苦搭档</x:v>
      </x:c>
      <x:c r="F62" s="13" t="str">
        <x:v>自己做的苦巧、别人认真说谢谢</x:v>
      </x:c>
      <x:c r="G62" s="13" t="str">
        <x:v>宣称失败的饼干都得自己处理，实际上给每人留一袋</x:v>
      </x:c>
      <x:c r="H62" s="13" t="str">
        <x:v>开遍各港的甜点合作铺，招牌是一团画得很可爱的火</x:v>
      </x:c>
    </x:row>
    <x:row r="63" ht="31" customHeight="1">
      <x:c r="A63" s="15" t="str">
        <x:v>C058</x:v>
      </x:c>
      <x:c r="B63" s="15" t="str">
        <x:v>阿莫斯·格雷岬</x:v>
      </x:c>
      <x:c r="C63" s="15" t="str">
        <x:v>拜访事故家属→与C001公开旧测量错误→把海岬更名为共同测量者之名</x:v>
      </x:c>
      <x:c r="D63" s="15" t="str">
        <x:v>高精度海图台、联合测量任务</x:v>
      </x:c>
      <x:c r="E63" s="15" t="str">
        <x:v>C001：同样面对一张伤人的海图，选择承担不同责任</x:v>
      </x:c>
      <x:c r="F63" s="15" t="str">
        <x:v>淡麦酒、写满修改痕迹的海图</x:v>
      </x:c>
      <x:c r="G63" s="15" t="str">
        <x:v>把天气说成一句短诗，讲完坚称从没学过诗歌</x:v>
      </x:c>
      <x:c r="H63" s="15" t="str">
        <x:v>担任公共海图室志愿教师，退休椅子正对着潮汐窗</x:v>
      </x:c>
    </x:row>
    <x:row r="64" ht="31" customHeight="1">
      <x:c r="A64" s="13" t="str">
        <x:v>C059</x:v>
      </x:c>
      <x:c r="B64" s="13" t="str">
        <x:v>卡塔莉娜·未寄潮</x:v>
      </x:c>
      <x:c r="C64" s="13" t="str">
        <x:v>比对旧船期→与C012正面谈遗憾→选择让祖母亲自决定是否见面</x:v>
      </x:c>
      <x:c r="D64" s="13" t="str">
        <x:v>未寄潮海图册、纪念港口画展</x:v>
      </x:c>
      <x:c r="E64" s="13" t="str">
        <x:v>C012：旧约的继承者，关系由愤怒走向理解</x:v>
      </x:c>
      <x:c r="F64" s="13" t="str">
        <x:v>椰子甜点、坦率的坏消息</x:v>
      </x:c>
      <x:c r="G64" s="13" t="str">
        <x:v>给伙伴画想象中的老年像，唯独自己那张迟迟没画完</x:v>
      </x:c>
      <x:c r="H64" s="13" t="str">
        <x:v>成为记录普通人远航故事的画师，第一幅作品留在祖母窗边</x:v>
      </x:c>
    </x:row>
    <x:row r="65" ht="31" customHeight="1">
      <x:c r="A65" s="15" t="str">
        <x:v>C060</x:v>
      </x:c>
      <x:c r="B65" s="15" t="str">
        <x:v>华金·银衡</x:v>
      </x:c>
      <x:c r="C65" s="15" t="str">
        <x:v>对比三港银样→与C021制定共同砝码→拒绝用黑账换回个人职位</x:v>
      </x:c>
      <x:c r="D65" s="15" t="str">
        <x:v>银衡公库、跨港贵金属结算</x:v>
      </x:c>
      <x:c r="E65" s="15" t="str">
        <x:v>C021：互相让对方检查自己的秤</x:v>
      </x:c>
      <x:c r="F65" s="15" t="str">
        <x:v>黑咖啡、平整纸张</x:v>
      </x:c>
      <x:c r="G65" s="15" t="str">
        <x:v>会把玩笑记成欠账，却从不真正收取</x:v>
      </x:c>
      <x:c r="H65" s="15" t="str">
        <x:v>建立独立公库，卸任时账户与第一次开门一样清楚</x:v>
      </x:c>
    </x:row>
    <x:row r="66" ht="31" customHeight="1">
      <x:c r="A66" s="13" t="str">
        <x:v>C061</x:v>
      </x:c>
      <x:c r="B66" s="13" t="str">
        <x:v>奈拉·日阶</x:v>
      </x:c>
      <x:c r="C66" s="13" t="str">
        <x:v>整理山路织图→与C039交流颜料修复→建立山海共同档案馆</x:v>
      </x:c>
      <x:c r="D66" s="13" t="str">
        <x:v>山海织图册、内陆驿路派遣</x:v>
      </x:c>
      <x:c r="E66" s="13" t="str">
        <x:v>C039：让被误解的古迹自己说话的同行</x:v>
      </x:c>
      <x:c r="F66" s="13" t="str">
        <x:v>藜麦汤、结实的旅行鞋</x:v>
      </x:c>
      <x:c r="G66" s="13" t="str">
        <x:v>用绳线向没见过山的水手解释坡度，一桌人越听越认真</x:v>
      </x:c>
      <x:c r="H66" s="13" t="str">
        <x:v>主持山海档案馆，学徒第一次出行就必须听当地向导讲完整故事</x:v>
      </x:c>
    </x:row>
    <x:row r="67" ht="31" customHeight="1">
      <x:c r="A67" s="15" t="str">
        <x:v>C062</x:v>
      </x:c>
      <x:c r="B67" s="15" t="str">
        <x:v>阿马鲁·赤木</x:v>
      </x:c>
      <x:c r="C67" s="15" t="str">
        <x:v>寻访伐木师傅→与C028比较弯木方式→用共同图纸完成试航</x:v>
      </x:c>
      <x:c r="D67" s="15" t="str">
        <x:v>M062 赤木深梁图纸；赤木复合肋骨外观＋林港船材订单</x:v>
      </x:c>
      <x:c r="E67" s="15" t="str">
        <x:v>C028：不急着批评的远方师傅</x:v>
      </x:c>
      <x:c r="F67" s="15" t="str">
        <x:v>烤木薯、刚刨开的木香</x:v>
      </x:c>
      <x:c r="G67" s="15" t="str">
        <x:v>悄悄替每人的吊床做一只更舒服的木枕</x:v>
      </x:c>
      <x:c r="H67" s="15" t="str">
        <x:v>开办由林地与船坞共同经营的造船坊，每次造船先讨论来年的树</x:v>
      </x:c>
    </x:row>
    <x:row r="68" ht="31" customHeight="1">
      <x:c r="A68" s="13" t="str">
        <x:v>C063</x:v>
      </x:c>
      <x:c r="B68" s="13" t="str">
        <x:v>比阿特丽斯·绿烛</x:v>
      </x:c>
      <x:c r="C68" s="13" t="str">
        <x:v>补全被雨毁的夜图→与C029比较岛屿植物→邀请向导共同命名观察册</x:v>
      </x:c>
      <x:c r="D68" s="13" t="str">
        <x:v>夜行生态手册、船上遮光观察箱</x:v>
      </x:c>
      <x:c r="E68" s="13" t="str">
        <x:v>C029：讨论植物会不会想家的朋友</x:v>
      </x:c>
      <x:c r="F68" s="13" t="str">
        <x:v>酸果饮、安静听虫鸣</x:v>
      </x:c>
      <x:c r="G68" s="13" t="str">
        <x:v>给船舱窗挂半透明叶画，月光一照像小森林</x:v>
      </x:c>
      <x:c r="H68" s="13" t="str">
        <x:v>成为河口自然学馆主持人，每年雨季回船上讲一晚新故事</x:v>
      </x:c>
    </x:row>
    <x:row r="69" ht="31" customHeight="1">
      <x:c r="A69" s="15" t="str">
        <x:v>C064</x:v>
      </x:c>
      <x:c r="B69" s="15" t="str">
        <x:v>蒂亚戈·飞沫</x:v>
      </x:c>
      <x:c r="C69" s="15" t="str">
        <x:v>闯错雨季河道→跟C042学测深→独立修订一份小艇渡运图</x:v>
      </x:c>
      <x:c r="D69" s="15" t="str">
        <x:v>轻艇探路队、雨季河口捷径</x:v>
      </x:c>
      <x:c r="E69" s="15" t="str">
        <x:v>C042：第一次教他停下来的人</x:v>
      </x:c>
      <x:c r="F69" s="15" t="str">
        <x:v>蜜汁水果、赢了以后与对手分食</x:v>
      </x:c>
      <x:c r="G69" s="15" t="str">
        <x:v>把船上每条路都走成竞速赛，最后发现船医一直抄近路</x:v>
      </x:c>
      <x:c r="H69" s="15" t="str">
        <x:v>成为年轻引航人，教徒弟的第一句话是慢一点看清水</x:v>
      </x:c>
    </x:row>
    <x:row r="70" ht="31" customHeight="1">
      <x:c r="A70" s="13" t="str">
        <x:v>C065</x:v>
      </x:c>
      <x:c r="B70" s="13" t="str">
        <x:v>库耶恩·雨弓</x:v>
      </x:c>
      <x:c r="C70" s="13" t="str">
        <x:v>对照误译星名→与C033互译方位→把共同坐标与各自故事并存发表</x:v>
      </x:c>
      <x:c r="D70" s="13" t="str">
        <x:v>南天双名星图、南洋天文链</x:v>
      </x:c>
      <x:c r="E70" s="13" t="str">
        <x:v>C033：不争谁的星更正确，只求彼此都能找到路</x:v>
      </x:c>
      <x:c r="F70" s="13" t="str">
        <x:v>热谷饮、清澈的雨后夜空</x:v>
      </x:c>
      <x:c r="G70" s="13" t="str">
        <x:v>给每人指出一颗不会在故乡看见的星，让他们说想念谁</x:v>
      </x:c>
      <x:c r="H70" s="13" t="str">
        <x:v>建立南天观察所，邀请不同语言的领航者轮流主持夜课</x:v>
      </x:c>
    </x:row>
    <x:row r="71" ht="31" customHeight="1">
      <x:c r="A71" s="15" t="str">
        <x:v>C066</x:v>
      </x:c>
      <x:c r="B71" s="15" t="str">
        <x:v>托马斯·南折</x:v>
      </x:c>
      <x:c r="C71" s="15" t="str">
        <x:v>重访失货锚地→与C026比较不同风系→建立分季补给航线</x:v>
      </x:c>
      <x:c r="D71" s="15" t="str">
        <x:v>南角季候航图、远洋中继仓</x:v>
      </x:c>
      <x:c r="E71" s="15" t="str">
        <x:v>C026：把彼此的失误变成路线表中的一行提醒</x:v>
      </x:c>
      <x:c r="F71" s="15" t="str">
        <x:v>热炖肉、朴素的好靴子</x:v>
      </x:c>
      <x:c r="G71" s="15" t="str">
        <x:v>说自己从不迷信，却每次绕岬都摸一摸衣服补丁</x:v>
      </x:c>
      <x:c r="H71" s="15" t="str">
        <x:v>经营南角补给船队，航期表最后一栏永远写着还能等</x:v>
      </x:c>
    </x:row>
    <x:row r="72" ht="31" customHeight="1">
      <x:c r="A72" s="13" t="str">
        <x:v>C067</x:v>
      </x:c>
      <x:c r="B72" s="13" t="str">
        <x:v>莫阿娜·归星</x:v>
      </x:c>
      <x:c r="C72" s="13" t="str">
        <x:v>辨认C007太阳坠→寻找最后一段星航记忆→在白昼海边与旧友的后人决定公开方式</x:v>
      </x:c>
      <x:c r="D72" s="13" t="str">
        <x:v>群星之海终章、归星双体旗舰外观</x:v>
      </x:c>
      <x:c r="E72" s="13" t="str">
        <x:v>C007：替老朋友看见女儿自己的选择</x:v>
      </x:c>
      <x:c r="F72" s="13" t="str">
        <x:v>烤面包果、没有准备的合唱</x:v>
      </x:c>
      <x:c r="G72" s="13" t="str">
        <x:v>把年轻时的糗事讲得比传奇还动人，最后自己笑到停不下来</x:v>
      </x:c>
      <x:c r="H72" s="13" t="str">
        <x:v>继续出海，把航图留在能让更多人使用的地方，告别从来不是句号</x:v>
      </x:c>
    </x:row>
    <x:row r="73" ht="31" customHeight="1">
      <x:c r="A73" s="15" t="str">
        <x:v>C068</x:v>
      </x:c>
      <x:c r="B73" s="15" t="str">
        <x:v>塔维塔·双潮梁</x:v>
      </x:c>
      <x:c r="C73" s="15" t="str">
        <x:v>寻找祖辈横梁草图→与C035对谈铜木结构→造一座可以拆装的海上课堂</x:v>
      </x:c>
      <x:c r="D73" s="15" t="str">
        <x:v>M068 韧索连桥梁图纸；双潮可拆桥梁外观＋海上工坊任务</x:v>
      </x:c>
      <x:c r="E73" s="15" t="str">
        <x:v>C035：用金属说话的人也懂绳结；C072：故乡的文字与木匠</x:v>
      </x:c>
      <x:c r="F73" s="15" t="str">
        <x:v>烤鱼、漂亮的结</x:v>
      </x:c>
      <x:c r="G73" s="15" t="str">
        <x:v>用一天做一只看似简单的碗，解释时全船都听入迷</x:v>
      </x:c>
      <x:c r="H73" s="15" t="str">
        <x:v>造出一支有工坊、有教室的双体船队，航行即是传艺</x:v>
      </x:c>
    </x:row>
    <x:row r="74" ht="31" customHeight="1">
      <x:c r="A74" s="13" t="str">
        <x:v>C069</x:v>
      </x:c>
      <x:c r="B74" s="13" t="str">
        <x:v>希娜诺·花潮</x:v>
      </x:c>
      <x:c r="C74" s="13" t="str">
        <x:v>寻找被遗忘的合唱→与C020联办海港节→让一直留乡的人站在主舞台</x:v>
      </x:c>
      <x:c r="D74" s="13" t="str">
        <x:v>群岛归港节、花潮演出服装</x:v>
      </x:c>
      <x:c r="E74" s="13" t="str">
        <x:v>C020：跨洋合唱计划的共同发起人</x:v>
      </x:c>
      <x:c r="F74" s="13" t="str">
        <x:v>水果凉饮、所有人都会唱的副歌</x:v>
      </x:c>
      <x:c r="G74" s="13" t="str">
        <x:v>把严肃航海报告编成歌，船长发现自己竟然记得更牢</x:v>
      </x:c>
      <x:c r="H74" s="13" t="str">
        <x:v>组织群岛艺术船团，每次归港都邀请一位等待的人讲故事</x:v>
      </x:c>
    </x:row>
    <x:row r="75" ht="31" customHeight="1">
      <x:c r="A75" s="15" t="str">
        <x:v>C070</x:v>
      </x:c>
      <x:c r="B75" s="15" t="str">
        <x:v>凯阿努·浪脊</x:v>
      </x:c>
      <x:c r="C75" s="15" t="str">
        <x:v>纠正一次过度自信→与C048比较岛底反射涌→独自教授新手第一堂课</x:v>
      </x:c>
      <x:c r="D75" s="15" t="str">
        <x:v>浪脊操舵术、身体感知航海札记</x:v>
      </x:c>
      <x:c r="E75" s="15" t="str">
        <x:v>C048：让他学会把感觉讲清楚的领航前辈</x:v>
      </x:c>
      <x:c r="F75" s="15" t="str">
        <x:v>烤芋、天亮时的海</x:v>
      </x:c>
      <x:c r="G75" s="15" t="str">
        <x:v>用桌布展示涌浪，把全桌水杯都晃翻后立刻认错</x:v>
      </x:c>
      <x:c r="H75" s="15" t="str">
        <x:v>成为领航教练，学生既要读图也要闭眼听海</x:v>
      </x:c>
    </x:row>
    <x:row r="76" ht="31" customHeight="1">
      <x:c r="A76" s="13" t="str">
        <x:v>C071</x:v>
      </x:c>
      <x:c r="B76" s="13" t="str">
        <x:v>拉妮·贝铃</x:v>
      </x:c>
      <x:c r="C76" s="13" t="str">
        <x:v>弄错一次旗号→与C054编写图画信号表→为整支船队主持归港点灯</x:v>
      </x:c>
      <x:c r="D76" s="13" t="str">
        <x:v>图画信号册、贝铃甲板挂饰</x:v>
      </x:c>
      <x:c r="E76" s="13" t="str">
        <x:v>C054：温柔但严格的老师；C044：共同制作天气灯</x:v>
      </x:c>
      <x:c r="F76" s="13" t="str">
        <x:v>椰子糕、能发出清脆声的贝壳</x:v>
      </x:c>
      <x:c r="G76" s="13" t="str">
        <x:v>给每位船员编了不同铃声，船长的是最长也最难记的那个</x:v>
      </x:c>
      <x:c r="H76" s="13" t="str">
        <x:v>长大后建立岛链信号学校，把第一盏修好的小灯放在门口</x:v>
      </x:c>
    </x:row>
    <x:row r="77" ht="31" customHeight="1">
      <x:c r="A77" s="16" t="str">
        <x:v>C072</x:v>
      </x:c>
      <x:c r="B77" s="16" t="str">
        <x:v>兰吉·刻潮</x:v>
      </x:c>
      <x:c r="C77" s="16" t="str">
        <x:v>找回被误读的草图→与C068建流动工坊→以当地人自己的声音完成岛屿画册</x:v>
      </x:c>
      <x:c r="D77" s="16" t="str">
        <x:v>刻潮工艺册、海上流动展览</x:v>
      </x:c>
      <x:c r="E77" s="16" t="str">
        <x:v>C068：木头连接的不只是船，也是人</x:v>
      </x:c>
      <x:c r="F77" s="16" t="str">
        <x:v>炭火烤食、耐心留下的空白</x:v>
      </x:c>
      <x:c r="G77" s="16" t="str">
        <x:v>雕一只没有完成的海鸟，请每个伙伴添一刀自己理解的海</x:v>
      </x:c>
      <x:c r="H77" s="16" t="str">
        <x:v>主持岛屿共同艺术馆，最受欢迎的展品是一只七十二个人雕过的鸟</x:v>
      </x:c>
    </x:row>
    <x:row r="78">
      <x:c r="A78" s="2"/>
      <x:c r="B78" s="2"/>
      <x:c r="C78" s="2"/>
      <x:c r="D78" s="2"/>
      <x:c r="E78" s="2"/>
      <x:c r="F78" s="2"/>
      <x:c r="G78" s="2"/>
      <x:c r="H78" s="2"/>
    </x:row>
  </x:sheetData>
  <x:pageMargins left="0.7" right="0.7" top="0.75" bottom="0.75" header="0.3" footer="0.3"/>
  <x:tableParts count="1">
    <x:tablePart xmlns:r="http://schemas.openxmlformats.org/officeDocument/2006/relationships" r:id="R93a89a102f6b43ee"/>
  </x:tableParts>
</x:worksheet>
</file>

<file path=xl/worksheets/sheet26.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44" hidden="0" customWidth="1"/>
    <x:col min="2" max="2" width="44" hidden="0" customWidth="1"/>
    <x:col min="3" max="3" width="44" hidden="0" customWidth="1"/>
    <x:col min="4" max="4" width="44" hidden="0" customWidth="1"/>
    <x:col min="5" max="5" width="44" hidden="0" customWidth="1"/>
    <x:col min="6" max="6" width="44" hidden="0" customWidth="1"/>
    <x:col min="7" max="7" width="44" hidden="0" customWidth="1"/>
  </x:cols>
  <x:sheetData>
    <x:row r="1">
      <x:c r="A1" s="2"/>
      <x:c r="B1" s="2"/>
      <x:c r="C1" s="2"/>
      <x:c r="D1" s="2"/>
      <x:c r="E1" s="2"/>
      <x:c r="F1" s="2"/>
      <x:c r="G1" s="2"/>
    </x:row>
    <x:row r="2" ht="28" customHeight="1">
      <x:c r="A2" s="3" t="str">
        <x:v>海员岗位与无人任命时的基础能力</x:v>
      </x:c>
      <x:c r="B2" s="2"/>
      <x:c r="C2" s="2"/>
      <x:c r="D2" s="2"/>
      <x:c r="E2" s="2"/>
      <x:c r="F2" s="2"/>
      <x:c r="G2" s="2"/>
    </x:row>
    <x:row r="3">
      <x:c r="A3" s="2"/>
      <x:c r="B3" s="2"/>
      <x:c r="C3" s="2"/>
      <x:c r="D3" s="2"/>
      <x:c r="E3" s="2"/>
      <x:c r="F3" s="2"/>
      <x:c r="G3" s="2"/>
    </x:row>
    <x:row r="4">
      <x:c r="A4" s="2"/>
      <x:c r="B4" s="2"/>
      <x:c r="C4" s="2"/>
      <x:c r="D4" s="2"/>
      <x:c r="E4" s="2"/>
      <x:c r="F4" s="2"/>
      <x:c r="G4" s="2"/>
    </x:row>
    <x:row r="5" ht="34" customHeight="1">
      <x:c r="A5" s="10" t="str">
        <x:v>岗位ID</x:v>
      </x:c>
      <x:c r="B5" s="10" t="str">
        <x:v>职位</x:v>
      </x:c>
      <x:c r="C5" s="10" t="str">
        <x:v>任命范围</x:v>
      </x:c>
      <x:c r="D5" s="10" t="str">
        <x:v>核心作用</x:v>
      </x:c>
      <x:c r="E5" s="10" t="str">
        <x:v>对应属性</x:v>
      </x:c>
      <x:c r="F5" s="10" t="str">
        <x:v>未任命时</x:v>
      </x:c>
      <x:c r="G5" s="10" t="str">
        <x:v>任命规则</x:v>
      </x:c>
    </x:row>
    <x:row r="6" ht="42" customHeight="1">
      <x:c r="A6" s="12" t="str">
        <x:v>JOB01</x:v>
      </x:c>
      <x:c r="B6" s="12" t="str">
        <x:v>船长</x:v>
      </x:c>
      <x:c r="C6" s="12" t="str">
        <x:v>旗舰/各船</x:v>
      </x:c>
      <x:c r="D6" s="12" t="str">
        <x:v>决定舰队指令、各船战术与撤退时机；主角固定旗舰船长，伙伴可指挥僚舰</x:v>
      </x:c>
      <x:c r="E6" s="12" t="str">
        <x:v>统率/航海</x:v>
      </x:c>
      <x:c r="F6" s="12" t="str">
        <x:v>主角可直接指挥旗舰；无人任命的僚船按跟随与自卫行动</x:v>
      </x:c>
      <x:c r="G6" s="12" t="str">
        <x:v>每人同一时刻任一主岗位；副岗位用于事件检定与临时接替。</x:v>
      </x:c>
    </x:row>
    <x:row r="7" ht="42" customHeight="1">
      <x:c r="A7" s="15" t="str">
        <x:v>JOB02</x:v>
      </x:c>
      <x:c r="B7" s="15" t="str">
        <x:v>副官</x:v>
      </x:c>
      <x:c r="C7" s="15" t="str">
        <x:v>旗舰</x:v>
      </x:c>
      <x:c r="D7" s="15" t="str">
        <x:v>把全队命令变成编队、追击或护商任务；主持冲突事件</x:v>
      </x:c>
      <x:c r="E7" s="15" t="str">
        <x:v>统率/学识</x:v>
      </x:c>
      <x:c r="F7" s="15" t="str">
        <x:v>命令逐船下达，舰队技能联动不可用</x:v>
      </x:c>
      <x:c r="G7" s="15" t="str">
        <x:v>每人同一时刻任一主岗位；副岗位用于事件检定与临时接替。</x:v>
      </x:c>
    </x:row>
    <x:row r="8" ht="42" customHeight="1">
      <x:c r="A8" s="13" t="str">
        <x:v>JOB03</x:v>
      </x:c>
      <x:c r="B8" s="13" t="str">
        <x:v>航海长</x:v>
      </x:c>
      <x:c r="C8" s="13" t="str">
        <x:v>旗舰/各船</x:v>
      </x:c>
      <x:c r="D8" s="13" t="str">
        <x:v>规划远洋航线、季风窗口与补给港；提出捷径</x:v>
      </x:c>
      <x:c r="E8" s="13" t="str">
        <x:v>航海/学识</x:v>
      </x:c>
      <x:c r="F8" s="13" t="str">
        <x:v>仍可手动航行，航线只标已知港口</x:v>
      </x:c>
      <x:c r="G8" s="13" t="str">
        <x:v>每人同一时刻任一主岗位；副岗位用于事件检定与临时接替。</x:v>
      </x:c>
    </x:row>
    <x:row r="9" ht="42" customHeight="1">
      <x:c r="A9" s="15" t="str">
        <x:v>JOB04</x:v>
      </x:c>
      <x:c r="B9" s="15" t="str">
        <x:v>操舵手</x:v>
      </x:c>
      <x:c r="C9" s="15" t="str">
        <x:v>各船</x:v>
      </x:c>
      <x:c r="D9" s="15" t="str">
        <x:v>控制转向、抢风、回转与擦礁穿行</x:v>
      </x:c>
      <x:c r="E9" s="15" t="str">
        <x:v>航海/统率</x:v>
      </x:c>
      <x:c r="F9" s="15" t="str">
        <x:v>普通水手操舵，采用船型基础转向数值</x:v>
      </x:c>
      <x:c r="G9" s="15" t="str">
        <x:v>每人同一时刻任一主岗位；副岗位用于事件检定与临时接替。</x:v>
      </x:c>
    </x:row>
    <x:row r="10" ht="42" customHeight="1">
      <x:c r="A10" s="13" t="str">
        <x:v>JOB05</x:v>
      </x:c>
      <x:c r="B10" s="13" t="str">
        <x:v>帆缆长</x:v>
      </x:c>
      <x:c r="C10" s="13" t="str">
        <x:v>各船</x:v>
      </x:c>
      <x:c r="D10" s="13" t="str">
        <x:v>切换帆装姿态、抢修帆缆、利用阵风加速</x:v>
      </x:c>
      <x:c r="E10" s="13" t="str">
        <x:v>航海/白刃</x:v>
      </x:c>
      <x:c r="F10" s="13" t="str">
        <x:v>水手正常收放帆，不能发动专属帆技</x:v>
      </x:c>
      <x:c r="G10" s="13" t="str">
        <x:v>每人同一时刻任一主岗位；副岗位用于事件检定与临时接替。</x:v>
      </x:c>
    </x:row>
    <x:row r="11" ht="42" customHeight="1">
      <x:c r="A11" s="15" t="str">
        <x:v>JOB06</x:v>
      </x:c>
      <x:c r="B11" s="15" t="str">
        <x:v>瞭望员</x:v>
      </x:c>
      <x:c r="C11" s="15" t="str">
        <x:v>各船</x:v>
      </x:c>
      <x:c r="D11" s="15" t="str">
        <x:v>辨认舰旗、礁石、漂流物与远处天气</x:v>
      </x:c>
      <x:c r="E11" s="15" t="str">
        <x:v>航海/学识</x:v>
      </x:c>
      <x:c r="F11" s="15" t="str">
        <x:v>以船体基础视距发现目标，无主动扫描技</x:v>
      </x:c>
      <x:c r="G11" s="15" t="str">
        <x:v>每人同一时刻任一主岗位；副岗位用于事件检定与临时接替。</x:v>
      </x:c>
    </x:row>
    <x:row r="12" ht="42" customHeight="1">
      <x:c r="A12" s="13" t="str">
        <x:v>JOB07</x:v>
      </x:c>
      <x:c r="B12" s="13" t="str">
        <x:v>测绘师</x:v>
      </x:c>
      <x:c r="C12" s="13" t="str">
        <x:v>旗舰</x:v>
      </x:c>
      <x:c r="D12" s="13" t="str">
        <x:v>绘制海岸、记录深度、把探索线索转成可定位的图层</x:v>
      </x:c>
      <x:c r="E12" s="13" t="str">
        <x:v>学识/航海</x:v>
      </x:c>
      <x:c r="F12" s="13" t="str">
        <x:v>到访港可记录，精密测量探索需借助岸上测绘服务</x:v>
      </x:c>
      <x:c r="G12" s="13" t="str">
        <x:v>每人同一时刻任一主岗位；副岗位用于事件检定与临时接替。</x:v>
      </x:c>
    </x:row>
    <x:row r="13" ht="42" customHeight="1">
      <x:c r="A13" s="15" t="str">
        <x:v>JOB08</x:v>
      </x:c>
      <x:c r="B13" s="15" t="str">
        <x:v>炮术长</x:v>
      </x:c>
      <x:c r="C13" s="15" t="str">
        <x:v>各船</x:v>
      </x:c>
      <x:c r="D13" s="15" t="str">
        <x:v>选择齐射时机、瞄准部位、统一弹种</x:v>
      </x:c>
      <x:c r="E13" s="15" t="str">
        <x:v>炮术/统率</x:v>
      </x:c>
      <x:c r="F13" s="15" t="str">
        <x:v>采用自动普通舷炮射击，无特殊齐射技</x:v>
      </x:c>
      <x:c r="G13" s="15" t="str">
        <x:v>每人同一时刻任一主岗位；副岗位用于事件检定与临时接替。</x:v>
      </x:c>
    </x:row>
    <x:row r="14" ht="42" customHeight="1">
      <x:c r="A14" s="13" t="str">
        <x:v>JOB09</x:v>
      </x:c>
      <x:c r="B14" s="13" t="str">
        <x:v>登船战长</x:v>
      </x:c>
      <x:c r="C14" s="13" t="str">
        <x:v>各船</x:v>
      </x:c>
      <x:c r="D14" s="13" t="str">
        <x:v>指挥接舷队、突破舱门与控制甲板</x:v>
      </x:c>
      <x:c r="E14" s="13" t="str">
        <x:v>白刃/统率</x:v>
      </x:c>
      <x:c r="F14" s="13" t="str">
        <x:v>基础接舷可用，只按水手人数与装备计算</x:v>
      </x:c>
      <x:c r="G14" s="13" t="str">
        <x:v>每人同一时刻任一主岗位；副岗位用于事件检定与临时接替。</x:v>
      </x:c>
    </x:row>
    <x:row r="15" ht="42" customHeight="1">
      <x:c r="A15" s="15" t="str">
        <x:v>JOB10</x:v>
      </x:c>
      <x:c r="B15" s="15" t="str">
        <x:v>火药师</x:v>
      </x:c>
      <x:c r="C15" s="15" t="str">
        <x:v>各船</x:v>
      </x:c>
      <x:c r="D15" s="15" t="str">
        <x:v>调整药包、制作特殊弹、检查火炮热度</x:v>
      </x:c>
      <x:c r="E15" s="15" t="str">
        <x:v>炮术/学识</x:v>
      </x:c>
      <x:c r="F15" s="15" t="str">
        <x:v>只可使用采购的标准弹药</x:v>
      </x:c>
      <x:c r="G15" s="15" t="str">
        <x:v>每人同一时刻任一主岗位；副岗位用于事件检定与临时接替。</x:v>
      </x:c>
    </x:row>
    <x:row r="16" ht="42" customHeight="1">
      <x:c r="A16" s="13" t="str">
        <x:v>JOB11</x:v>
      </x:c>
      <x:c r="B16" s="13" t="str">
        <x:v>船匠</x:v>
      </x:c>
      <x:c r="C16" s="13" t="str">
        <x:v>各船</x:v>
      </x:c>
      <x:c r="D16" s="13" t="str">
        <x:v>海上修理、加固局部船体、部署损管材料</x:v>
      </x:c>
      <x:c r="E16" s="13" t="str">
        <x:v>学识/白刃</x:v>
      </x:c>
      <x:c r="F16" s="13" t="str">
        <x:v>水手可缓慢堵漏，完整维修回港完成</x:v>
      </x:c>
      <x:c r="G16" s="13" t="str">
        <x:v>每人同一时刻任一主岗位；副岗位用于事件检定与临时接替。</x:v>
      </x:c>
    </x:row>
    <x:row r="17" ht="42" customHeight="1">
      <x:c r="A17" s="15" t="str">
        <x:v>JOB12</x:v>
      </x:c>
      <x:c r="B17" s="15" t="str">
        <x:v>船医</x:v>
      </x:c>
      <x:c r="C17" s="15" t="str">
        <x:v>旗舰/各船</x:v>
      </x:c>
      <x:c r="D17" s="15" t="str">
        <x:v>治疗战伤、制定远航疗养与植物药方</x:v>
      </x:c>
      <x:c r="E17" s="15" t="str">
        <x:v>学识/统率</x:v>
      </x:c>
      <x:c r="F17" s="15" t="str">
        <x:v>自动休养较慢，可消耗购买的药品</x:v>
      </x:c>
      <x:c r="G17" s="15" t="str">
        <x:v>每人同一时刻任一主岗位；副岗位用于事件检定与临时接替。</x:v>
      </x:c>
    </x:row>
    <x:row r="18" ht="42" customHeight="1">
      <x:c r="A18" s="13" t="str">
        <x:v>JOB13</x:v>
      </x:c>
      <x:c r="B18" s="13" t="str">
        <x:v>主厨</x:v>
      </x:c>
      <x:c r="C18" s="13" t="str">
        <x:v>各船</x:v>
      </x:c>
      <x:c r="D18" s="13" t="str">
        <x:v>把地方食材制成航海菜谱，改变士气与补给持续性</x:v>
      </x:c>
      <x:c r="E18" s="13" t="str">
        <x:v>学识/贸易</x:v>
      </x:c>
      <x:c r="F18" s="13" t="str">
        <x:v>食物正常消耗，只有基础口粮</x:v>
      </x:c>
      <x:c r="G18" s="13" t="str">
        <x:v>每人同一时刻任一主岗位；副岗位用于事件检定与临时接替。</x:v>
      </x:c>
    </x:row>
    <x:row r="19" ht="42" customHeight="1">
      <x:c r="A19" s="15" t="str">
        <x:v>JOB14</x:v>
      </x:c>
      <x:c r="B19" s="15" t="str">
        <x:v>交易长</x:v>
      </x:c>
      <x:c r="C19" s="15" t="str">
        <x:v>旗舰</x:v>
      </x:c>
      <x:c r="D19" s="15" t="str">
        <x:v>议价、识别需求、安排组合商品与稀缺订单</x:v>
      </x:c>
      <x:c r="E19" s="15" t="str">
        <x:v>贸易/统率</x:v>
      </x:c>
      <x:c r="F19" s="15" t="str">
        <x:v>所有商品仍可按市价买卖，无专业交易技能</x:v>
      </x:c>
      <x:c r="G19" s="15" t="str">
        <x:v>每人同一时刻任一主岗位；副岗位用于事件检定与临时接替。</x:v>
      </x:c>
    </x:row>
    <x:row r="20" ht="42" customHeight="1">
      <x:c r="A20" s="13" t="str">
        <x:v>JOB15</x:v>
      </x:c>
      <x:c r="B20" s="13" t="str">
        <x:v>会计师</x:v>
      </x:c>
      <x:c r="C20" s="13" t="str">
        <x:v>旗舰/岸上</x:v>
      </x:c>
      <x:c r="D20" s="13" t="str">
        <x:v>经营账本、分批成交、预算航线与托管商馆资金</x:v>
      </x:c>
      <x:c r="E20" s="13" t="str">
        <x:v>贸易/学识</x:v>
      </x:c>
      <x:c r="F20" s="13" t="str">
        <x:v>基础损益自动记录；复杂分批与融资订单需手动操作</x:v>
      </x:c>
      <x:c r="G20" s="13" t="str">
        <x:v>每人同一时刻任一主岗位；副岗位用于事件检定与临时接替。</x:v>
      </x:c>
    </x:row>
    <x:row r="21" ht="42" customHeight="1">
      <x:c r="A21" s="15" t="str">
        <x:v>JOB16</x:v>
      </x:c>
      <x:c r="B21" s="15" t="str">
        <x:v>翻译官</x:v>
      </x:c>
      <x:c r="C21" s="15" t="str">
        <x:v>旗舰/岸上</x:v>
      </x:c>
      <x:c r="D21" s="15" t="str">
        <x:v>解释地方契约、故事与外交礼节，建立口述线索</x:v>
      </x:c>
      <x:c r="E21" s="15" t="str">
        <x:v>学识/贸易</x:v>
      </x:c>
      <x:c r="F21" s="15" t="str">
        <x:v>开放港可交易；深层谈判和部分探索须雇当地译员</x:v>
      </x:c>
      <x:c r="G21" s="15" t="str">
        <x:v>每人同一时刻任一主岗位；副岗位用于事件检定与临时接替。</x:v>
      </x:c>
    </x:row>
    <x:row r="22" ht="42" customHeight="1">
      <x:c r="A22" s="13" t="str">
        <x:v>JOB17</x:v>
      </x:c>
      <x:c r="B22" s="13" t="str">
        <x:v>博物学者</x:v>
      </x:c>
      <x:c r="C22" s="13" t="str">
        <x:v>旗舰</x:v>
      </x:c>
      <x:c r="D22" s="13" t="str">
        <x:v>观察生态与气候，制作标本图录、农艺和渔业建议</x:v>
      </x:c>
      <x:c r="E22" s="13" t="str">
        <x:v>学识/航海</x:v>
      </x:c>
      <x:c r="F22" s="13" t="str">
        <x:v>可目击景观，系统性生态调查需岸上向导</x:v>
      </x:c>
      <x:c r="G22" s="13" t="str">
        <x:v>每人同一时刻任一主岗位；副岗位用于事件检定与临时接替。</x:v>
      </x:c>
    </x:row>
    <x:row r="23" ht="42" customHeight="1">
      <x:c r="A23" s="15" t="str">
        <x:v>JOB18</x:v>
      </x:c>
      <x:c r="B23" s="15" t="str">
        <x:v>考古学者</x:v>
      </x:c>
      <x:c r="C23" s="15" t="str">
        <x:v>旗舰</x:v>
      </x:c>
      <x:c r="D23" s="15" t="str">
        <x:v>读取碑记、拼接旧海图、记录建筑与技艺</x:v>
      </x:c>
      <x:c r="E23" s="15" t="str">
        <x:v>学识/贸易</x:v>
      </x:c>
      <x:c r="F23" s="15" t="str">
        <x:v>可抵达遗迹，复杂铭文阶段需请当地学者</x:v>
      </x:c>
      <x:c r="G23" s="15" t="str">
        <x:v>每人同一时刻任一主岗位；副岗位用于事件检定与临时接替。</x:v>
      </x:c>
    </x:row>
    <x:row r="24" ht="42" customHeight="1">
      <x:c r="A24" s="13" t="str">
        <x:v>JOB19</x:v>
      </x:c>
      <x:c r="B24" s="13" t="str">
        <x:v>乐师</x:v>
      </x:c>
      <x:c r="C24" s="13" t="str">
        <x:v>旗舰/各船</x:v>
      </x:c>
      <x:c r="D24" s="13" t="str">
        <x:v>通过甲板演出与劳动号子影响士气、关系、节庆贸易</x:v>
      </x:c>
      <x:c r="E24" s="13" t="str">
        <x:v>统率/学识</x:v>
      </x:c>
      <x:c r="F24" s="13" t="str">
        <x:v>正常休息恢复士气，无演出组合技</x:v>
      </x:c>
      <x:c r="G24" s="13" t="str">
        <x:v>每人同一时刻任一主岗位；副岗位用于事件检定与临时接替。</x:v>
      </x:c>
    </x:row>
    <x:row r="25" ht="42" customHeight="1">
      <x:c r="A25" s="15" t="str">
        <x:v>JOB20</x:v>
      </x:c>
      <x:c r="B25" s="15" t="str">
        <x:v>驻港管事</x:v>
      </x:c>
      <x:c r="C25" s="15" t="str">
        <x:v>岸上</x:v>
      </x:c>
      <x:c r="D25" s="15" t="str">
        <x:v>管理单港商馆、补货、修船排期和派遣线</x:v>
      </x:c>
      <x:c r="E25" s="15" t="str">
        <x:v>贸易/统率</x:v>
      </x:c>
      <x:c r="F25" s="15" t="str">
        <x:v>商馆仅仓储；自动采购和地方事件暂停</x:v>
      </x:c>
      <x:c r="G25" s="15" t="str">
        <x:v>每人同一时刻任一主岗位；副岗位用于事件检定与临时接替。</x:v>
      </x:c>
    </x:row>
    <x:row r="26" ht="42" customHeight="1">
      <x:c r="A26" s="13" t="str">
        <x:v>JOB21</x:v>
      </x:c>
      <x:c r="B26" s="13" t="str">
        <x:v>信号官</x:v>
      </x:c>
      <x:c r="C26" s="13" t="str">
        <x:v>旗舰/各船</x:v>
      </x:c>
      <x:c r="D26" s="13" t="str">
        <x:v>用旗、灯、号声传达编队命令，识别友舰需求并缩短多舰响应</x:v>
      </x:c>
      <x:c r="E26" s="13" t="str">
        <x:v>统率/航海/学识</x:v>
      </x:c>
      <x:c r="F26" s="13" t="str">
        <x:v>可通过基础旗令指挥可见友舰；特殊天气下命令按普通延迟执行</x:v>
      </x:c>
      <x:c r="G26" s="13" t="str">
        <x:v>每人同一时刻任一主岗位；副岗位用于事件检定与临时接替。</x:v>
      </x:c>
    </x:row>
    <x:row r="27" ht="42" customHeight="1">
      <x:c r="A27" s="16" t="str">
        <x:v>JOB22</x:v>
      </x:c>
      <x:c r="B27" s="16" t="str">
        <x:v>补给长</x:v>
      </x:c>
      <x:c r="C27" s="16" t="str">
        <x:v>旗舰/各船/岸上</x:v>
      </x:c>
      <x:c r="D27" s="16" t="str">
        <x:v>安排水粮与修理材舱位、分段补给和中继仓交货</x:v>
      </x:c>
      <x:c r="E27" s="16" t="str">
        <x:v>贸易/航海/学识</x:v>
      </x:c>
      <x:c r="F27" s="16" t="str">
        <x:v>补给可由玩家手动采购分配；只显示当前库存与基础预计天数</x:v>
      </x:c>
      <x:c r="G27" s="16" t="str">
        <x:v>每人同一时刻任一主岗位；副岗位用于事件检定与临时接替。</x:v>
      </x:c>
    </x:row>
    <x:row r="28">
      <x:c r="A28" s="2"/>
      <x:c r="B28" s="2"/>
      <x:c r="C28" s="2"/>
      <x:c r="D28" s="2"/>
      <x:c r="E28" s="2"/>
      <x:c r="F28" s="2"/>
      <x:c r="G28" s="2"/>
    </x:row>
  </x:sheetData>
  <x:pageMargins left="0.7" right="0.7" top="0.75" bottom="0.75" header="0.3" footer="0.3"/>
  <x:tableParts count="1">
    <x:tablePart xmlns:r="http://schemas.openxmlformats.org/officeDocument/2006/relationships" r:id="Rf421ce20bd3144e8"/>
  </x:tableParts>
</x:worksheet>
</file>

<file path=xl/worksheets/sheet27.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44" hidden="0" customWidth="1"/>
    <x:col min="2" max="2" width="44" hidden="0" customWidth="1"/>
    <x:col min="3" max="3" width="44" hidden="0" customWidth="1"/>
    <x:col min="4" max="4" width="44" hidden="0" customWidth="1"/>
    <x:col min="5" max="5" width="44" hidden="0" customWidth="1"/>
    <x:col min="6" max="6" width="44" hidden="0" customWidth="1"/>
    <x:col min="7" max="7" width="44" hidden="0" customWidth="1"/>
    <x:col min="8" max="8" width="44" hidden="0" customWidth="1"/>
    <x:col min="9" max="9" width="44" hidden="0" customWidth="1"/>
    <x:col min="10" max="10" width="44" hidden="0" customWidth="1"/>
    <x:col min="11" max="11" width="44" hidden="0" customWidth="1"/>
  </x:cols>
  <x:sheetData>
    <x:row r="1">
      <x:c r="A1" s="2"/>
      <x:c r="B1" s="2"/>
      <x:c r="C1" s="2"/>
      <x:c r="D1" s="2"/>
      <x:c r="E1" s="2"/>
      <x:c r="F1" s="2"/>
      <x:c r="G1" s="2"/>
      <x:c r="H1" s="2"/>
      <x:c r="I1" s="2"/>
      <x:c r="J1" s="2"/>
      <x:c r="K1" s="2"/>
    </x:row>
    <x:row r="2" ht="28" customHeight="1">
      <x:c r="A2" s="3" t="str">
        <x:v>三十六段具体人物关系</x:v>
      </x:c>
      <x:c r="B2" s="2"/>
      <x:c r="C2" s="2"/>
      <x:c r="D2" s="2"/>
      <x:c r="E2" s="2"/>
      <x:c r="F2" s="2"/>
      <x:c r="G2" s="2"/>
      <x:c r="H2" s="2"/>
      <x:c r="I2" s="2"/>
      <x:c r="J2" s="2"/>
      <x:c r="K2" s="2"/>
    </x:row>
    <x:row r="3">
      <x:c r="A3" s="2"/>
      <x:c r="B3" s="2"/>
      <x:c r="C3" s="2"/>
      <x:c r="D3" s="2"/>
      <x:c r="E3" s="2"/>
      <x:c r="F3" s="2"/>
      <x:c r="G3" s="2"/>
      <x:c r="H3" s="2"/>
      <x:c r="I3" s="2"/>
      <x:c r="J3" s="2"/>
      <x:c r="K3" s="2"/>
    </x:row>
    <x:row r="4">
      <x:c r="A4" s="2"/>
      <x:c r="B4" s="2"/>
      <x:c r="C4" s="2"/>
      <x:c r="D4" s="2"/>
      <x:c r="E4" s="2"/>
      <x:c r="F4" s="2"/>
      <x:c r="G4" s="2"/>
      <x:c r="H4" s="2"/>
      <x:c r="I4" s="2"/>
      <x:c r="J4" s="2"/>
      <x:c r="K4" s="2"/>
    </x:row>
    <x:row r="5" ht="34" customHeight="1">
      <x:c r="A5" s="10" t="str">
        <x:v>关系ID</x:v>
      </x:c>
      <x:c r="B5" s="10" t="str">
        <x:v>人物A</x:v>
      </x:c>
      <x:c r="C5" s="10" t="str">
        <x:v>人物B</x:v>
      </x:c>
      <x:c r="D5" s="10" t="str">
        <x:v>关系标题</x:v>
      </x:c>
      <x:c r="E5" s="10" t="str">
        <x:v>关系变化</x:v>
      </x:c>
      <x:c r="F5" s="10" t="str">
        <x:v>触发</x:v>
      </x:c>
      <x:c r="G5" s="10" t="str">
        <x:v>矛盾与转变</x:v>
      </x:c>
      <x:c r="H5" s="10" t="str">
        <x:v>连携奖励</x:v>
      </x:c>
      <x:c r="I5" s="10" t="str">
        <x:v>代表场景</x:v>
      </x:c>
      <x:c r="J5" s="10" t="str">
        <x:v>人物A姓名</x:v>
      </x:c>
      <x:c r="K5" s="10" t="str">
        <x:v>人物B姓名</x:v>
      </x:c>
    </x:row>
    <x:row r="6" ht="42" customHeight="1">
      <x:c r="A6" s="12" t="str">
        <x:v>REL01</x:v>
      </x:c>
      <x:c r="B6" s="12" t="str">
        <x:v>C001</x:v>
      </x:c>
      <x:c r="C6" s="12" t="str">
        <x:v>C002</x:v>
      </x:c>
      <x:c r="D6" s="12" t="str">
        <x:v>霜海未沉的名字</x:v>
      </x:c>
      <x:c r="E6" s="12" t="str">
        <x:v>旧怨→证据互验→托付</x:v>
      </x:c>
      <x:c r="F6" s="12" t="str">
        <x:v>共同航行10日并收齐事故测深记录</x:v>
      </x:c>
      <x:c r="G6" s="12" t="str">
        <x:v>米克尔隐瞒曾改航线，艾尔莎暂停与他共同技能；听证后恢复</x:v>
      </x:c>
      <x:c r="H6" s="12" t="str">
        <x:v>鸦翼回转后可接霜线领航，全队获得清晰退路提示</x:v>
      </x:c>
      <x:c r="I6" s="12" t="str">
        <x:v>不是说过了吗，回港再吵</x:v>
      </x:c>
      <x:c r="J6" s="12" t="str">
        <x:v>艾尔莎·霜针</x:v>
      </x:c>
      <x:c r="K6" s="12" t="str">
        <x:v>米克尔·鸦湾</x:v>
      </x:c>
    </x:row>
    <x:row r="7" ht="42" customHeight="1">
      <x:c r="A7" s="15" t="str">
        <x:v>REL02</x:v>
      </x:c>
      <x:c r="B7" s="15" t="str">
        <x:v>C003</x:v>
      </x:c>
      <x:c r="C7" s="15" t="str">
        <x:v>C013</x:v>
      </x:c>
      <x:c r="D7" s="15" t="str">
        <x:v>两本不肯出卖的账</x:v>
      </x:c>
      <x:c r="E7" s="15" t="str">
        <x:v>试探→共谋→知己，可选成人恋爱</x:v>
      </x:c>
      <x:c r="F7" s="15" t="str">
        <x:v>完成伪造水印调查与工艺拍卖</x:v>
      </x:c>
      <x:c r="G7" s="15" t="str">
        <x:v>一方想用独家配方救家业，另一方要求作者署名；共同展会化解</x:v>
      </x:c>
      <x:c r="H7" s="15" t="str">
        <x:v>套组订单可沿用一次分批成交折算，公开作品额外文化声望</x:v>
      </x:c>
      <x:c r="I7" s="15" t="str">
        <x:v>谁先看穿谁，已经不重要了</x:v>
      </x:c>
      <x:c r="J7" s="15" t="str">
        <x:v>奥菲莉娅·洛森</x:v>
      </x:c>
      <x:c r="K7" s="15" t="str">
        <x:v>维奥莱塔·孔塔里尼</x:v>
      </x:c>
    </x:row>
    <x:row r="8" ht="42" customHeight="1">
      <x:c r="A8" s="13" t="str">
        <x:v>REL03</x:v>
      </x:c>
      <x:c r="B8" s="13" t="str">
        <x:v>C004</x:v>
      </x:c>
      <x:c r="C8" s="13" t="str">
        <x:v>C006</x:v>
      </x:c>
      <x:c r="D8" s="13" t="str">
        <x:v>小麻烦与老罗盘</x:v>
      </x:c>
      <x:c r="E8" s="13" t="str">
        <x:v>导师→信任→独立</x:v>
      </x:c>
      <x:c r="F8" s="13" t="str">
        <x:v>托比完成三份观察记录，英格丽德随队</x:v>
      </x:c>
      <x:c r="G8" s="13" t="str">
        <x:v>托比害怕犯错而不报异常，导师让他主持一次调查</x:v>
      </x:c>
      <x:c r="H8" s="13" t="str">
        <x:v>托比主持观察时获得一次导师复核提示；导师结局新增学堂授课</x:v>
      </x:c>
      <x:c r="I8" s="13" t="str">
        <x:v>这回轮到你告诉我，该往哪边看</x:v>
      </x:c>
      <x:c r="J8" s="13" t="str">
        <x:v>托比·苔页</x:v>
      </x:c>
      <x:c r="K8" s="13" t="str">
        <x:v>英格丽德·赫尔姆</x:v>
      </x:c>
    </x:row>
    <x:row r="9" ht="31" customHeight="1">
      <x:c r="A9" s="15" t="str">
        <x:v>REL04</x:v>
      </x:c>
      <x:c r="B9" s="15" t="str">
        <x:v>C005</x:v>
      </x:c>
      <x:c r="C9" s="15" t="str">
        <x:v>C028</x:v>
      </x:c>
      <x:c r="D9" s="15" t="str">
        <x:v>铁斧与木针</x:v>
      </x:c>
      <x:c r="E9" s="15" t="str">
        <x:v>技术争论→互换试件→共同设计</x:v>
      </x:c>
      <x:c r="F9" s="15" t="str">
        <x:v>同船完成两种船体修理</x:v>
      </x:c>
      <x:c r="G9" s="15" t="str">
        <x:v>争论刚性龙骨与弹性接合，试航记录证明各有适用海况</x:v>
      </x:c>
      <x:c r="H9" s="15" t="str">
        <x:v>烬斧加固和柔骨渡浪可在一场战斗分别用于不同船体段</x:v>
      </x:c>
      <x:c r="I9" s="15" t="str">
        <x:v>你的木头有脾气，我的铁也有</x:v>
      </x:c>
      <x:c r="J9" s="15" t="str">
        <x:v>西格丽德·烬斧</x:v>
      </x:c>
      <x:c r="K9" s="15" t="str">
        <x:v>拉希德·木月</x:v>
      </x:c>
    </x:row>
    <x:row r="10" ht="42" customHeight="1">
      <x:c r="A10" s="13" t="str">
        <x:v>REL05</x:v>
      </x:c>
      <x:c r="B10" s="13" t="str">
        <x:v>C007</x:v>
      </x:c>
      <x:c r="C10" s="13" t="str">
        <x:v>C067</x:v>
      </x:c>
      <x:c r="D10" s="13" t="str">
        <x:v>太阳坠与归星人</x:v>
      </x:c>
      <x:c r="E10" s="13" t="str">
        <x:v>旧友后人→平等领航者</x:v>
      </x:c>
      <x:c r="F10" s="13" t="str">
        <x:v>取得母亲海图与三套星航记录</x:v>
      </x:c>
      <x:c r="G10" s="13" t="str">
        <x:v>蕾奥诺拉想证明母亲无错，莫阿娜要求她承认未完成部分</x:v>
      </x:c>
      <x:c r="H10" s="13" t="str">
        <x:v>群星终章揭示最后坐标，可选择多传统共同署名结局</x:v>
      </x:c>
      <x:c r="I10" s="13" t="str">
        <x:v>她没走完的路，现在由你自己选</x:v>
      </x:c>
      <x:c r="J10" s="13" t="str">
        <x:v>蕾奥诺拉·瓦伦特</x:v>
      </x:c>
      <x:c r="K10" s="13" t="str">
        <x:v>莫阿娜·归星</x:v>
      </x:c>
    </x:row>
    <x:row r="11" ht="42" customHeight="1">
      <x:c r="A11" s="15" t="str">
        <x:v>REL06</x:v>
      </x:c>
      <x:c r="B11" s="15" t="str">
        <x:v>C008</x:v>
      </x:c>
      <x:c r="C11" s="15" t="str">
        <x:v>C020</x:v>
      </x:c>
      <x:c r="D11" s="15" t="str">
        <x:v>压轴之前先发薪</x:v>
      </x:c>
      <x:c r="E11" s="15" t="str">
        <x:v>互嫌→专业认可→共同舞台</x:v>
      </x:c>
      <x:c r="F11" s="15" t="str">
        <x:v>办成三港巡演</x:v>
      </x:c>
      <x:c r="G11" s="15" t="str">
        <x:v>加斯帕尔优先售票，阿瓦坚持先支付工人报酬；分红契约达成</x:v>
      </x:c>
      <x:c r="H11" s="15" t="str">
        <x:v>音乐节订单延伸至跨区套组，演出后获得邻港预约</x:v>
      </x:c>
      <x:c r="I11" s="15" t="str">
        <x:v>台上要亮，台下也得有人吃饱</x:v>
      </x:c>
      <x:c r="J11" s="15" t="str">
        <x:v>加斯帕尔·维达</x:v>
      </x:c>
      <x:c r="K11" s="15" t="str">
        <x:v>阿瓦·森巴</x:v>
      </x:c>
    </x:row>
    <x:row r="12" ht="31" customHeight="1">
      <x:c r="A12" s="13" t="str">
        <x:v>REL07</x:v>
      </x:c>
      <x:c r="B12" s="13" t="str">
        <x:v>C009</x:v>
      </x:c>
      <x:c r="C12" s="13" t="str">
        <x:v>C040</x:v>
      </x:c>
      <x:c r="D12" s="13" t="str">
        <x:v>量盐还是凭手感</x:v>
      </x:c>
      <x:c r="E12" s="13" t="str">
        <x:v>厨房争执→合作→亲如姐妹</x:v>
      </x:c>
      <x:c r="F12" s="13" t="str">
        <x:v>各做一次家乡菜并共厨三日</x:v>
      </x:c>
      <x:c r="G12" s="13" t="str">
        <x:v>两人因保存椰奶方法争执；对照航程后的味道共同修订</x:v>
      </x:c>
      <x:c r="H12" s="13" t="str">
        <x:v>解锁姜花蓝盐炖锅：长航补给与共餐关系同时获益</x:v>
      </x:c>
      <x:c r="I12" s="13" t="str">
        <x:v>这次你放盐，我来记住味道</x:v>
      </x:c>
      <x:c r="J12" s="13" t="str">
        <x:v>伊内斯·蓝盐</x:v>
      </x:c>
      <x:c r="K12" s="13" t="str">
        <x:v>米拉·姜花</x:v>
      </x:c>
    </x:row>
    <x:row r="13" ht="42" customHeight="1">
      <x:c r="A13" s="15" t="str">
        <x:v>REL08</x:v>
      </x:c>
      <x:c r="B13" s="15" t="str">
        <x:v>C010</x:v>
      </x:c>
      <x:c r="C13" s="15" t="str">
        <x:v>C052</x:v>
      </x:c>
      <x:c r="D13" s="15" t="str">
        <x:v>白梅与玫瑰的礼法</x:v>
      </x:c>
      <x:c r="E13" s="15" t="str">
        <x:v>竞争→尊重→可选成人恋爱</x:v>
      </x:c>
      <x:c r="F13" s="15" t="str">
        <x:v>两次木刀演习，双方个人线推进到公开决断</x:v>
      </x:c>
      <x:c r="G13" s="15" t="str">
        <x:v>一个强调礼节，一个强调责任；对同一不合理命令共同说不</x:v>
      </x:c>
      <x:c r="H13" s="15" t="str">
        <x:v>接舷中截步后可由另一人挑战精英，开放双人晨练场景</x:v>
      </x:c>
      <x:c r="I13" s="15" t="str">
        <x:v>下一次决斗，还请多多指教</x:v>
      </x:c>
      <x:c r="J13" s="15" t="str">
        <x:v>阿德里安·德·拉·维加</x:v>
      </x:c>
      <x:c r="K13" s="15" t="str">
        <x:v>九条澄花</x:v>
      </x:c>
    </x:row>
    <x:row r="14" ht="42" customHeight="1">
      <x:c r="A14" s="13" t="str">
        <x:v>REL09</x:v>
      </x:c>
      <x:c r="B14" s="13" t="str">
        <x:v>C011</x:v>
      </x:c>
      <x:c r="C14" s="13" t="str">
        <x:v>C054</x:v>
      </x:c>
      <x:c r="D14" s="13" t="str">
        <x:v>颜色之外的海上语言</x:v>
      </x:c>
      <x:c r="E14" s="13" t="str">
        <x:v>争论→互测→共同标准</x:v>
      </x:c>
      <x:c r="F14" s="13" t="str">
        <x:v>完成旗灯与彩焰三轮实测</x:v>
      </x:c>
      <x:c r="G14" s="13" t="str">
        <x:v>只靠颜色或只靠节拍均有遗漏；邀请全船指出看不懂的部分</x:v>
      </x:c>
      <x:c r="H14" s="13" t="str">
        <x:v>彩焰航标与三路同令共享目标，全队在烟雾中也能理解指令</x:v>
      </x:c>
      <x:c r="I14" s="13" t="str">
        <x:v>你看到的是红色，我听到的是回家</x:v>
      </x:c>
      <x:c r="J14" s="13" t="str">
        <x:v>瑟蕾丝·贝洛</x:v>
      </x:c>
      <x:c r="K14" s="13" t="str">
        <x:v>韩素绳</x:v>
      </x:c>
    </x:row>
    <x:row r="15" ht="42" customHeight="1">
      <x:c r="A15" s="15" t="str">
        <x:v>REL10</x:v>
      </x:c>
      <x:c r="B15" s="15" t="str">
        <x:v>C012</x:v>
      </x:c>
      <x:c r="C15" s="15" t="str">
        <x:v>C059</x:v>
      </x:c>
      <x:c r="D15" s="15" t="str">
        <x:v>三十年后才靠岸</x:v>
      </x:c>
      <x:c r="E15" s="15" t="str">
        <x:v>愤怒→坦白→由等待者决定</x:v>
      </x:c>
      <x:c r="F15" s="15" t="str">
        <x:v>未寄出的信交到卡塔莉娜手中</x:v>
      </x:c>
      <x:c r="G15" s="15" t="str">
        <x:v>埃斯特万试图用传奇掩饰害怕，卡塔莉娜拒绝代替祖母原谅</x:v>
      </x:c>
      <x:c r="H15" s="15" t="str">
        <x:v>旧信串出三处海图地点，开放纪念画展与告别结局</x:v>
      </x:c>
      <x:c r="I15" s="15" t="str">
        <x:v>这次请别只把故事留在码头</x:v>
      </x:c>
      <x:c r="J15" s="15" t="str">
        <x:v>埃斯特万·旧潮</x:v>
      </x:c>
      <x:c r="K15" s="15" t="str">
        <x:v>卡塔莉娜·未寄潮</x:v>
      </x:c>
    </x:row>
    <x:row r="16" ht="42" customHeight="1">
      <x:c r="A16" s="13" t="str">
        <x:v>REL11</x:v>
      </x:c>
      <x:c r="B16" s="13" t="str">
        <x:v>C014</x:v>
      </x:c>
      <x:c r="C16" s="13" t="str">
        <x:v>C032</x:v>
      </x:c>
      <x:c r="D16" s="13" t="str">
        <x:v>页边容得下两种答案</x:v>
      </x:c>
      <x:c r="E16" s="13" t="str">
        <x:v>挑错→合著→深交</x:v>
      </x:c>
      <x:c r="F16" s="13" t="str">
        <x:v>共同研究两份不同语言碑记</x:v>
      </x:c>
      <x:c r="G16" s="13" t="str">
        <x:v>争执古词的唯一解释；保留两种注释并各走一条验证路线</x:v>
      </x:c>
      <x:c r="H16" s="13" t="str">
        <x:v>双页对读与碑影指路可组合缩小遗迹方向扇区</x:v>
      </x:c>
      <x:c r="I16" s="13" t="str">
        <x:v>这一页，留给后来的人继续写</x:v>
      </x:c>
      <x:c r="J16" s="13" t="str">
        <x:v>莱安德罗斯·阿斯特里斯</x:v>
      </x:c>
      <x:c r="K16" s="13" t="str">
        <x:v>萨米尔·砚星</x:v>
      </x:c>
    </x:row>
    <x:row r="17" ht="42" customHeight="1">
      <x:c r="A17" s="15" t="str">
        <x:v>REL12</x:v>
      </x:c>
      <x:c r="B17" s="15" t="str">
        <x:v>C015</x:v>
      </x:c>
      <x:c r="C17" s="15" t="str">
        <x:v>C035</x:v>
      </x:c>
      <x:c r="D17" s="15" t="str">
        <x:v>钟声与铜弦</x:v>
      </x:c>
      <x:c r="E17" s="15" t="str">
        <x:v>同行互敬→共同研发</x:v>
      </x:c>
      <x:c r="F17" s="15" t="str">
        <x:v>完成月铜炮与俯仰炮座试验</x:v>
      </x:c>
      <x:c r="G17" s="15" t="str">
        <x:v>炮手要更重，金工要能拆；用两种不同用途版本结束争论</x:v>
      </x:c>
      <x:c r="H17" s="15" t="str">
        <x:v>月铜炮可配可拆炮座，港内维护与战场瞄准动作更清楚</x:v>
      </x:c>
      <x:c r="I17" s="15" t="str">
        <x:v>好东西应该既能响，也能被修好</x:v>
      </x:c>
      <x:c r="J17" s="15" t="str">
        <x:v>奈芙丝·月铜</x:v>
      </x:c>
      <x:c r="K17" s="15" t="str">
        <x:v>达里乌什·铜弦</x:v>
      </x:c>
    </x:row>
    <x:row r="18" ht="31" customHeight="1">
      <x:c r="A18" s="13" t="str">
        <x:v>REL13</x:v>
      </x:c>
      <x:c r="B18" s="13" t="str">
        <x:v>C016</x:v>
      </x:c>
      <x:c r="C18" s="13" t="str">
        <x:v>C027</x:v>
      </x:c>
      <x:c r="D18" s="13" t="str">
        <x:v>不能挽回的那一页</x:v>
      </x:c>
      <x:c r="E18" s="13" t="str">
        <x:v>防备→互诉→合作疗养</x:v>
      </x:c>
      <x:c r="F18" s="13" t="str">
        <x:v>两位医师共同照护一次长航伤员</x:v>
      </x:c>
      <x:c r="G18" s="13" t="str">
        <x:v>罗萨里奥把失败藏起，妮娅坚持记录判断过程而不责备</x:v>
      </x:c>
      <x:c r="H18" s="13" t="str">
        <x:v>暖雨值夜与甲板诊疗接续，开放跨港医师互助任务</x:v>
      </x:c>
      <x:c r="I18" s="13" t="str">
        <x:v>我们救不了昨天，但可以一起值今晚的班</x:v>
      </x:c>
      <x:c r="J18" s="13" t="str">
        <x:v>罗萨里奥·德尔·马雷</x:v>
      </x:c>
      <x:c r="K18" s="13" t="str">
        <x:v>妮娅·暖雨</x:v>
      </x:c>
    </x:row>
    <x:row r="19" ht="42" customHeight="1">
      <x:c r="A19" s="15" t="str">
        <x:v>REL14</x:v>
      </x:c>
      <x:c r="B19" s="15" t="str">
        <x:v>C017</x:v>
      </x:c>
      <x:c r="C19" s="15" t="str">
        <x:v>C051</x:v>
      </x:c>
      <x:c r="D19" s="15" t="str">
        <x:v>比日出早一分钟</x:v>
      </x:c>
      <x:c r="E19" s="15" t="str">
        <x:v>可爱竞争→互相欣赏</x:v>
      </x:c>
      <x:c r="F19" s="15" t="str">
        <x:v>完成五港对时任务</x:v>
      </x:c>
      <x:c r="G19" s="15" t="str">
        <x:v>两种计时法在摇晃船上出现偏差，两人承认各自适用条件</x:v>
      </x:c>
      <x:c r="H19" s="15" t="str">
        <x:v>潮窗导航叠加稳时校准，进入港口时显示时间误差来源</x:v>
      </x:c>
      <x:c r="I19" s="15" t="str">
        <x:v>你迟到的那一分钟，我看见了日出</x:v>
      </x:c>
      <x:c r="J19" s="15" t="str">
        <x:v>梅莉娅·沙钟</x:v>
      </x:c>
      <x:c r="K19" s="15" t="str">
        <x:v>宋时雨</x:v>
      </x:c>
    </x:row>
    <x:row r="20" ht="31" customHeight="1">
      <x:c r="A20" s="13" t="str">
        <x:v>REL15</x:v>
      </x:c>
      <x:c r="B20" s="13" t="str">
        <x:v>C018</x:v>
      </x:c>
      <x:c r="C20" s="13" t="str">
        <x:v>C055</x:v>
      </x:c>
      <x:c r="D20" s="13" t="str">
        <x:v>旧旗最后一次升起</x:v>
      </x:c>
      <x:c r="E20" s="13" t="str">
        <x:v>不信任→共同清算→新同盟</x:v>
      </x:c>
      <x:c r="F20" s="13" t="str">
        <x:v>完成两份旧分赃账与一次共同护航</x:v>
      </x:c>
      <x:c r="G20" s="13" t="str">
        <x:v>旧部要求恢复掠夺，二人必须拿出可持续修船收入</x:v>
      </x:c>
      <x:c r="H20" s="13" t="str">
        <x:v>黑珍珠接舷后可发动盐玫瑰最后谈判，开放自由港联修</x:v>
      </x:c>
      <x:c r="I20" s="13" t="str">
        <x:v>旗子可以留下，人得往前走</x:v>
      </x:c>
      <x:c r="J20" s="13" t="str">
        <x:v>马里卡·黑珍珠</x:v>
      </x:c>
      <x:c r="K20" s="13" t="str">
        <x:v>伊芙琳·盐玫瑰</x:v>
      </x:c>
    </x:row>
    <x:row r="21" ht="42" customHeight="1">
      <x:c r="A21" s="15" t="str">
        <x:v>REL16</x:v>
      </x:c>
      <x:c r="B21" s="15" t="str">
        <x:v>C019</x:v>
      </x:c>
      <x:c r="C21" s="15" t="str">
        <x:v>C072</x:v>
      </x:c>
      <x:c r="D21" s="15" t="str">
        <x:v>不是只有石像会说话</x:v>
      </x:c>
      <x:c r="E21" s="15" t="str">
        <x:v>倾听→共同记录→流动展览</x:v>
      </x:c>
      <x:c r="F21" s="15" t="str">
        <x:v>访问三处社区并各完成一项日常委托</x:v>
      </x:c>
      <x:c r="G21" s="15" t="str">
        <x:v>穆萨习惯文字，兰吉重材料与制作过程；共同展现两种记录</x:v>
      </x:c>
      <x:c r="H21" s="15" t="str">
        <x:v>艺术探索追加口述与制作双层记录，解锁流动展览任务</x:v>
      </x:c>
      <x:c r="I21" s="15" t="str">
        <x:v>先坐下来，故事会等我们把饭吃完</x:v>
      </x:c>
      <x:c r="J21" s="15" t="str">
        <x:v>穆萨·迪亚洛</x:v>
      </x:c>
      <x:c r="K21" s="15" t="str">
        <x:v>兰吉·刻潮</x:v>
      </x:c>
    </x:row>
    <x:row r="22" ht="31" customHeight="1">
      <x:c r="A22" s="13" t="str">
        <x:v>REL17</x:v>
      </x:c>
      <x:c r="B22" s="13" t="str">
        <x:v>C021</x:v>
      </x:c>
      <x:c r="C22" s="13" t="str">
        <x:v>C060</x:v>
      </x:c>
      <x:c r="D22" s="13" t="str">
        <x:v>两把秤的公约</x:v>
      </x:c>
      <x:c r="E22" s="13" t="str">
        <x:v>较真→互验→制度伙伴</x:v>
      </x:c>
      <x:c r="F22" s="13" t="str">
        <x:v>完成三港贵金属品级争议</x:v>
      </x:c>
      <x:c r="G22" s="13" t="str">
        <x:v>双方单位与成色定义不同；公开换算后建立共同凭据</x:v>
      </x:c>
      <x:c r="H22" s="13" t="str">
        <x:v>贵金属公秤印记跨港通用，返还首次重复验货费</x:v>
      </x:c>
      <x:c r="I22" s="13" t="str">
        <x:v>不是信我，是让任何人都能再称一次</x:v>
      </x:c>
      <x:c r="J22" s="13" t="str">
        <x:v>阿乔娅·金棱</x:v>
      </x:c>
      <x:c r="K22" s="13" t="str">
        <x:v>华金·银衡</x:v>
      </x:c>
    </x:row>
    <x:row r="23" ht="42" customHeight="1">
      <x:c r="A23" s="15" t="str">
        <x:v>REL18</x:v>
      </x:c>
      <x:c r="B23" s="15" t="str">
        <x:v>C022</x:v>
      </x:c>
      <x:c r="C23" s="15" t="str">
        <x:v>C031</x:v>
      </x:c>
      <x:c r="D23" s="15" t="str">
        <x:v>风筝比猜测更高</x:v>
      </x:c>
      <x:c r="E23" s="15" t="str">
        <x:v>少年与导师→独立信使</x:v>
      </x:c>
      <x:c r="F23" s="15" t="str">
        <x:v>连续完成三次准确风向报告</x:v>
      </x:c>
      <x:c r="G23" s="15" t="str">
        <x:v>诺埃为表现勇敢把推测当事实；赛伊达教他标明确定与未知</x:v>
      </x:c>
      <x:c r="H23" s="15" t="str">
        <x:v>高空纸翼信息可由远镜接目广播全队，解锁邮路信号站</x:v>
      </x:c>
      <x:c r="I23" s="15" t="str">
        <x:v>看见一半，就诚实地说一半</x:v>
      </x:c>
      <x:c r="J23" s="15" t="str">
        <x:v>诺埃·风籽</x:v>
      </x:c>
      <x:c r="K23" s="15" t="str">
        <x:v>赛伊达·远镜</x:v>
      </x:c>
    </x:row>
    <x:row r="24" ht="31" customHeight="1">
      <x:c r="A24" s="13" t="str">
        <x:v>REL19</x:v>
      </x:c>
      <x:c r="B24" s="13" t="str">
        <x:v>C023</x:v>
      </x:c>
      <x:c r="C24" s="13" t="str">
        <x:v>C034</x:v>
      </x:c>
      <x:c r="D24" s="13" t="str">
        <x:v>一壶水里的两种生活</x:v>
      </x:c>
      <x:c r="E24" s="13" t="str">
        <x:v>拌嘴→共同设计→温柔默契</x:v>
      </x:c>
      <x:c r="F24" s="13" t="str">
        <x:v>旱季完成三港早餐补水订单</x:v>
      </x:c>
      <x:c r="G24" s="13" t="str">
        <x:v>扎赫拉担心耗水，努尔坚持热食价值；共同做出节水壶</x:v>
      </x:c>
      <x:c r="H24" s="13" t="str">
        <x:v>醒潮热饮耗水减少，补给规划解锁热饮优先级选项</x:v>
      </x:c>
      <x:c r="I24" s="13" t="str">
        <x:v>水要留给明天，今天也得喝一口热的</x:v>
      </x:c>
      <x:c r="J24" s="13" t="str">
        <x:v>扎赫拉·阿尔米拉</x:v>
      </x:c>
      <x:c r="K24" s="13" t="str">
        <x:v>努尔·咖啡雾</x:v>
      </x:c>
    </x:row>
    <x:row r="25" ht="31" customHeight="1">
      <x:c r="A25" s="15" t="str">
        <x:v>REL20</x:v>
      </x:c>
      <x:c r="B25" s="15" t="str">
        <x:v>C024</x:v>
      </x:c>
      <x:c r="C25" s="15" t="str">
        <x:v>C041</x:v>
      </x:c>
      <x:c r="D25" s="15" t="str">
        <x:v>一张帆上的两条故乡线</x:v>
      </x:c>
      <x:c r="E25" s="15" t="str">
        <x:v>远方笔友→联合工坊</x:v>
      </x:c>
      <x:c r="F25" s="15" t="str">
        <x:v>互换三批帆布试件并完成跨季试航</x:v>
      </x:c>
      <x:c r="G25" s="15" t="str">
        <x:v>耐用与轻量取舍争执，按船型分别给出配方</x:v>
      </x:c>
      <x:c r="H25" s="15" t="str">
        <x:v>拼片帆可加交错帆角，解锁混纤工坊订单</x:v>
      </x:c>
      <x:c r="I25" s="15" t="str">
        <x:v>这根线从你的港，缝到我的港</x:v>
      </x:c>
      <x:c r="J25" s="15" t="str">
        <x:v>马特乌斯·火山缎</x:v>
      </x:c>
      <x:c r="K25" s="15" t="str">
        <x:v>德夫·织风</x:v>
      </x:c>
    </x:row>
    <x:row r="26" ht="42" customHeight="1">
      <x:c r="A26" s="13" t="str">
        <x:v>REL21</x:v>
      </x:c>
      <x:c r="B26" s="13" t="str">
        <x:v>C025</x:v>
      </x:c>
      <x:c r="C26" s="13" t="str">
        <x:v>C045</x:v>
      </x:c>
      <x:c r="D26" s="13" t="str">
        <x:v>同一只碗的两岸</x:v>
      </x:c>
      <x:c r="E26" s="13" t="str">
        <x:v>怀疑→互证→共同展览</x:v>
      </x:c>
      <x:c r="F26" s="13" t="str">
        <x:v>在会安与基尔瓦各记录一件相关器物</x:v>
      </x:c>
      <x:c r="G26" s="13" t="str">
        <x:v>不完整片段被夸大成唯一来源，二人坚持留下推断边界</x:v>
      </x:c>
      <x:c r="H26" s="13" t="str">
        <x:v>千港一器触发跨海陶瓷系列任务，装箱贸易可承接展会订单</x:v>
      </x:c>
      <x:c r="I26" s="13" t="str">
        <x:v>它曾装过谁的晚饭，比卖过多少钱有意思</x:v>
      </x:c>
      <x:c r="J26" s="13" t="str">
        <x:v>萨菲娅·珊瑚墨</x:v>
      </x:c>
      <x:c r="K26" s="13" t="str">
        <x:v>阮绫瓷</x:v>
      </x:c>
    </x:row>
    <x:row r="27" ht="42" customHeight="1">
      <x:c r="A27" s="15" t="str">
        <x:v>REL22</x:v>
      </x:c>
      <x:c r="B27" s="15" t="str">
        <x:v>C026</x:v>
      </x:c>
      <x:c r="C27" s="15" t="str">
        <x:v>C066</x:v>
      </x:c>
      <x:c r="D27" s="15" t="str">
        <x:v>错过一季不等于失败</x:v>
      </x:c>
      <x:c r="E27" s="15" t="str">
        <x:v>倾谈→航法互补→互救</x:v>
      </x:c>
      <x:c r="F27" s="15" t="str">
        <x:v>在季风与南角各主动延后一次不适航程</x:v>
      </x:c>
      <x:c r="G27" s="15" t="str">
        <x:v>伊利亚斯怕再次久留，托马斯怕再度抢期；共同做可选航季表</x:v>
      </x:c>
      <x:c r="H27" s="15" t="str">
        <x:v>可比较两套季节计划并转存下一季中继补给</x:v>
      </x:c>
      <x:c r="I27" s="15" t="str">
        <x:v>海不催你，催你的往往是自己</x:v>
      </x:c>
      <x:c r="J27" s="15" t="str">
        <x:v>伊利亚斯·季帆</x:v>
      </x:c>
      <x:c r="K27" s="15" t="str">
        <x:v>托马斯·南折</x:v>
      </x:c>
    </x:row>
    <x:row r="28" ht="31" customHeight="1">
      <x:c r="A28" s="13" t="str">
        <x:v>REL23</x:v>
      </x:c>
      <x:c r="B28" s="13" t="str">
        <x:v>C029</x:v>
      </x:c>
      <x:c r="C28" s="13" t="str">
        <x:v>C063</x:v>
      </x:c>
      <x:c r="D28" s="13" t="str">
        <x:v>会不会想家的种子</x:v>
      </x:c>
      <x:c r="E28" s="13" t="str">
        <x:v>好奇→系统观察→共同图谱</x:v>
      </x:c>
      <x:c r="F28" s="13" t="str">
        <x:v>完成三组岛屿与大陆植物比较</x:v>
      </x:c>
      <x:c r="G28" s="13" t="str">
        <x:v>菲拉想带回所有幼苗，比阿特丽斯教她先观察成熟条件</x:v>
      </x:c>
      <x:c r="H28" s="13" t="str">
        <x:v>小温室增加观察栏位，昼夜生态链追加一段成长记录</x:v>
      </x:c>
      <x:c r="I28" s="13" t="str">
        <x:v>我们先记住它在这里怎样长大</x:v>
      </x:c>
      <x:c r="J28" s="13" t="str">
        <x:v>菲拉·叶冠</x:v>
      </x:c>
      <x:c r="K28" s="13" t="str">
        <x:v>比阿特丽斯·绿烛</x:v>
      </x:c>
    </x:row>
    <x:row r="29" ht="31" customHeight="1">
      <x:c r="A29" s="15" t="str">
        <x:v>REL24</x:v>
      </x:c>
      <x:c r="B29" s="15" t="str">
        <x:v>C030</x:v>
      </x:c>
      <x:c r="C29" s="15" t="str">
        <x:v>C058</x:v>
      </x:c>
      <x:c r="D29" s="15" t="str">
        <x:v>灯照得到的海图</x:v>
      </x:c>
      <x:c r="E29" s="15" t="str">
        <x:v>专业互敬→公共航路伙伴</x:v>
      </x:c>
      <x:c r="F29" s="15" t="str">
        <x:v>完成一处海图修订和一座灯台重建</x:v>
      </x:c>
      <x:c r="G29" s="15" t="str">
        <x:v>灯塔经验与旧测量不符，双方亲自复测而非互相否定</x:v>
      </x:c>
      <x:c r="H29" s="15" t="str">
        <x:v>灰岬基线能接入灯站报告，开放南岬公共海图</x:v>
      </x:c>
      <x:c r="I29" s="15" t="str">
        <x:v>灯照不到的地方，也该有人认真画出来</x:v>
      </x:c>
      <x:c r="J29" s="15" t="str">
        <x:v>阿玛拉·岬灯</x:v>
      </x:c>
      <x:c r="K29" s="15" t="str">
        <x:v>阿莫斯·格雷岬</x:v>
      </x:c>
    </x:row>
    <x:row r="30" ht="42" customHeight="1">
      <x:c r="A30" s="13" t="str">
        <x:v>REL25</x:v>
      </x:c>
      <x:c r="B30" s="13" t="str">
        <x:v>C036</x:v>
      </x:c>
      <x:c r="C30" s="13" t="str">
        <x:v>C050</x:v>
      </x:c>
      <x:c r="D30" s="13" t="str">
        <x:v>绯印下的小字</x:v>
      </x:c>
      <x:c r="E30" s="13" t="str">
        <x:v>代际传承→共同范本</x:v>
      </x:c>
      <x:c r="F30" s="13" t="str">
        <x:v>核实三份工资汇兑条款</x:v>
      </x:c>
      <x:c r="G30" s="13" t="str">
        <x:v>法蒂玛熟悉人情例外，映梨要求人人看得懂；把例外写成明示条款</x:v>
      </x:c>
      <x:c r="H30" s="13" t="str">
        <x:v>跨港工资合约可见责任与期限，商馆解锁海员家用汇款</x:v>
      </x:c>
      <x:c r="I30" s="13" t="str">
        <x:v>印章要够红，字也得够清楚</x:v>
      </x:c>
      <x:c r="J30" s="13" t="str">
        <x:v>法蒂玛·绯印</x:v>
      </x:c>
      <x:c r="K30" s="13" t="str">
        <x:v>杜映梨</x:v>
      </x:c>
    </x:row>
    <x:row r="31" ht="42" customHeight="1">
      <x:c r="A31" s="15" t="str">
        <x:v>REL26</x:v>
      </x:c>
      <x:c r="B31" s="15" t="str">
        <x:v>C037</x:v>
      </x:c>
      <x:c r="C31" s="15" t="str">
        <x:v>C046</x:v>
      </x:c>
      <x:c r="D31" s="15" t="str">
        <x:v>丁香从树下到餐桌</x:v>
      </x:c>
      <x:c r="E31" s="15" t="str">
        <x:v>价格对手→长期合作</x:v>
      </x:c>
      <x:c r="F31" s="15" t="str">
        <x:v>完成两季产地直购</x:v>
      </x:c>
      <x:c r="G31" s="15" t="str">
        <x:v>采购方追求低价、产地怕失去选择；约定品质阶梯与多客户份额</x:v>
      </x:c>
      <x:c r="H31" s="15" t="str">
        <x:v>花期长约支持跨港组合需求，解锁产地展示活动</x:v>
      </x:c>
      <x:c r="I31" s="15" t="str">
        <x:v>这一季是生意，下一季也还想见面</x:v>
      </x:c>
      <x:c r="J31" s="15" t="str">
        <x:v>安贾莉·莲秤</x:v>
      </x:c>
      <x:c r="K31" s="15" t="str">
        <x:v>萨莉·丁香星</x:v>
      </x:c>
    </x:row>
    <x:row r="32" ht="42" customHeight="1">
      <x:c r="A32" s="13" t="str">
        <x:v>REL27</x:v>
      </x:c>
      <x:c r="B32" s="13" t="str">
        <x:v>C038</x:v>
      </x:c>
      <x:c r="C32" s="13" t="str">
        <x:v>C053</x:v>
      </x:c>
      <x:c r="D32" s="13" t="str">
        <x:v>雷声之前先校射</x:v>
      </x:c>
      <x:c r="E32" s="13" t="str">
        <x:v>互相不服→技术搭档</x:v>
      </x:c>
      <x:c r="F32" s="13" t="str">
        <x:v>完成断桅与测距两场演习</x:v>
      </x:c>
      <x:c r="G32" s="13" t="str">
        <x:v>阿尔琼追求气势，凛久追求第一发准确；共同编写普通水手教材</x:v>
      </x:c>
      <x:c r="H32" s="13" t="str">
        <x:v>凛线校射后可用雷弦对桅段精确齐射</x:v>
      </x:c>
      <x:c r="I32" s="13" t="str">
        <x:v>你负责让他们抬头，我负责让他们看懂</x:v>
      </x:c>
      <x:c r="J32" s="13" t="str">
        <x:v>阿尔琼·雷弦</x:v>
      </x:c>
      <x:c r="K32" s="13" t="str">
        <x:v>月城凛久</x:v>
      </x:c>
    </x:row>
    <x:row r="33" ht="42" customHeight="1">
      <x:c r="A33" s="15" t="str">
        <x:v>REL28</x:v>
      </x:c>
      <x:c r="B33" s="15" t="str">
        <x:v>C039</x:v>
      </x:c>
      <x:c r="C33" s="15" t="str">
        <x:v>C061</x:v>
      </x:c>
      <x:c r="D33" s="15" t="str">
        <x:v>留在原处的颜色</x:v>
      </x:c>
      <x:c r="E33" s="15" t="str">
        <x:v>异地同行→联合修复</x:v>
      </x:c>
      <x:c r="F33" s="15" t="str">
        <x:v>两地各完成一项原位记录</x:v>
      </x:c>
      <x:c r="G33" s="15" t="str">
        <x:v>赞助人要求搬走原作，二人用临摹与工艺展证明另一条收入路线</x:v>
      </x:c>
      <x:c r="H33" s="15" t="str">
        <x:v>遗迹调查开放当地修复合作与图录套组订单</x:v>
      </x:c>
      <x:c r="I33" s="15" t="str">
        <x:v>真正把它带走的方法，是学会如何看</x:v>
      </x:c>
      <x:c r="J33" s="15" t="str">
        <x:v>帕德玛·石莲</x:v>
      </x:c>
      <x:c r="K33" s="15" t="str">
        <x:v>奈拉·日阶</x:v>
      </x:c>
    </x:row>
    <x:row r="34" ht="42" customHeight="1">
      <x:c r="A34" s="13" t="str">
        <x:v>REL29</x:v>
      </x:c>
      <x:c r="B34" s="13" t="str">
        <x:v>C042</x:v>
      </x:c>
      <x:c r="C34" s="13" t="str">
        <x:v>C064</x:v>
      </x:c>
      <x:c r="D34" s="13" t="str">
        <x:v>先听完河流说话</x:v>
      </x:c>
      <x:c r="E34" s="13" t="str">
        <x:v>严格师徒→自主引航</x:v>
      </x:c>
      <x:c r="F34" s="13" t="str">
        <x:v>完成一次雨季河口重新测深</x:v>
      </x:c>
      <x:c r="G34" s="13" t="str">
        <x:v>蒂亚戈争抢速度导致误入支汊，伊莎让他讲明自己的判断过程</x:v>
      </x:c>
      <x:c r="H34" s="13" t="str">
        <x:v>轻艇探路所得可直接更新活河道图，降低下一次引航费用</x:v>
      </x:c>
      <x:c r="I34" s="13" t="str">
        <x:v>快是你会的事，停下来是你要学的事</x:v>
      </x:c>
      <x:c r="J34" s="13" t="str">
        <x:v>伊莎·孟加拉潮</x:v>
      </x:c>
      <x:c r="K34" s="13" t="str">
        <x:v>蒂亚戈·飞沫</x:v>
      </x:c>
    </x:row>
    <x:row r="35" ht="42" customHeight="1">
      <x:c r="A35" s="15" t="str">
        <x:v>REL30</x:v>
      </x:c>
      <x:c r="B35" s="15" t="str">
        <x:v>C043</x:v>
      </x:c>
      <x:c r="C35" s="15" t="str">
        <x:v>C047</x:v>
      </x:c>
      <x:c r="D35" s="15" t="str">
        <x:v>舞步也是一种口音</x:v>
      </x:c>
      <x:c r="E35" s="15" t="str">
        <x:v>调侃→互信→行动默契</x:v>
      </x:c>
      <x:c r="F35" s="15" t="str">
        <x:v>完成一次多语审判证人护送</x:v>
      </x:c>
      <x:c r="G35" s="15" t="str">
        <x:v>拉特娜要准确叙述，拉斐尔爱拿玩笑躲开；关键证词中选择认真</x:v>
      </x:c>
      <x:c r="H35" s="15" t="str">
        <x:v>证人护送可用身体示范还原甲板事件，解锁舞台翻译场景</x:v>
      </x:c>
      <x:c r="I35" s="15" t="str">
        <x:v>你不用换一种漂亮说法，我听得懂你</x:v>
      </x:c>
      <x:c r="J35" s="15" t="str">
        <x:v>拉特娜·千结</x:v>
      </x:c>
      <x:c r="K35" s="15" t="str">
        <x:v>拉斐尔·雾刃</x:v>
      </x:c>
    </x:row>
    <x:row r="36" ht="31" customHeight="1">
      <x:c r="A36" s="13" t="str">
        <x:v>REL31</x:v>
      </x:c>
      <x:c r="B36" s="13" t="str">
        <x:v>C044</x:v>
      </x:c>
      <x:c r="C36" s="13" t="str">
        <x:v>C071</x:v>
      </x:c>
      <x:c r="D36" s="13" t="str">
        <x:v>纸鸟与贝铃的天气台</x:v>
      </x:c>
      <x:c r="E36" s="13" t="str">
        <x:v>同龄友情→共同作品</x:v>
      </x:c>
      <x:c r="F36" s="13" t="str">
        <x:v>完成五次无错传信与三次天气画记录</x:v>
      </x:c>
      <x:c r="G36" s="13" t="str">
        <x:v>一个急着看云，一个急着报讯；共同加入确认环节</x:v>
      </x:c>
      <x:c r="H36" s="13" t="str">
        <x:v>图画天气信号册让小岛也可共享暴雨方向消息</x:v>
      </x:c>
      <x:c r="I36" s="13" t="str">
        <x:v>画好了再摇铃，我等你</x:v>
      </x:c>
      <x:c r="J36" s="13" t="str">
        <x:v>巴尤·雨雀</x:v>
      </x:c>
      <x:c r="K36" s="13" t="str">
        <x:v>拉妮·贝铃</x:v>
      </x:c>
    </x:row>
    <x:row r="37" ht="42" customHeight="1">
      <x:c r="A37" s="15" t="str">
        <x:v>REL32</x:v>
      </x:c>
      <x:c r="B37" s="15" t="str">
        <x:v>C048</x:v>
      </x:c>
      <x:c r="C37" s="15" t="str">
        <x:v>C070</x:v>
      </x:c>
      <x:c r="D37" s="15" t="str">
        <x:v>脚下记得的蓝</x:v>
      </x:c>
      <x:c r="E37" s="15" t="str">
        <x:v>前辈与青年→双向教学</x:v>
      </x:c>
      <x:c r="F37" s="15" t="str">
        <x:v>共同记录三种长涌与岛岸反射</x:v>
      </x:c>
      <x:c r="G37" s="15" t="str">
        <x:v>茜蒂难描述经验，凯阿努急于证明感觉；把体感与记录并排</x:v>
      </x:c>
      <x:c r="H37" s="15" t="str">
        <x:v>深蓝侧滑后可选跨脊借浪，形成一次横流转长涌的航行演示</x:v>
      </x:c>
      <x:c r="I37" s="15" t="str">
        <x:v>不是大海变简单，是我们更会听了</x:v>
      </x:c>
      <x:c r="J37" s="15" t="str">
        <x:v>茜蒂·深蓝环</x:v>
      </x:c>
      <x:c r="K37" s="15" t="str">
        <x:v>凯阿努·浪脊</x:v>
      </x:c>
    </x:row>
    <x:row r="38" ht="31" customHeight="1">
      <x:c r="A38" s="13" t="str">
        <x:v>REL33</x:v>
      </x:c>
      <x:c r="B38" s="13" t="str">
        <x:v>C049</x:v>
      </x:c>
      <x:c r="C38" s="13" t="str">
        <x:v>C056</x:v>
      </x:c>
      <x:c r="D38" s="13" t="str">
        <x:v>两盏不同旗号的灯</x:v>
      </x:c>
      <x:c r="E38" s="13" t="str">
        <x:v>警惕→履约→可选成人恋爱</x:v>
      </x:c>
      <x:c r="F38" s="13" t="str">
        <x:v>完成跨旗共同护航与海誓线</x:v>
      </x:c>
      <x:c r="G38" s="13" t="str">
        <x:v>两方上级都要求先保本方船，二人共同承担新队形责任</x:v>
      </x:c>
      <x:c r="H38" s="13" t="str">
        <x:v>照夜合围为晨锚护舷打开谈判与撤离并行窗口</x:v>
      </x:c>
      <x:c r="I38" s="13" t="str">
        <x:v>灯留给后面的船，你和我守最后一段</x:v>
      </x:c>
      <x:c r="J38" s="13" t="str">
        <x:v>沈照夜</x:v>
      </x:c>
      <x:c r="K38" s="13" t="str">
        <x:v>朱利安·晨锚</x:v>
      </x:c>
    </x:row>
    <x:row r="39" ht="31" customHeight="1">
      <x:c r="A39" s="15" t="str">
        <x:v>REL34</x:v>
      </x:c>
      <x:c r="B39" s="15" t="str">
        <x:v>C057</x:v>
      </x:c>
      <x:c r="C39" s="15" t="str">
        <x:v>C069</x:v>
      </x:c>
      <x:c r="D39" s="15" t="str">
        <x:v>归港之前先尝一口</x:v>
      </x:c>
      <x:c r="E39" s="15" t="str">
        <x:v>朋友→共同庆典主理</x:v>
      </x:c>
      <x:c r="F39" s="15" t="str">
        <x:v>办成一次平价归港宴与公开合唱</x:v>
      </x:c>
      <x:c r="G39" s="15" t="str">
        <x:v>甜食预算与全员参与发生冲突，改用各家贡献一道菜</x:v>
      </x:c>
      <x:c r="H39" s="15" t="str">
        <x:v>庆功宴可衔接欢迎归来，共同获得节庆商品需求</x:v>
      </x:c>
      <x:c r="I39" s="15" t="str">
        <x:v>最甜的东西，是有人给你留了座位</x:v>
      </x:c>
      <x:c r="J39" s="15" t="str">
        <x:v>克莱芒汀·糖火</x:v>
      </x:c>
      <x:c r="K39" s="15" t="str">
        <x:v>希娜诺·花潮</x:v>
      </x:c>
    </x:row>
    <x:row r="40" ht="31" customHeight="1">
      <x:c r="A40" s="13" t="str">
        <x:v>REL35</x:v>
      </x:c>
      <x:c r="B40" s="13" t="str">
        <x:v>C062</x:v>
      </x:c>
      <x:c r="C40" s="13" t="str">
        <x:v>C068</x:v>
      </x:c>
      <x:c r="D40" s="13" t="str">
        <x:v>一根梁的两种答案</x:v>
      </x:c>
      <x:c r="E40" s="13" t="str">
        <x:v>技术好奇→共同试航</x:v>
      </x:c>
      <x:c r="F40" s="13" t="str">
        <x:v>交换木材试件与可拆横梁负载记录</x:v>
      </x:c>
      <x:c r="G40" s="13" t="str">
        <x:v>赤木追求耐载，双潮追求可修；共同给出不同海况配置</x:v>
      </x:c>
      <x:c r="H40" s="13" t="str">
        <x:v>双体横梁可搭配复合肋骨，开放海上工坊任务</x:v>
      </x:c>
      <x:c r="I40" s="13" t="str">
        <x:v>木头来自不同地方，也能一起承住海</x:v>
      </x:c>
      <x:c r="J40" s="13" t="str">
        <x:v>阿马鲁·赤木</x:v>
      </x:c>
      <x:c r="K40" s="13" t="str">
        <x:v>塔维塔·双潮梁</x:v>
      </x:c>
    </x:row>
    <x:row r="41" ht="42" customHeight="1">
      <x:c r="A41" s="16" t="str">
        <x:v>REL36</x:v>
      </x:c>
      <x:c r="B41" s="16" t="str">
        <x:v>C033</x:v>
      </x:c>
      <x:c r="C41" s="16" t="str">
        <x:v>C065</x:v>
      </x:c>
      <x:c r="D41" s="16" t="str">
        <x:v>两种星名，一条归途</x:v>
      </x:c>
      <x:c r="E41" s="16" t="str">
        <x:v>各自自信→互译坐标→共同领航</x:v>
      </x:c>
      <x:c r="F41" s="16" t="str">
        <x:v>记录北天与南天各两次星位，并在跨赤道航段同行</x:v>
      </x:c>
      <x:c r="G41" s="16" t="str">
        <x:v>两套命名与起算方位无法直接对读；二人保留各自故事，另建共同坐标层</x:v>
      </x:c>
      <x:c r="H41" s="16" t="str">
        <x:v>月砂星位与南天雨弓图可共同校正跨赤道定位，解锁多传统星图终章注释</x:v>
      </x:c>
      <x:c r="I41" s="16" t="str">
        <x:v>你不必改掉故乡叫它的名字，我也能跟你找到同一片海。</x:v>
      </x:c>
      <x:c r="J41" s="16" t="str">
        <x:v>蕾姆·月砂</x:v>
      </x:c>
      <x:c r="K41" s="16" t="str">
        <x:v>库耶恩·雨弓</x:v>
      </x:c>
    </x:row>
    <x:row r="42">
      <x:c r="A42" s="2"/>
      <x:c r="B42" s="2"/>
      <x:c r="C42" s="2"/>
      <x:c r="D42" s="2"/>
      <x:c r="E42" s="2"/>
      <x:c r="F42" s="2"/>
      <x:c r="G42" s="2"/>
      <x:c r="H42" s="2"/>
      <x:c r="I42" s="2"/>
      <x:c r="J42" s="2"/>
      <x:c r="K42" s="2"/>
    </x:row>
  </x:sheetData>
  <x:pageMargins left="0.7" right="0.7" top="0.75" bottom="0.75" header="0.3" footer="0.3"/>
  <x:tableParts count="1">
    <x:tablePart xmlns:r="http://schemas.openxmlformats.org/officeDocument/2006/relationships" r:id="R8e1e4e6b864e44d9"/>
  </x:tableParts>
</x:worksheet>
</file>

<file path=xl/worksheets/sheet28.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44" hidden="0" customWidth="1"/>
    <x:col min="2" max="2" width="44" hidden="0" customWidth="1"/>
    <x:col min="3" max="3" width="44" hidden="0" customWidth="1"/>
    <x:col min="4" max="4" width="44" hidden="0" customWidth="1"/>
    <x:col min="5" max="5" width="44" hidden="0" customWidth="1"/>
    <x:col min="6" max="6" width="44" hidden="0" customWidth="1"/>
    <x:col min="7" max="7" width="44" hidden="0" customWidth="1"/>
    <x:col min="8" max="8" width="44" hidden="0" customWidth="1"/>
    <x:col min="9" max="9" width="44" hidden="0" customWidth="1"/>
    <x:col min="10" max="10" width="44" hidden="0" customWidth="1"/>
    <x:col min="11" max="11" width="44" hidden="0" customWidth="1"/>
    <x:col min="12" max="12" width="44" hidden="0" customWidth="1"/>
    <x:col min="13" max="13" width="44" hidden="0" customWidth="1"/>
    <x:col min="14" max="14" width="44" hidden="0" customWidth="1"/>
    <x:col min="15" max="15" width="44" hidden="0" customWidth="1"/>
    <x:col min="16" max="16" width="44" hidden="0" customWidth="1"/>
    <x:col min="17" max="17" width="44" hidden="0" customWidth="1"/>
    <x:col min="18" max="18" width="44" hidden="0" customWidth="1"/>
    <x:col min="19" max="19" width="44" hidden="0" customWidth="1"/>
    <x:col min="20" max="20" width="44" hidden="0" customWidth="1"/>
    <x:col min="21" max="21" width="44" hidden="0" customWidth="1"/>
    <x:col min="22" max="22" width="44" hidden="0" customWidth="1"/>
  </x:cols>
  <x:sheetData>
    <x:row r="1">
      <x:c r="A1" s="2"/>
      <x:c r="B1" s="2"/>
      <x:c r="C1" s="2"/>
      <x:c r="D1" s="2"/>
      <x:c r="E1" s="2"/>
      <x:c r="F1" s="2"/>
      <x:c r="G1" s="2"/>
      <x:c r="H1" s="2"/>
      <x:c r="I1" s="2"/>
      <x:c r="J1" s="2"/>
      <x:c r="K1" s="2"/>
      <x:c r="L1" s="2"/>
      <x:c r="M1" s="2"/>
      <x:c r="N1" s="2"/>
      <x:c r="O1" s="2"/>
      <x:c r="P1" s="2"/>
      <x:c r="Q1" s="2"/>
      <x:c r="R1" s="2"/>
      <x:c r="S1" s="2"/>
      <x:c r="T1" s="2"/>
      <x:c r="U1" s="2"/>
      <x:c r="V1" s="2"/>
    </x:row>
    <x:row r="2" ht="28" customHeight="1">
      <x:c r="A2" s="3" t="str">
        <x:v>全球二十四个势力</x:v>
      </x:c>
      <x:c r="B2" s="2"/>
      <x:c r="C2" s="2"/>
      <x:c r="D2" s="2"/>
      <x:c r="E2" s="2"/>
      <x:c r="F2" s="2"/>
      <x:c r="G2" s="2"/>
      <x:c r="H2" s="2"/>
      <x:c r="I2" s="2"/>
      <x:c r="J2" s="2"/>
      <x:c r="K2" s="2"/>
      <x:c r="L2" s="2"/>
      <x:c r="M2" s="2"/>
      <x:c r="N2" s="2"/>
      <x:c r="O2" s="2"/>
      <x:c r="P2" s="2"/>
      <x:c r="Q2" s="2"/>
      <x:c r="R2" s="2"/>
      <x:c r="S2" s="2"/>
      <x:c r="T2" s="2"/>
      <x:c r="U2" s="2"/>
      <x:c r="V2" s="2"/>
    </x:row>
    <x:row r="3">
      <x:c r="A3" s="2"/>
      <x:c r="B3" s="2"/>
      <x:c r="C3" s="2"/>
      <x:c r="D3" s="2"/>
      <x:c r="E3" s="2"/>
      <x:c r="F3" s="2"/>
      <x:c r="G3" s="2"/>
      <x:c r="H3" s="2"/>
      <x:c r="I3" s="2"/>
      <x:c r="J3" s="2"/>
      <x:c r="K3" s="2"/>
      <x:c r="L3" s="2"/>
      <x:c r="M3" s="2"/>
      <x:c r="N3" s="2"/>
      <x:c r="O3" s="2"/>
      <x:c r="P3" s="2"/>
      <x:c r="Q3" s="2"/>
      <x:c r="R3" s="2"/>
      <x:c r="S3" s="2"/>
      <x:c r="T3" s="2"/>
      <x:c r="U3" s="2"/>
      <x:c r="V3" s="2"/>
    </x:row>
    <x:row r="4">
      <x:c r="A4" s="2"/>
      <x:c r="B4" s="2"/>
      <x:c r="C4" s="2"/>
      <x:c r="D4" s="2"/>
      <x:c r="E4" s="2"/>
      <x:c r="F4" s="2"/>
      <x:c r="G4" s="2"/>
      <x:c r="H4" s="2"/>
      <x:c r="I4" s="2"/>
      <x:c r="J4" s="2"/>
      <x:c r="K4" s="2"/>
      <x:c r="L4" s="2"/>
      <x:c r="M4" s="2"/>
      <x:c r="N4" s="2"/>
      <x:c r="O4" s="2"/>
      <x:c r="P4" s="2"/>
      <x:c r="Q4" s="2"/>
      <x:c r="R4" s="2"/>
      <x:c r="S4" s="2"/>
      <x:c r="T4" s="2"/>
      <x:c r="U4" s="2"/>
      <x:c r="V4" s="2"/>
    </x:row>
    <x:row r="5" ht="34" customHeight="1">
      <x:c r="A5" s="10" t="str">
        <x:v>势力ID</x:v>
      </x:c>
      <x:c r="B5" s="10" t="str">
        <x:v>海域</x:v>
      </x:c>
      <x:c r="C5" s="10" t="str">
        <x:v>势力</x:v>
      </x:c>
      <x:c r="D5" s="10" t="str">
        <x:v>势力类型</x:v>
      </x:c>
      <x:c r="E5" s="10" t="str">
        <x:v>本部港</x:v>
      </x:c>
      <x:c r="F5" s="10" t="str">
        <x:v>领袖</x:v>
      </x:c>
      <x:c r="G5" s="10" t="str">
        <x:v>核心利益</x:v>
      </x:c>
      <x:c r="H5" s="10" t="str">
        <x:v>商品偏好</x:v>
      </x:c>
      <x:c r="I5" s="10" t="str">
        <x:v>舰船文化</x:v>
      </x:c>
      <x:c r="J5" s="10" t="str">
        <x:v>对外关系</x:v>
      </x:c>
      <x:c r="K5" s="10" t="str">
        <x:v>合作奖励</x:v>
      </x:c>
      <x:c r="L5" s="10" t="str">
        <x:v>介入条件</x:v>
      </x:c>
      <x:c r="M5" s="10" t="str">
        <x:v>矛盾</x:v>
      </x:c>
      <x:c r="N5" s="10" t="str">
        <x:v>投资路线</x:v>
      </x:c>
      <x:c r="O5" s="10" t="str">
        <x:v>路线结局</x:v>
      </x:c>
      <x:c r="P5" s="10" t="str">
        <x:v>本部港ID</x:v>
      </x:c>
      <x:c r="Q5" s="10" t="str">
        <x:v>真实与架空</x:v>
      </x:c>
      <x:c r="R5" s="10" t="str">
        <x:v>具名精英对手</x:v>
      </x:c>
      <x:c r="S5" s="10" t="str">
        <x:v>招牌舰队</x:v>
      </x:c>
      <x:c r="T5" s="10" t="str">
        <x:v>海战打法</x:v>
      </x:c>
      <x:c r="U5" s="10" t="str">
        <x:v>代表争夺任务</x:v>
      </x:c>
      <x:c r="V5" s="10" t="str">
        <x:v>人物与势力矛盾</x:v>
      </x:c>
    </x:row>
    <x:row r="6" ht="42" customHeight="1">
      <x:c r="A6" s="12" t="str">
        <x:v>F01</x:v>
      </x:c>
      <x:c r="B6" s="12" t="str">
        <x:v>R01</x:v>
      </x:c>
      <x:c r="C6" s="12" t="str">
        <x:v>白桦航商同盟</x:v>
      </x:c>
      <x:c r="D6" s="12" t="str">
        <x:v>海商城市同盟</x:v>
      </x:c>
      <x:c r="E6" s="12" t="str">
        <x:v>吕贝克</x:v>
      </x:c>
      <x:c r="F6" s="12" t="str">
        <x:v>海伦娜·布洛姆／轮值商议长</x:v>
      </x:c>
      <x:c r="G6" s="12" t="str">
        <x:v>以共同仓储和公开账本重建北方粮木航线</x:v>
      </x:c>
      <x:c r="H6" s="12" t="str">
        <x:v>粮食、亚麻、铁材、毛织物</x:v>
      </x:c>
      <x:c r="I6" s="12" t="str">
        <x:v>宽腹商船与武装弗鲁特船</x:v>
      </x:c>
      <x:c r="J6" s="12" t="str">
        <x:v>F02合作但争论海图收费；F03竞争远洋订单</x:v>
      </x:c>
      <x:c r="K6" s="12" t="str">
        <x:v>北海共同仓库、跨港小额拼单、白桦商帆</x:v>
      </x:c>
      <x:c r="L6" s="12" t="str">
        <x:v>交付三港各一批民生货并公开结算</x:v>
      </x:c>
      <x:c r="M6" s="12" t="str">
        <x:v>大商家主张冻结小港交易，玩家可主持公平采购或集中大单</x:v>
      </x:c>
      <x:c r="N6" s="12" t="str">
        <x:v>投资贸易提高仓储容量，护航让冬季订单复苏</x:v>
      </x:c>
      <x:c r="O6" s="12" t="str">
        <x:v>“冬仓常开”：各成员港共享短缺预警，主角成为首位外来轮值代表</x:v>
      </x:c>
      <x:c r="P6" s="12" t="str">
        <x:v>P004</x:v>
      </x:c>
      <x:c r="Q6" s="12" t="str">
        <x:v>原创架空组织；真实港口只作地理锚点</x:v>
      </x:c>
      <x:c r="R6" s="12" t="str">
        <x:v>维克托·白账，金发单片镜、白狐领男商督</x:v>
      </x:c>
      <x:c r="S6" s="12" t="str">
        <x:v>白桦六仓队：重载商船成箱阵，护卫从空隙换边齐射</x:v>
      </x:c>
      <x:c r="T6" s="12" t="str">
        <x:v>护住货船同时用两翼封锁玩家接近航线</x:v>
      </x:c>
      <x:c r="U6" s="12" t="str">
        <x:v>雪夜粮仓争夺：抢先送粮获得公秤议席，海战目标是夺取指挥旗而非击沉货船</x:v>
      </x:c>
      <x:c r="V6" s="12" t="str">
        <x:v>相信一张账能买下一片海；玩家可用新航线或舰队突破证明他算漏了人</x:v>
      </x:c>
    </x:row>
    <x:row r="7" ht="42" customHeight="1">
      <x:c r="A7" s="15" t="str">
        <x:v>F02</x:v>
      </x:c>
      <x:c r="B7" s="15" t="str">
        <x:v>R01</x:v>
      </x:c>
      <x:c r="C7" s="15" t="str">
        <x:v>北辰海务院</x:v>
      </x:c>
      <x:c r="D7" s="15" t="str">
        <x:v>航海学院与测量舰队</x:v>
      </x:c>
      <x:c r="E7" s="15" t="str">
        <x:v>斯德哥尔摩</x:v>
      </x:c>
      <x:c r="F7" s="15" t="str">
        <x:v>卡尔·埃德伦／院长</x:v>
      </x:c>
      <x:c r="G7" s="15" t="str">
        <x:v>用公开海图、船材实验与冬航教育提升远航能力</x:v>
      </x:c>
      <x:c r="H7" s="15" t="str">
        <x:v>仪器、纸张、铜材、优质船木</x:v>
      </x:c>
      <x:c r="I7" s="15" t="str">
        <x:v>测量轻巡船、抗冰结构商船</x:v>
      </x:c>
      <x:c r="J7" s="15" t="str">
        <x:v>F01互利；F11学术竞争；F23相互修订星图</x:v>
      </x:c>
      <x:c r="K7" s="15" t="str">
        <x:v>测量仪器、冬航船体、海图研究任务</x:v>
      </x:c>
      <x:c r="L7" s="15" t="str">
        <x:v>提交三种不同海况的原始观测</x:v>
      </x:c>
      <x:c r="M7" s="15" t="str">
        <x:v>权威教授隐瞒误差，公开修图会损短期威望却扩大后续合作</x:v>
      </x:c>
      <x:c r="N7" s="15" t="str">
        <x:v>学术发现增知识影响，武装投资解锁测量护航舰</x:v>
      </x:c>
      <x:c r="O7" s="15" t="str">
        <x:v>“海图余白”：建立由渔民、学者与领航者共同校正的世界图</x:v>
      </x:c>
      <x:c r="P7" s="15" t="str">
        <x:v>P007</x:v>
      </x:c>
      <x:c r="Q7" s="15" t="str">
        <x:v>原创架空组织；真实港口只作地理锚点</x:v>
      </x:c>
      <x:c r="R7" s="15" t="str">
        <x:v>奥萝拉·雪盲，银发独眼女测量舰长</x:v>
      </x:c>
      <x:c r="S7" s="15" t="str">
        <x:v>北辰三镜队：轻测量船拉开距离，快护卫掩护观察舰</x:v>
      </x:c>
      <x:c r="T7" s="15" t="str">
        <x:v>先持续测距，再以远炮打舵，玩家可破坏观测船的视线链</x:v>
      </x:c>
      <x:c r="U7" s="15" t="str">
        <x:v>寒雾标船赛：在同一风季争取三个海图观测点</x:v>
      </x:c>
      <x:c r="V7" s="15" t="str">
        <x:v>愿赌上名望坚持旧图；证据与公平试航可让她成为学术竞争者</x:v>
      </x:c>
    </x:row>
    <x:row r="8" ht="42" customHeight="1">
      <x:c r="A8" s="13" t="str">
        <x:v>F03</x:v>
      </x:c>
      <x:c r="B8" s="13" t="str">
        <x:v>R02</x:v>
      </x:c>
      <x:c r="C8" s="13" t="str">
        <x:v>七钥港务联约</x:v>
      </x:c>
      <x:c r="D8" s="13" t="str">
        <x:v>港口自治商约</x:v>
      </x:c>
      <x:c r="E8" s="13" t="str">
        <x:v>里斯本</x:v>
      </x:c>
      <x:c r="F8" s="13" t="str">
        <x:v>杜阿尔特·塞拉／七钥执事</x:v>
      </x:c>
      <x:c r="G8" s="13" t="str">
        <x:v>以开放泊位与维修网络串联大西洋港口</x:v>
      </x:c>
      <x:c r="H8" s="13" t="str">
        <x:v>葡萄酒、盐、橄榄油、帆布</x:v>
      </x:c>
      <x:c r="I8" s="13" t="str">
        <x:v>卡拉维尔、商用卡拉克</x:v>
      </x:c>
      <x:c r="J8" s="13" t="str">
        <x:v>F04既合作又争航权；F08依赖补给中继</x:v>
      </x:c>
      <x:c r="K8" s="13" t="str">
        <x:v>七港修船折扣、跨港订单板、自由通商函</x:v>
      </x:c>
      <x:c r="L8" s="13" t="str">
        <x:v>完成一次双向贸易而非单程倾销</x:v>
      </x:c>
      <x:c r="M8" s="13" t="str">
        <x:v>王室希望独占新航线，执事内部也有人偏向特许权</x:v>
      </x:c>
      <x:c r="N8" s="13" t="str">
        <x:v>发展度投资扩码头，武装投资扩护航值班</x:v>
      </x:c>
      <x:c r="O8" s="13" t="str">
        <x:v>“钥匙归港”：新航线以轮值港务章程向所有签约船开放</x:v>
      </x:c>
      <x:c r="P8" s="13" t="str">
        <x:v>P011</x:v>
      </x:c>
      <x:c r="Q8" s="13" t="str">
        <x:v>原创架空组织；真实港口只作地理锚点</x:v>
      </x:c>
      <x:c r="R8" s="13" t="str">
        <x:v>努诺·铜钥，短卷发、笑容轻浮的港务贵公子</x:v>
      </x:c>
      <x:c r="S8" s="13" t="str">
        <x:v>七钥钥匙串：卡拉维尔诱导，武装商船守海峡中段</x:v>
      </x:c>
      <x:c r="T8" s="13" t="str">
        <x:v>用浅滩与潮窗引诱大船错失追击时机</x:v>
      </x:c>
      <x:c r="U8" s="13" t="str">
        <x:v>夜潮竞港：玩家必须先找到另一条泊港线，或拖住敌方领航船</x:v>
      </x:c>
      <x:c r="V8" s="13" t="str">
        <x:v>把码头理解成自己的客厅；输掉真正的远航后才学会尊重远客</x:v>
      </x:c>
    </x:row>
    <x:row r="9" ht="42" customHeight="1">
      <x:c r="A9" s="15" t="str">
        <x:v>F04</x:v>
      </x:c>
      <x:c r="B9" s="15" t="str">
        <x:v>R02</x:v>
      </x:c>
      <x:c r="C9" s="15" t="str">
        <x:v>朱帆王室远航厅</x:v>
      </x:c>
      <x:c r="D9" s="15" t="str">
        <x:v>王室特许远航组织</x:v>
      </x:c>
      <x:c r="E9" s="15" t="str">
        <x:v>塞维利亚</x:v>
      </x:c>
      <x:c r="F9" s="15" t="str">
        <x:v>阿蕾西亚·德·阿尔巴／海务总监</x:v>
      </x:c>
      <x:c r="G9" s="15" t="str">
        <x:v>寻找稳定外海航路，用大远征赢取王室声望</x:v>
      </x:c>
      <x:c r="H9" s="15" t="str">
        <x:v>白银、香料、帆布、仪器</x:v>
      </x:c>
      <x:c r="I9" s="15" t="str">
        <x:v>远航盖伦、炮列战舰</x:v>
      </x:c>
      <x:c r="J9" s="15" t="str">
        <x:v>F03航权竞争；F19护商合作；F20警惕私掠转型</x:v>
      </x:c>
      <x:c r="K9" s="15" t="str">
        <x:v>皇家船坞大船、远航预付款、朱帆仪仗</x:v>
      </x:c>
      <x:c r="L9" s="15" t="str">
        <x:v>取得跨洋航行记录并完成一项测量委托</x:v>
      </x:c>
      <x:c r="M9" s="15" t="str">
        <x:v>贵族赞助人要求封存发现，玩家可争取公开特许或接受独占报酬</x:v>
      </x:c>
      <x:c r="N9" s="15" t="str">
        <x:v>武装度投资扩大战舰选择，探索影响可换航权改革</x:v>
      </x:c>
      <x:c r="O9" s="15" t="str">
        <x:v>“红帆共航”公开图版；“王室航线”保留限期特许并承担护航义务</x:v>
      </x:c>
      <x:c r="P9" s="15" t="str">
        <x:v>P013</x:v>
      </x:c>
      <x:c r="Q9" s="15" t="str">
        <x:v>原创架空组织；真实港口只作地理锚点</x:v>
      </x:c>
      <x:c r="R9" s="15" t="str">
        <x:v>阿蕾西亚的副将伊斯坎·赤王冠，白金长发、黑红军装的年轻提督</x:v>
      </x:c>
      <x:c r="S9" s="15" t="str">
        <x:v>赤王冠远征队：重盖伦居中，前后两艘巡防舰控制交叉舷侧</x:v>
      </x:c>
      <x:c r="T9" s="15" t="str">
        <x:v>以中央舰强侧舷逼转，右翼截住退路；玩家可借风切断前后呼应</x:v>
      </x:c>
      <x:c r="U9" s="15" t="str">
        <x:v>无日午线：围绕一份新航图展开三阶段追逐、交涉与旗舰决斗</x:v>
      </x:c>
      <x:c r="V9" s="15" t="str">
        <x:v>认为伟大发现必须属于唯一旗号，是王室路线最强的制度与海战对手</x:v>
      </x:c>
    </x:row>
    <x:row r="10" ht="42" customHeight="1">
      <x:c r="A10" s="13" t="str">
        <x:v>F05</x:v>
      </x:c>
      <x:c r="B10" s="13" t="str">
        <x:v>R03</x:v>
      </x:c>
      <x:c r="C10" s="13" t="str">
        <x:v>琉璃共和国联商</x:v>
      </x:c>
      <x:c r="D10" s="13" t="str">
        <x:v>城市工坊与海商议会</x:v>
      </x:c>
      <x:c r="E10" s="13" t="str">
        <x:v>威尼斯</x:v>
      </x:c>
      <x:c r="F10" s="13" t="str">
        <x:v>卢琪娅·维特拉／工艺执政</x:v>
      </x:c>
      <x:c r="G10" s="13" t="str">
        <x:v>维持高质量手工业与跨海转口贸易</x:v>
      </x:c>
      <x:c r="H10" s="13" t="str">
        <x:v>玻璃、染料、丝绸、精密仪器</x:v>
      </x:c>
      <x:c r="I10" s="13" t="str">
        <x:v>加莱赛桨帆舰、精工快商船</x:v>
      </x:c>
      <x:c r="J10" s="13" t="str">
        <x:v>F06维持海峡交易；F18工艺竞争；F15展会合作</x:v>
      </x:c>
      <x:c r="K10" s="13" t="str">
        <x:v>玻璃观测镜、船窗工艺、跨文化套组订单</x:v>
      </x:c>
      <x:c r="L10" s="13" t="str">
        <x:v>鉴定三件工艺品并把作者写入展录</x:v>
      </x:c>
      <x:c r="M10" s="13" t="str">
        <x:v>工坊垄断与创作者署名发生冲突，决定知识传播方式</x:v>
      </x:c>
      <x:c r="N10" s="13" t="str">
        <x:v>发展度解锁奢工链，武装度解锁桨帆护卫舰</x:v>
      </x:c>
      <x:c r="O10" s="13" t="str">
        <x:v>“万花工坊”：港口成为创作者共同展场，高档与平价工艺并存</x:v>
      </x:c>
      <x:c r="P10" s="13" t="str">
        <x:v>P023</x:v>
      </x:c>
      <x:c r="Q10" s="13" t="str">
        <x:v>原创架空组织；真实港口只作地理锚点</x:v>
      </x:c>
      <x:c r="R10" s="13" t="str">
        <x:v>克洛迪娅·碎镜，黑发金眼、半面琉璃面具的商会女剑士</x:v>
      </x:c>
      <x:c r="S10" s="13" t="str">
        <x:v>万镜桨帆队：加莱赛火力岛，快桨船从侧后抢接舷</x:v>
      </x:c>
      <x:c r="T10" s="13" t="str">
        <x:v>通过人力机动在弱风海区包围，失去桨列后阵形显著变慢</x:v>
      </x:c>
      <x:c r="U10" s="13" t="str">
        <x:v>水上竞拍：护送最后一批高纯玻璃样品，同时阻断对方截货船</x:v>
      </x:c>
      <x:c r="V10" s="13" t="str">
        <x:v>可以微笑着买断整个展览，却不愿作品上出现工匠姓名</x:v>
      </x:c>
    </x:row>
    <x:row r="11" ht="42" customHeight="1">
      <x:c r="A11" s="15" t="str">
        <x:v>F06</x:v>
      </x:c>
      <x:c r="B11" s="15" t="str">
        <x:v>R03</x:v>
      </x:c>
      <x:c r="C11" s="15" t="str">
        <x:v>新月灯塔议会</x:v>
      </x:c>
      <x:c r="D11" s="15" t="str">
        <x:v>海峡港口与铸造学院联席</x:v>
      </x:c>
      <x:c r="E11" s="15" t="str">
        <x:v>君士坦丁堡</x:v>
      </x:c>
      <x:c r="F11" s="15" t="str">
        <x:v>塞莉姆·乌斯塔／首席匠师</x:v>
      </x:c>
      <x:c r="G11" s="15" t="str">
        <x:v>让海峡税收换成可见的灯塔、船坞与航道服务</x:v>
      </x:c>
      <x:c r="H11" s="15" t="str">
        <x:v>铜材、锡、香料、粮食</x:v>
      </x:c>
      <x:c r="I11" s="15" t="str">
        <x:v>地中海桨帆舰、月铜重炮船</x:v>
      </x:c>
      <x:c r="J11" s="15" t="str">
        <x:v>F05贸易互赖；F11星位标准争论；F04竞争军需</x:v>
      </x:c>
      <x:c r="K11" s="15" t="str">
        <x:v>月铜炮、海峡灯塔图、转口保税仓</x:v>
      </x:c>
      <x:c r="L11" s="15" t="str">
        <x:v>修复三座海标并交付一次灾后粮单</x:v>
      </x:c>
      <x:c r="M11" s="15" t="str">
        <x:v>军务派要求税款造炮，商港派要求疏航道，可提出分期公共工程</x:v>
      </x:c>
      <x:c r="N11" s="15" t="str">
        <x:v>武装投资铸炮，贸易投资疏浚与夜航灯列</x:v>
      </x:c>
      <x:c r="O11" s="15" t="str">
        <x:v>“千灯照海”：税收用途成为公开工程，敌旗商船也可缴费通行</x:v>
      </x:c>
      <x:c r="P11" s="15" t="str">
        <x:v>P032</x:v>
      </x:c>
      <x:c r="Q11" s="15" t="str">
        <x:v>原创架空组织；真实港口只作地理锚点</x:v>
      </x:c>
      <x:c r="R11" s="15" t="str">
        <x:v>巴赫里·昼钟，银胡须、深绿礼服的铸炮舰长</x:v>
      </x:c>
      <x:c r="S11" s="15" t="str">
        <x:v>月铜钟列：重炮桨帆舰配两艘信号艇</x:v>
      </x:c>
      <x:c r="T11" s="15" t="str">
        <x:v>远炮压制，信号艇引导逐次齐射；玩家可先夺信号节奏</x:v>
      </x:c>
      <x:c r="U11" s="15" t="str">
        <x:v>海峡三次钟：利用灯塔光束辨出真正装载谈判代表的船</x:v>
      </x:c>
      <x:c r="V11" s="15" t="str">
        <x:v>把每场战争当一场必须精确落幕的音乐，讨厌临场变通</x:v>
      </x:c>
    </x:row>
    <x:row r="12" ht="42" customHeight="1">
      <x:c r="A12" s="13" t="str">
        <x:v>F07</x:v>
      </x:c>
      <x:c r="B12" s="13" t="str">
        <x:v>R04</x:v>
      </x:c>
      <x:c r="C12" s="13" t="str">
        <x:v>黄金海岸公秤会</x:v>
      </x:c>
      <x:c r="D12" s="13" t="str">
        <x:v>生产者与金工共同体</x:v>
      </x:c>
      <x:c r="E12" s="13" t="str">
        <x:v>埃尔米纳</x:v>
      </x:c>
      <x:c r="F12" s="13" t="str">
        <x:v>夸梅·阿桑特／公秤主持</x:v>
      </x:c>
      <x:c r="G12" s="13" t="str">
        <x:v>让原产地质量、计量与报酬被跨洋市场承认</x:v>
      </x:c>
      <x:c r="H12" s="13" t="str">
        <x:v>黄金、金工饰品、胡椒类香料、棉布</x:v>
      </x:c>
      <x:c r="I12" s="13" t="str">
        <x:v>沿岸桨帆船与大西洋武装商船</x:v>
      </x:c>
      <x:c r="J12" s="13" t="str">
        <x:v>F08信息互助；F21共定贵金属秤约；F01品质竞争</x:v>
      </x:c>
      <x:c r="K12" s="13" t="str">
        <x:v>原产地直采、金工工艺、公秤认证</x:v>
      </x:c>
      <x:c r="L12" s="13" t="str">
        <x:v>纠正三笔成色争议并完成合作订单</x:v>
      </x:c>
      <x:c r="M12" s="13" t="str">
        <x:v>外来大商团用高额预款换独占出货，玩家可设计分散长期合约</x:v>
      </x:c>
      <x:c r="N12" s="13" t="str">
        <x:v>发展度提高工艺品种，护航提高外港订单信心</x:v>
      </x:c>
      <x:c r="O12" s="13" t="str">
        <x:v>“金秤向海”：生产者共同拥有商馆，港口特产获得长期品级溢价</x:v>
      </x:c>
      <x:c r="P12" s="13" t="str">
        <x:v>P041</x:v>
      </x:c>
      <x:c r="Q12" s="13" t="str">
        <x:v>原创架空组织；真实港口只作地理锚点</x:v>
      </x:c>
      <x:c r="R12" s="13" t="str">
        <x:v>艾西·金矛，深肤高辫、金白短披风的护市女船长</x:v>
      </x:c>
      <x:c r="S12" s="13" t="str">
        <x:v>金棱护市队：沿岸快桨船护住两艘金工商船</x:v>
      </x:c>
      <x:c r="T12" s="13" t="str">
        <x:v>贴岸抢风，以小艇切断敌舰登船钩，再集火越界者</x:v>
      </x:c>
      <x:c r="U12" s="13" t="str">
        <x:v>金秤封港日：真假货单同时抵达，先完成验货的一方掌握合法出港权</x:v>
      </x:c>
      <x:c r="V12" s="13" t="str">
        <x:v>尊重强者但更尊重履约；最初把玩家当成又一位想压价的人</x:v>
      </x:c>
    </x:row>
    <x:row r="13" ht="42" customHeight="1">
      <x:c r="A13" s="15" t="str">
        <x:v>F08</x:v>
      </x:c>
      <x:c r="B13" s="15" t="str">
        <x:v>R04</x:v>
      </x:c>
      <x:c r="C13" s="15" t="str">
        <x:v>赤道信风邮盟</x:v>
      </x:c>
      <x:c r="D13" s="15" t="str">
        <x:v>群岛邮船与补给港联盟</x:v>
      </x:c>
      <x:c r="E13" s="15" t="str">
        <x:v>里贝拉格兰德</x:v>
      </x:c>
      <x:c r="F13" s="15" t="str">
        <x:v>罗莎·文图／邮盟总领</x:v>
      </x:c>
      <x:c r="G13" s="15" t="str">
        <x:v>让小岛在跨洋贸易中拥有信息和补给收益</x:v>
      </x:c>
      <x:c r="H13" s="15" t="str">
        <x:v>粮食、干鱼、糖、绳索</x:v>
      </x:c>
      <x:c r="I13" s="15" t="str">
        <x:v>轻型卡拉维尔、邮运快帆</x:v>
      </x:c>
      <x:c r="J13" s="15" t="str">
        <x:v>F03中继伙伴；F07共享行情；F19跨洋邮运</x:v>
      </x:c>
      <x:c r="K13" s="15" t="str">
        <x:v>信风邮袋、气候预报、岛链补给套餐</x:v>
      </x:c>
      <x:c r="L13" s="15" t="str">
        <x:v>把三封跨区域家书准时送达</x:v>
      </x:c>
      <x:c r="M13" s="15" t="str">
        <x:v>财务官想先送富商信件，水手要求公共邮路，可设分层收费补贴常邮</x:v>
      </x:c>
      <x:c r="N13" s="15" t="str">
        <x:v>发展度建信号站，武装度配护航邮船</x:v>
      </x:c>
      <x:c r="O13" s="15" t="str">
        <x:v>“每座岛都有回信”：岛港成为可预订的中继节点，故事消息先于价格到港</x:v>
      </x:c>
      <x:c r="P13" s="15" t="str">
        <x:v>P040</x:v>
      </x:c>
      <x:c r="Q13" s="15" t="str">
        <x:v>原创架空组织；真实港口只作地理锚点</x:v>
      </x:c>
      <x:c r="R13" s="15" t="str">
        <x:v>洛伦索·灰信，灰卷发、墨蓝邮衣的失意老邮船长</x:v>
      </x:c>
      <x:c r="S13" s="15" t="str">
        <x:v>灰信疾邮队：三艘远洋快帆分散携带同一封信的不同页</x:v>
      </x:c>
      <x:c r="T13" s="15" t="str">
        <x:v>不求缠斗，分散航向拖过天气窗；玩家可用风道判断真页所在</x:v>
      </x:c>
      <x:c r="U13" s="15" t="str">
        <x:v>七封落日信：在封航之前交齐失散信页</x:v>
      </x:c>
      <x:c r="V13" s="15" t="str">
        <x:v>曾因一封迟到的信失去家人，后来把按时送达看得高于全部规则</x:v>
      </x:c>
    </x:row>
    <x:row r="14" ht="42" customHeight="1">
      <x:c r="A14" s="13" t="str">
        <x:v>F09</x:v>
      </x:c>
      <x:c r="B14" s="13" t="str">
        <x:v>R05</x:v>
      </x:c>
      <x:c r="C14" s="13" t="str">
        <x:v>珊瑚庭商盟</x:v>
      </x:c>
      <x:c r="D14" s="13" t="str">
        <x:v>斯瓦希里港口学馆与商家联盟</x:v>
      </x:c>
      <x:c r="E14" s="13" t="str">
        <x:v>基尔瓦</x:v>
      </x:c>
      <x:c r="F14" s="13" t="str">
        <x:v>阿米娜·本特·萨利姆／商学代表</x:v>
      </x:c>
      <x:c r="G14" s="13" t="str">
        <x:v>以季风贸易和共同知识重建珊瑚城的国际联系</x:v>
      </x:c>
      <x:c r="H14" s="13" t="str">
        <x:v>棉布、陶瓷、香料、黄金</x:v>
      </x:c>
      <x:c r="I14" s="13" t="str">
        <x:v>缝合单桅帆船、远洋巴格拉</x:v>
      </x:c>
      <x:c r="J14" s="13" t="str">
        <x:v>F13古老商路伙伴；F17瓷器学术往来；F10共同救援</x:v>
      </x:c>
      <x:c r="K14" s="13" t="str">
        <x:v>季风合约、珊瑚石工艺、跨洋遗迹调查</x:v>
      </x:c>
      <x:c r="L14" s="13" t="str">
        <x:v>交回一份带有本地共同署名的海外调查</x:v>
      </x:c>
      <x:c r="M14" s="13" t="str">
        <x:v>商家希望迅速售出旧物，学馆主张原位记录，可举办临摹与当代工艺展</x:v>
      </x:c>
      <x:c r="N14" s="13" t="str">
        <x:v>贸易投资开新工坊，探索影响推进学馆和旧航图</x:v>
      </x:c>
      <x:c r="O14" s="13" t="str">
        <x:v>“陶片连千港”：沿古贸易线解锁双向工艺与研究订单</x:v>
      </x:c>
      <x:c r="P14" s="13" t="str">
        <x:v>P046</x:v>
      </x:c>
      <x:c r="Q14" s="13" t="str">
        <x:v>原创架空组织；真实港口只作地理锚点</x:v>
      </x:c>
      <x:c r="R14" s="13" t="str">
        <x:v>哈米德·深瓷，乌发银冠、苍青长袍的收藏商督</x:v>
      </x:c>
      <x:c r="S14" s="13" t="str">
        <x:v>珊瑚夜市队：高艉商船藏护卫，薄雾中逐一揭旗</x:v>
      </x:c>
      <x:c r="T14" s="13" t="str">
        <x:v>以外观相近船迷惑目标，受炮击后重新分队</x:v>
      </x:c>
      <x:c r="U14" s="13" t="str">
        <x:v>瓷片竞航：两支船队分别追寻同一古商路，玩家可选择竞争或交换半张图</x:v>
      </x:c>
      <x:c r="V14" s="13" t="str">
        <x:v>追逐完整无缺的唯一器物，逐步被破碎却有来历的图录打动</x:v>
      </x:c>
    </x:row>
    <x:row r="15" ht="42" customHeight="1">
      <x:c r="A15" s="15" t="str">
        <x:v>F10</x:v>
      </x:c>
      <x:c r="B15" s="15" t="str">
        <x:v>R05</x:v>
      </x:c>
      <x:c r="C15" s="15" t="str">
        <x:v>南岬灯塔公社</x:v>
      </x:c>
      <x:c r="D15" s="15" t="str">
        <x:v>引航、渔民与救援船共同体</x:v>
      </x:c>
      <x:c r="E15" s="15" t="str">
        <x:v>开普敦</x:v>
      </x:c>
      <x:c r="F15" s="15" t="str">
        <x:v>约纳斯·斯托姆／灯台协调员</x:v>
      </x:c>
      <x:c r="G15" s="15" t="str">
        <x:v>将绕岬航线从个人冒险变成共同维护的海路</x:v>
      </x:c>
      <x:c r="H15" s="15" t="str">
        <x:v>船木、铁材、帆布、干粮</x:v>
      </x:c>
      <x:c r="I15" s="15" t="str">
        <x:v>抗浪远航商船、救援轻巡船</x:v>
      </x:c>
      <x:c r="J15" s="15" t="str">
        <x:v>F09季风接力；F19护商伙伴；F04协商灯税</x:v>
      </x:c>
      <x:c r="K15" s="15" t="str">
        <x:v>岬角天气图、救援船型、灯站中继补给</x:v>
      </x:c>
      <x:c r="L15" s="15" t="str">
        <x:v>在风季前完成灯站补给并救回失联船</x:v>
      </x:c>
      <x:c r="M15" s="15" t="str">
        <x:v>大船队要求专属灯位，公社坚持公共夜航，可按用量收费维持共有</x:v>
      </x:c>
      <x:c r="N15" s="15" t="str">
        <x:v>武装度提升救援拖曳能力，发展度提升补给连续性</x:v>
      </x:c>
      <x:c r="O15" s="15" t="str">
        <x:v>“灯火绕岬”：任何归港船都能登记见到的险情与缺口</x:v>
      </x:c>
      <x:c r="P15" s="15" t="str">
        <x:v>P043</x:v>
      </x:c>
      <x:c r="Q15" s="15" t="str">
        <x:v>原创架空组织；真实港口只作地理锚点</x:v>
      </x:c>
      <x:c r="R15" s="15" t="str">
        <x:v>维拉·岬风，铜肤黑短发、橙色救援披风的舰队长</x:v>
      </x:c>
      <x:c r="S15" s="15" t="str">
        <x:v>岬风拖曳队：救援船在中，双护卫以拖索互换位置</x:v>
      </x:c>
      <x:c r="T15" s="15" t="str">
        <x:v>用拖曳改变一艘友船朝向，让敌人无法预测下一侧舷</x:v>
      </x:c>
      <x:c r="U15" s="15" t="str">
        <x:v>风眼拖船赛：无论双方立场，目标都是把搁浅旗舰带离浪墙</x:v>
      </x:c>
      <x:c r="V15" s="15" t="str">
        <x:v>相信能力必须在坏天气里算数，强硬但会记住每个回来的人</x:v>
      </x:c>
    </x:row>
    <x:row r="16" ht="42" customHeight="1">
      <x:c r="A16" s="13" t="str">
        <x:v>F11</x:v>
      </x:c>
      <x:c r="B16" s="13" t="str">
        <x:v>R06</x:v>
      </x:c>
      <x:c r="C16" s="13" t="str">
        <x:v>星月领航院</x:v>
      </x:c>
      <x:c r="D16" s="13" t="str">
        <x:v>天文与传统领航学会</x:v>
      </x:c>
      <x:c r="E16" s="13" t="str">
        <x:v>马斯喀特</x:v>
      </x:c>
      <x:c r="F16" s="13" t="str">
        <x:v>玛丽娅姆·纳吉姆／星表编者</x:v>
      </x:c>
      <x:c r="G16" s="13" t="str">
        <x:v>比较不同航法，把可靠知识教给愿意学习的船员</x:v>
      </x:c>
      <x:c r="H16" s="13" t="str">
        <x:v>仪器、纸张、珍珠、铜器</x:v>
      </x:c>
      <x:c r="I16" s="13" t="str">
        <x:v>阿拉伯长三角帆船、轻型测量船</x:v>
      </x:c>
      <x:c r="J16" s="13" t="str">
        <x:v>F02友好竞争；F23互证星路；F12争论秘传收费</x:v>
      </x:c>
      <x:c r="K16" s="13" t="str">
        <x:v>夜航星表、定向工具、低月光航程</x:v>
      </x:c>
      <x:c r="L16" s="13" t="str">
        <x:v>记录三次夜航并解释测量方法</x:v>
      </x:c>
      <x:c r="M16" s="13" t="str">
        <x:v>家门派主张只传亲族，学会派主张开课，玩家可用公开试航赢取支持</x:v>
      </x:c>
      <x:c r="N16" s="13" t="str">
        <x:v>探索影响解锁高阶星图，贸易投资资助公开教学</x:v>
      </x:c>
      <x:c r="O16" s="13" t="str">
        <x:v>“两岸同星”：多套星名对应同一片天，各自传统保留而共同导航</x:v>
      </x:c>
      <x:c r="P16" s="13" t="str">
        <x:v>P055</x:v>
      </x:c>
      <x:c r="Q16" s="13" t="str">
        <x:v>原创架空组织；真实港口只作地理锚点</x:v>
      </x:c>
      <x:c r="R16" s="13" t="str">
        <x:v>纳迪姆·无月，长黑发、珍珠耳坠的俊美领航贵胄</x:v>
      </x:c>
      <x:c r="S16" s="13" t="str">
        <x:v>无月三帆队：长三角帆快船分居不同风角</x:v>
      </x:c>
      <x:c r="T16" s="13" t="str">
        <x:v>通过夜色遮蔽与相反风角绕开正面炮列</x:v>
      </x:c>
      <x:c r="U16" s="13" t="str">
        <x:v>无岸星航决胜：海上持续追逐以最准时到达观测线的一方获胜</x:v>
      </x:c>
      <x:c r="V16" s="13" t="str">
        <x:v>把家传星表视作血统证明，玩家可用不同航法当面对证</x:v>
      </x:c>
    </x:row>
    <x:row r="17" ht="42" customHeight="1">
      <x:c r="A17" s="15" t="str">
        <x:v>F12</x:v>
      </x:c>
      <x:c r="B17" s="15" t="str">
        <x:v>R06</x:v>
      </x:c>
      <x:c r="C17" s="15" t="str">
        <x:v>红印驿商会</x:v>
      </x:c>
      <x:c r="D17" s="15" t="str">
        <x:v>商队驿站与汇兑商馆</x:v>
      </x:c>
      <x:c r="E17" s="15" t="str">
        <x:v>吉达</x:v>
      </x:c>
      <x:c r="F17" s="15" t="str">
        <x:v>哈桑·阿尔哈迪／驿路执事</x:v>
      </x:c>
      <x:c r="G17" s="15" t="str">
        <x:v>把陆路商队、海港与海员家庭收入连接起来</x:v>
      </x:c>
      <x:c r="H17" s="15" t="str">
        <x:v>咖啡、香木、药材、纺织品</x:v>
      </x:c>
      <x:c r="I17" s="15" t="str">
        <x:v>商队补给帆船、武装巴格拉</x:v>
      </x:c>
      <x:c r="J17" s="15" t="str">
        <x:v>F11共建航时服务；F03票据互兑；F07成色核对</x:v>
      </x:c>
      <x:c r="K17" s="15" t="str">
        <x:v>海员汇兑、驿路转运、预定陶罐水粮</x:v>
      </x:c>
      <x:c r="L17" s="15" t="str">
        <x:v>完成一份海港到商队驿站的交接单</x:v>
      </x:c>
      <x:c r="M17" s="15" t="str">
        <x:v>旧债有人想一笔勾销，有人以罚息获利，玩家可逐笔核实并重订偿还期</x:v>
      </x:c>
      <x:c r="N17" s="15" t="str">
        <x:v>发展度扩汇兑覆盖，武装度降低关键航段的停运日</x:v>
      </x:c>
      <x:c r="O17" s="15" t="str">
        <x:v>“绯印到家”：工资能跨海送达，商馆利润来自清楚可查的服务</x:v>
      </x:c>
      <x:c r="P17" s="15" t="str">
        <x:v>P053</x:v>
      </x:c>
      <x:c r="Q17" s="15" t="str">
        <x:v>原创架空组织；真实港口只作地理锚点</x:v>
      </x:c>
      <x:c r="R17" s="15" t="str">
        <x:v>莎娜·红砂，深棕肤色、红纱与铜印的汇兑女执事</x:v>
      </x:c>
      <x:c r="S17" s="15" t="str">
        <x:v>绯印长约船团：满载商船受雇佣巡防舰保护</x:v>
      </x:c>
      <x:c r="T17" s="15" t="str">
        <x:v>用数艘佣船轮流缠斗，主商船等待潮流窗口脱离</x:v>
      </x:c>
      <x:c r="U17" s="15" t="str">
        <x:v>六港兑现：同一张汇票的兑现顺序决定粮船和军需船的出港</x:v>
      </x:c>
      <x:c r="V17" s="15" t="str">
        <x:v>擅长以温柔话语换取长期依附，是商业谈判中最难缠的对手</x:v>
      </x:c>
    </x:row>
    <x:row r="18" ht="42" customHeight="1">
      <x:c r="A18" s="13" t="str">
        <x:v>F13</x:v>
      </x:c>
      <x:c r="B18" s="13" t="str">
        <x:v>R07</x:v>
      </x:c>
      <x:c r="C18" s="13" t="str">
        <x:v>莲秤香料商会</x:v>
      </x:c>
      <x:c r="D18" s="13" t="str">
        <x:v>产地买手与独立商馆联盟</x:v>
      </x:c>
      <x:c r="E18" s="13" t="str">
        <x:v>卡利卡特</x:v>
      </x:c>
      <x:c r="F18" s="13" t="str">
        <x:v>拉克希米·瓦尔玛／轮值采购长</x:v>
      </x:c>
      <x:c r="G18" s="13" t="str">
        <x:v>维持香料自由议价与多样化采购</x:v>
      </x:c>
      <x:c r="H18" s="13" t="str">
        <x:v>胡椒、姜、肉桂、棉布</x:v>
      </x:c>
      <x:c r="I18" s="13" t="str">
        <x:v>印度洋柚木商船、武装古拉布</x:v>
      </x:c>
      <x:c r="J18" s="13" t="str">
        <x:v>F09季风伙伴；F16产地谈判；F04反对永久独占</x:v>
      </x:c>
      <x:c r="K18" s="13" t="str">
        <x:v>香料长约、货品组合、海港庆典订单</x:v>
      </x:c>
      <x:c r="L18" s="13" t="str">
        <x:v>完成一条印度洋双向贸易线</x:v>
      </x:c>
      <x:c r="M18" s="13" t="str">
        <x:v>大客户要求包下整季收成，商会可选择分期交货或承担独占的供应责任</x:v>
      </x:c>
      <x:c r="N18" s="13" t="str">
        <x:v>贸易投资解锁深加工香料，武装投资扩季风护航</x:v>
      </x:c>
      <x:c r="O18" s="13" t="str">
        <x:v>“莲瓣开海”：产地、船商与消费者拥有可见的分成安排</x:v>
      </x:c>
      <x:c r="P18" s="13" t="str">
        <x:v>P062</x:v>
      </x:c>
      <x:c r="Q18" s="13" t="str">
        <x:v>原创架空组织；真实港口只作地理锚点</x:v>
      </x:c>
      <x:c r="R18" s="13" t="str">
        <x:v>维克拉姆·黑胡椒，黑发金链、紫色披帛的青年商王</x:v>
      </x:c>
      <x:c r="S18" s="13" t="str">
        <x:v>黑胡椒满舱队：快速古拉布先袭，再由武装商船封锁买方</x:v>
      </x:c>
      <x:c r="T18" s="13" t="str">
        <x:v>袭扰玩家回程补货船，正面决战时依赖舷炮与冲刺换位</x:v>
      </x:c>
      <x:c r="U18" s="13" t="str">
        <x:v>香季最后一船：抢在收获消息传遍海域前签下真正能履行的货约</x:v>
      </x:c>
      <x:c r="V18" s="13" t="str">
        <x:v>追求一季赢尽所有利润；长约竞争会暴露其没有余货的弱点</x:v>
      </x:c>
    </x:row>
    <x:row r="19" ht="42" customHeight="1">
      <x:c r="A19" s="15" t="str">
        <x:v>F14</x:v>
      </x:c>
      <x:c r="B19" s="15" t="str">
        <x:v>R07</x:v>
      </x:c>
      <x:c r="C19" s="15" t="str">
        <x:v>棉帆柚木工匠盟</x:v>
      </x:c>
      <x:c r="D19" s="15" t="str">
        <x:v>纺织与船坞合作社</x:v>
      </x:c>
      <x:c r="E19" s="15" t="str">
        <x:v>苏拉特</x:v>
      </x:c>
      <x:c r="F19" s="15" t="str">
        <x:v>普拉卡什·森／总匠师</x:v>
      </x:c>
      <x:c r="G19" s="15" t="str">
        <x:v>让本地纤维与船木形成完整远洋制造链</x:v>
      </x:c>
      <x:c r="H19" s="15" t="str">
        <x:v>棉花、棉布、柚木、铁材</x:v>
      </x:c>
      <x:c r="I19" s="15" t="str">
        <x:v>柚木商船、轻快古拉布、混合帆装</x:v>
      </x:c>
      <x:c r="J19" s="15" t="str">
        <x:v>F13经济伙伴；F24技术交换；F05采购精密工具</x:v>
      </x:c>
      <x:c r="K19" s="15" t="str">
        <x:v>交错补强帆、柚木构件、工坊试航单</x:v>
      </x:c>
      <x:c r="L19" s="15" t="str">
        <x:v>带回长航段破损部件并分享使用记录</x:v>
      </x:c>
      <x:c r="M19" s="15" t="str">
        <x:v>成名船厂想隐藏小作坊贡献，决定成品如何署名与分红</x:v>
      </x:c>
      <x:c r="N19" s="15" t="str">
        <x:v>发展度提高材料加工，武装度解锁护航船体与炮座</x:v>
      </x:c>
      <x:c r="O19" s="15" t="str">
        <x:v>“每一针都有名字”：远洋船按完整工艺链共享收益</x:v>
      </x:c>
      <x:c r="P19" s="15" t="str">
        <x:v>P060</x:v>
      </x:c>
      <x:c r="Q19" s="15" t="str">
        <x:v>原创架空组织；真实港口只作地理锚点</x:v>
      </x:c>
      <x:c r="R19" s="15" t="str">
        <x:v>塔拉·裂帆，褐肤银环、白色工装的女试航长</x:v>
      </x:c>
      <x:c r="S19" s="15" t="str">
        <x:v>裂帆试验船队：三种帆装的轻商船各取一段最佳风道</x:v>
      </x:c>
      <x:c r="T19" s="15" t="str">
        <x:v>不断更换前导船，玩家可以学习并打断接力而非硬追最快船</x:v>
      </x:c>
      <x:c r="U19" s="15" t="str">
        <x:v>九道风窗：穿越逆风、横流和雨幕，交回最完整的使用记录</x:v>
      </x:c>
      <x:c r="V19" s="15" t="str">
        <x:v>视失败试件为宝物，能够击败她也能够成为她最喜欢的合作方</x:v>
      </x:c>
    </x:row>
    <x:row r="20" ht="42" customHeight="1">
      <x:c r="A20" s="13" t="str">
        <x:v>F15</x:v>
      </x:c>
      <x:c r="B20" s="13" t="str">
        <x:v>R08</x:v>
      </x:c>
      <x:c r="C20" s="13" t="str">
        <x:v>海峡千舌议会</x:v>
      </x:c>
      <x:c r="D20" s="13" t="str">
        <x:v>多语港口自治议会</x:v>
      </x:c>
      <x:c r="E20" s="13" t="str">
        <x:v>马六甲</x:v>
      </x:c>
      <x:c r="F20" s="13" t="str">
        <x:v>陈雅莎／码头议事长</x:v>
      </x:c>
      <x:c r="G20" s="13" t="str">
        <x:v>让不同语言的船商能理解彼此的契约和风险</x:v>
      </x:c>
      <x:c r="H20" s="13" t="str">
        <x:v>丝绸、瓷器、香料、锡</x:v>
      </x:c>
      <x:c r="I20" s="13" t="str">
        <x:v>混合文化戎克商船、海峡快船</x:v>
      </x:c>
      <x:c r="J20" s="13" t="str">
        <x:v>F05展会伙伴；F17会馆协作；F16反对过高转口费</x:v>
      </x:c>
      <x:c r="K20" s="13" t="str">
        <x:v>多语词册、转口套组、会馆导航服务</x:v>
      </x:c>
      <x:c r="L20" s="13" t="str">
        <x:v>解决三起由误译引发的贸易争执</x:v>
      </x:c>
      <x:c r="M20" s="13" t="str">
        <x:v>强势商会想统一成唯一语言，码头代表要求共同可读文本</x:v>
      </x:c>
      <x:c r="N20" s="13" t="str">
        <x:v>发展度扩行会市集，探索影响扩口述线索</x:v>
      </x:c>
      <x:c r="O20" s="13" t="str">
        <x:v>“千语同港”：合同可以多种语言成立，交接行为有共通图示</x:v>
      </x:c>
      <x:c r="P20" s="13" t="str">
        <x:v>P069</x:v>
      </x:c>
      <x:c r="Q20" s="13" t="str">
        <x:v>原创架空组织；真实港口只作地理锚点</x:v>
      </x:c>
      <x:c r="R20" s="13" t="str">
        <x:v>郑三笑，黑发束巾、翠色长马甲的年轻海峡牙人</x:v>
      </x:c>
      <x:c r="S20" s="13" t="str">
        <x:v>千旗混帆队：不同船型悬不同商旗，旗舰为混合帆戎克</x:v>
      </x:c>
      <x:c r="T20" s="13" t="str">
        <x:v>让视觉身份与实际功能错位，玩家需根据信号行为辨指挥船</x:v>
      </x:c>
      <x:c r="U20" s="13" t="str">
        <x:v>千语港停战宴：一场货物、词义与假旗共同驱动的追逐战</x:v>
      </x:c>
      <x:c r="V20" s="13" t="str">
        <x:v>每句话都有两层价格，直到有人愿意听他不用做生意时的声音</x:v>
      </x:c>
    </x:row>
    <x:row r="21" ht="42" customHeight="1">
      <x:c r="A21" s="15" t="str">
        <x:v>F16</x:v>
      </x:c>
      <x:c r="B21" s="15" t="str">
        <x:v>R08</x:v>
      </x:c>
      <x:c r="C21" s="15" t="str">
        <x:v>丁香火环合作社</x:v>
      </x:c>
      <x:c r="D21" s="15" t="str">
        <x:v>香料岛种植家庭联盟</x:v>
      </x:c>
      <x:c r="E21" s="15" t="str">
        <x:v>特尔纳特</x:v>
      </x:c>
      <x:c r="F21" s="15" t="str">
        <x:v>露蒂·苏阿拉／收成召集人</x:v>
      </x:c>
      <x:c r="G21" s="15" t="str">
        <x:v>让丁香与肉豆蔻收益持续回到岛上</x:v>
      </x:c>
      <x:c r="H21" s="15" t="str">
        <x:v>丁香、肉豆蔻、椰糖、船用绳材</x:v>
      </x:c>
      <x:c r="I21" s="15" t="str">
        <x:v>香料海商戎克、快速克拉船</x:v>
      </x:c>
      <x:c r="J21" s="15" t="str">
        <x:v>F13长约伙伴；F15转口税争执；F24造船援助</x:v>
      </x:c>
      <x:c r="K21" s="15" t="str">
        <x:v>产地直购、季节预购、火山岛引航</x:v>
      </x:c>
      <x:c r="L21" s="15" t="str">
        <x:v>购买完整收成批次并参与仓库修复</x:v>
      </x:c>
      <x:c r="M21" s="15" t="str">
        <x:v>外商以军舰换独占权，玩家可帮助合作社建设自有运力</x:v>
      </x:c>
      <x:c r="N21" s="15" t="str">
        <x:v>发展度解锁高级干燥处理，武装度解锁岛际护商快船</x:v>
      </x:c>
      <x:c r="O21" s="15" t="str">
        <x:v>“花落仍有来年”：合作社拥有仓储、船与选择客户的权利</x:v>
      </x:c>
      <x:c r="P21" s="15" t="str">
        <x:v>P076</x:v>
      </x:c>
      <x:c r="Q21" s="15" t="str">
        <x:v>原创架空组织；真实港口只作地理锚点</x:v>
      </x:c>
      <x:c r="R21" s="15" t="str">
        <x:v>妮露·火冠，黑肤金眼、丁香红披风的岛卫少女队长（成年）</x:v>
      </x:c>
      <x:c r="S21" s="15" t="str">
        <x:v>火冠克拉队：岛际快船与短程炮艇穿过火山湾</x:v>
      </x:c>
      <x:c r="T21" s="15" t="str">
        <x:v>利用礁湖与浅水分割大船，逐船逼退封锁者</x:v>
      </x:c>
      <x:c r="U21" s="15" t="str">
        <x:v>灰落港湾：在火山灰改变能见度时护送工坊与种苗船通过</x:v>
      </x:c>
      <x:c r="V21" s="15" t="str">
        <x:v>宁愿与海斗也不想低头卖掉来年，敌对时成为非常顽强的岛链对手</x:v>
      </x:c>
    </x:row>
    <x:row r="22" ht="42" customHeight="1">
      <x:c r="A22" s="13" t="str">
        <x:v>F17</x:v>
      </x:c>
      <x:c r="B22" s="13" t="str">
        <x:v>R09</x:v>
      </x:c>
      <x:c r="C22" s="13" t="str">
        <x:v>四海会馆</x:v>
      </x:c>
      <x:c r="D22" s="13" t="str">
        <x:v>跨港海商与互助会馆网络</x:v>
      </x:c>
      <x:c r="E22" s="13" t="str">
        <x:v>泉州</x:v>
      </x:c>
      <x:c r="F22" s="13" t="str">
        <x:v>沈承澜／轮值会首</x:v>
      </x:c>
      <x:c r="G22" s="13" t="str">
        <x:v>用可读契约、共同护航与学馆交流连接东亚外海</x:v>
      </x:c>
      <x:c r="H22" s="13" t="str">
        <x:v>丝绸、瓷器、茶、纸张</x:v>
      </x:c>
      <x:c r="I22" s="13" t="str">
        <x:v>福船、广船、远洋沙船</x:v>
      </x:c>
      <x:c r="J22" s="13" t="str">
        <x:v>F09瓷器研究伙伴；F15互译商约；F19共同护航</x:v>
      </x:c>
      <x:c r="K22" s="13" t="str">
        <x:v>会馆宿泊、海誓船队、瓷器装箱工艺</x:v>
      </x:c>
      <x:c r="L22" s="13" t="str">
        <x:v>完成跨旗护航并归还船员私物</x:v>
      </x:c>
      <x:c r="M22" s="13" t="str">
        <x:v>会馆长老要求为本姓商船优先护航，玩家可按需求重排队列</x:v>
      </x:c>
      <x:c r="N22" s="13" t="str">
        <x:v>发展度提升工艺品与教育，武装度解锁远洋护航福船</x:v>
      </x:c>
      <x:c r="O22" s="13" t="str">
        <x:v>“四海有灯”：会馆接待以船与人履约记录为准，不以姓氏排队</x:v>
      </x:c>
      <x:c r="P22" s="13" t="str">
        <x:v>P082</x:v>
      </x:c>
      <x:c r="Q22" s="13" t="str">
        <x:v>原创架空组织；真实港口只作地理锚点</x:v>
      </x:c>
      <x:c r="R22" s="13" t="str">
        <x:v>陆含锋，墨发玉簪、白金商袍的俊美会馆执事</x:v>
      </x:c>
      <x:c r="S22" s="13" t="str">
        <x:v>四海连灯队：福船为核心，广船与轻快护卫交替压舷</x:v>
      </x:c>
      <x:c r="T22" s="13" t="str">
        <x:v>信号桅共享目标，破坏一艘通信船可切开编队</x:v>
      </x:c>
      <x:c r="U22" s="13" t="str">
        <x:v>百灯竞归：两份彼此矛盾的护航令，同时把船队推向同一窄口</x:v>
      </x:c>
      <x:c r="V22" s="13" t="str">
        <x:v>他真心保护家人，却把家人的范围画得过窄；沈照夜与他正面争论</x:v>
      </x:c>
    </x:row>
    <x:row r="23" ht="42" customHeight="1">
      <x:c r="A23" s="15" t="str">
        <x:v>F18</x:v>
      </x:c>
      <x:c r="B23" s="15" t="str">
        <x:v>R09</x:v>
      </x:c>
      <x:c r="C23" s="15" t="str">
        <x:v>白梅港艺联社</x:v>
      </x:c>
      <x:c r="D23" s="15" t="str">
        <x:v>自治工坊与港口护卫联社</x:v>
      </x:c>
      <x:c r="E23" s="15" t="str">
        <x:v>堺</x:v>
      </x:c>
      <x:c r="F23" s="15" t="str">
        <x:v>真壁雾枝／工艺评议长</x:v>
      </x:c>
      <x:c r="G23" s="15" t="str">
        <x:v>让刀、漆、纸、船具服务远航与地方生活</x:v>
      </x:c>
      <x:c r="H23" s="15" t="str">
        <x:v>漆器、铁器、纸、茶</x:v>
      </x:c>
      <x:c r="I23" s="15" t="str">
        <x:v>关船、弁才船、东亚护商混合舰</x:v>
      </x:c>
      <x:c r="J23" s="15" t="str">
        <x:v>F05工艺竞争；F17贸易同盟；F14帆布互换</x:v>
      </x:c>
      <x:c r="K23" s="15" t="str">
        <x:v>白梅接舷装备、漆封木材、工艺展会</x:v>
      </x:c>
      <x:c r="L23" s="15" t="str">
        <x:v>完成工艺品交换与港口演习各一次</x:v>
      </x:c>
      <x:c r="M23" s="15" t="str">
        <x:v>护卫名门想保留出身门槛，年轻工匠要求公开选拔</x:v>
      </x:c>
      <x:c r="N23" s="15" t="str">
        <x:v>武装度解锁港卫船与精工武器，发展度解锁高品漆器</x:v>
      </x:c>
      <x:c r="O23" s="15" t="str">
        <x:v>“白梅无门第”：船坞与护卫队按作品和责任招收新人</x:v>
      </x:c>
      <x:c r="P23" s="15" t="str">
        <x:v>P090</x:v>
      </x:c>
      <x:c r="Q23" s="15" t="str">
        <x:v>原创架空组织；真实港口只作地理锚点</x:v>
      </x:c>
      <x:c r="R23" s="15" t="str">
        <x:v>真壁雾枝，银发短披肩、墨色羽织的酷老太工艺评议长</x:v>
      </x:c>
      <x:c r="S23" s="15" t="str">
        <x:v>白梅关船队：小快关船突前，武装商船等待接舷</x:v>
      </x:c>
      <x:c r="T23" s="15" t="str">
        <x:v>擅长近距离截步与甲板控制，玩家需保持航速与接舷空间</x:v>
      </x:c>
      <x:c r="U23" s="15" t="str">
        <x:v>港艺无门赛：各地工艺船公开试航，战斗仅以夺取练习旗判定</x:v>
      </x:c>
      <x:c r="V23" s="15" t="str">
        <x:v>嘴毒手稳，出身门槛之争会让她在守旧与爱才间做决定</x:v>
      </x:c>
    </x:row>
    <x:row r="24" ht="42" customHeight="1">
      <x:c r="A24" s="13" t="str">
        <x:v>F19</x:v>
      </x:c>
      <x:c r="B24" s="13" t="str">
        <x:v>R10</x:v>
      </x:c>
      <x:c r="C24" s="13" t="str">
        <x:v>晨锚护商协约</x:v>
      </x:c>
      <x:c r="D24" s="13" t="str">
        <x:v>中立护航船团</x:v>
      </x:c>
      <x:c r="E24" s="13" t="str">
        <x:v>哈瓦那</x:v>
      </x:c>
      <x:c r="F24" s="13" t="str">
        <x:v>罗德里戈·索尔／护航协调长</x:v>
      </x:c>
      <x:c r="G24" s="13" t="str">
        <x:v>以完整到港与稳定合约取代对击沉数量的崇拜</x:v>
      </x:c>
      <x:c r="H24" s="13" t="str">
        <x:v>帆布、粮食、修理材、药材</x:v>
      </x:c>
      <x:c r="I24" s="13" t="str">
        <x:v>护航巡防舰、武装商船</x:v>
      </x:c>
      <x:c r="J24" s="13" t="str">
        <x:v>F17跨旗协作；F20试行停战；F04争军令优先级</x:v>
      </x:c>
      <x:c r="K24" s="13" t="str">
        <x:v>护商编队、联保订单、夜间引航灯</x:v>
      </x:c>
      <x:c r="L24" s="13" t="str">
        <x:v>全员完成一条群岛护航线</x:v>
      </x:c>
      <x:c r="M24" s="13" t="str">
        <x:v>上级要求以民船诱敌，玩家可拒绝并设计替代侦察和伏击路线</x:v>
      </x:c>
      <x:c r="N24" s="13" t="str">
        <x:v>武装投资改护卫船，发展度建船员疗养与仓储</x:v>
      </x:c>
      <x:c r="O24" s="13" t="str">
        <x:v>“每艘都归港”：护航评价按交付和伤员返港，船队赢得各港信用</x:v>
      </x:c>
      <x:c r="P24" s="13" t="str">
        <x:v>P095</x:v>
      </x:c>
      <x:c r="Q24" s="13" t="str">
        <x:v>原创架空组织；真实港口只作地理锚点</x:v>
      </x:c>
      <x:c r="R24" s="13" t="str">
        <x:v>卡斯帕·金锚，金发灰眼、笔挺白制服的海军少将</x:v>
      </x:c>
      <x:c r="S24" s="13" t="str">
        <x:v>金锚战列护航：重炮舰保持纪律，巡防舰截追击者</x:v>
      </x:c>
      <x:c r="T24" s="13" t="str">
        <x:v>固定战列火力极强，跨风角改阵时留下短暂穿艉机会</x:v>
      </x:c>
      <x:c r="U24" s="13" t="str">
        <x:v>假面舞会后的晨海：玩家先从请帖识破诱饵，再决定保护哪艘船</x:v>
      </x:c>
      <x:c r="V24" s="13" t="str">
        <x:v>以击沉数字争取升迁，是朱利安必须击败的旧上级</x:v>
      </x:c>
    </x:row>
    <x:row r="25" ht="42" customHeight="1">
      <x:c r="A25" s="15" t="str">
        <x:v>F20</x:v>
      </x:c>
      <x:c r="B25" s="15" t="str">
        <x:v>R10</x:v>
      </x:c>
      <x:c r="C25" s="15" t="str">
        <x:v>盐玫瑰自由港</x:v>
      </x:c>
      <x:c r="D25" s="15" t="str">
        <x:v>前私掠者与港湾公社</x:v>
      </x:c>
      <x:c r="E25" s="15" t="str">
        <x:v>托尔图加</x:v>
      </x:c>
      <x:c r="F25" s="15" t="str">
        <x:v>玛戈·盐枝／临时议长</x:v>
      </x:c>
      <x:c r="G25" s="15" t="str">
        <x:v>让靠海谋生的人通过可持续修船和护商摆脱抢掠</x:v>
      </x:c>
      <x:c r="H25" s="15" t="str">
        <x:v>船木、朗姆酒、工具、干粮</x:v>
      </x:c>
      <x:c r="I25" s="15" t="str">
        <x:v>快速帆船、私掠双桅舰、改装巡防舰</x:v>
      </x:c>
      <x:c r="J25" s="15" t="str">
        <x:v>F19停战试点；F06寻求修船合作；F04互不信任</x:v>
      </x:c>
      <x:c r="K25" s="15" t="str">
        <x:v>自由港改造、旧私掠海图、接舷专用设备</x:v>
      </x:c>
      <x:c r="L25" s="15" t="str">
        <x:v>完成旧分赃清算并证明护商也可盈利</x:v>
      </x:c>
      <x:c r="M25" s="15" t="str">
        <x:v>激进旧部想重举黑旗，决定以港口分红吸纳或海战阻止</x:v>
      </x:c>
      <x:c r="N25" s="15" t="str">
        <x:v>贸易投资转旧炮台为船厂，武装投资组公共巡逻队</x:v>
      </x:c>
      <x:c r="O25" s="15" t="str">
        <x:v>“旗留过去”：自由港通过公开轮值和护商合约获得新身份</x:v>
      </x:c>
      <x:c r="P25" s="15" t="str">
        <x:v>P100</x:v>
      </x:c>
      <x:c r="Q25" s="15" t="str">
        <x:v>原创架空组织；真实港口只作地理锚点</x:v>
      </x:c>
      <x:c r="R25" s="15" t="str">
        <x:v>玛戈·盐枝，紫黑短发、黑红披风的自由港议长</x:v>
      </x:c>
      <x:c r="S25" s="15" t="str">
        <x:v>盐玫瑰散帆群：快双桅船从多向接近，旧盖伦藏在岛影</x:v>
      </x:c>
      <x:c r="T25" s="15" t="str">
        <x:v>火力骚扰与突然接舷交错；主帆被破坏后仍以小艇夺舷</x:v>
      </x:c>
      <x:c r="U25" s="15" t="str">
        <x:v>最后一次分赃：港口投票前争夺装满旧海盗欠条与家书的旗舰</x:v>
      </x:c>
      <x:c r="V25" s="15" t="str">
        <x:v>愿意改革却舍不得被人畏惧，玩家的胜负会改变她对权力的理解</x:v>
      </x:c>
    </x:row>
    <x:row r="26" ht="42" customHeight="1">
      <x:c r="A26" s="13" t="str">
        <x:v>F21</x:v>
      </x:c>
      <x:c r="B26" s="13" t="str">
        <x:v>R11</x:v>
      </x:c>
      <x:c r="C26" s="13" t="str">
        <x:v>山海银路公库</x:v>
      </x:c>
      <x:c r="D26" s="13" t="str">
        <x:v>山地驿路与海港计量合作体</x:v>
      </x:c>
      <x:c r="E26" s="13" t="str">
        <x:v>卡亚俄</x:v>
      </x:c>
      <x:c r="F26" s="13" t="str">
        <x:v>伊萨贝尔·基帕／公库主持</x:v>
      </x:c>
      <x:c r="G26" s="13" t="str">
        <x:v>让山地生产、驿路运输和跨洋结算共享价值</x:v>
      </x:c>
      <x:c r="H26" s="13" t="str">
        <x:v>白银、羊驼毛织物、铜材、染料</x:v>
      </x:c>
      <x:c r="I26" s="13" t="str">
        <x:v>耐载远洋商船、安第斯补给护航船</x:v>
      </x:c>
      <x:c r="J26" s="13" t="str">
        <x:v>F07公秤伙伴；F12汇兑互认；F22粮木互补</x:v>
      </x:c>
      <x:c r="K26" s="13" t="str">
        <x:v>银衡公库、驿路派遣、贵金属品级订单</x:v>
      </x:c>
      <x:c r="L26" s="13" t="str">
        <x:v>验证同一批金属从山路到港口的记录</x:v>
      </x:c>
      <x:c r="M26" s="13" t="str">
        <x:v>运输商把损耗摊给生产者，玩家可查实责任并重订分成</x:v>
      </x:c>
      <x:c r="N26" s="13" t="str">
        <x:v>发展度解锁冶炼深加工，护航保障大宗结算</x:v>
      </x:c>
      <x:c r="O26" s="13" t="str">
        <x:v>“山海同账”：每批货记载生产、运输和船商各自收益</x:v>
      </x:c>
      <x:c r="P26" s="13" t="str">
        <x:v>P112</x:v>
      </x:c>
      <x:c r="Q26" s="13" t="str">
        <x:v>原创架空组织；真实港口只作地理锚点</x:v>
      </x:c>
      <x:c r="R26" s="13" t="str">
        <x:v>埃克托·银面，黑发、半面锻银面罩的商路护卫长</x:v>
      </x:c>
      <x:c r="S26" s="13" t="str">
        <x:v>银阶重载队：贵金属船处于两重护卫之间</x:v>
      </x:c>
      <x:c r="T26" s="13" t="str">
        <x:v>以短炮拒接舷、重炮压远距，最怕因浅水被迫拉长队形</x:v>
      </x:c>
      <x:c r="U26" s="13" t="str">
        <x:v>银路雾潮：风潮令两支船队改道，金属、粮食与秘密需要同时交付</x:v>
      </x:c>
      <x:c r="V26" s="13" t="str">
        <x:v>把护送货物看得比护送人容易，却在奈拉面前无法再装作不懂</x:v>
      </x:c>
    </x:row>
    <x:row r="27" ht="42" customHeight="1">
      <x:c r="A27" s="15" t="str">
        <x:v>F22</x:v>
      </x:c>
      <x:c r="B27" s="15" t="str">
        <x:v>R11</x:v>
      </x:c>
      <x:c r="C27" s="15" t="str">
        <x:v>绿烛河港联盟</x:v>
      </x:c>
      <x:c r="D27" s="15" t="str">
        <x:v>河口商馆、园圃与向导共同体</x:v>
      </x:c>
      <x:c r="E27" s="15" t="str">
        <x:v>贝伦</x:v>
      </x:c>
      <x:c r="F27" s="15" t="str">
        <x:v>露西亚·阿拉纳／河港协调员</x:v>
      </x:c>
      <x:c r="G27" s="15" t="str">
        <x:v>让雨林知识与河港运输按地方节律共同发展</x:v>
      </x:c>
      <x:c r="H27" s="15" t="str">
        <x:v>可可、木材、药材、果实</x:v>
      </x:c>
      <x:c r="I27" s="15" t="str">
        <x:v>浅吃水河海船、木材远洋商船</x:v>
      </x:c>
      <x:c r="J27" s="15" t="str">
        <x:v>F21粮木互补；F09植物学合作；F23观察册交换</x:v>
      </x:c>
      <x:c r="K27" s="15" t="str">
        <x:v>夜间生态调查、河道地图、船上园圃</x:v>
      </x:c>
      <x:c r="L27" s="15" t="str">
        <x:v>记录昼夜生态并完成季节河道补给</x:v>
      </x:c>
      <x:c r="M27" s="15" t="str">
        <x:v>出口商要求全年固定采集量，向导提示季节差异，可改成分季替代商品</x:v>
      </x:c>
      <x:c r="N27" s="15" t="str">
        <x:v>发展度建加工园圃，探索影响揭示活河道</x:v>
      </x:c>
      <x:c r="O27" s="15" t="str">
        <x:v>“河流仍有自己的季节”：商业订单随自然窗口变化，内陆与海港共享地图</x:v>
      </x:c>
      <x:c r="P27" s="15" t="str">
        <x:v>P106</x:v>
      </x:c>
      <x:c r="Q27" s="15" t="str">
        <x:v>原创架空组织；真实港口只作地理锚点</x:v>
      </x:c>
      <x:c r="R27" s="15" t="str">
        <x:v>塞西莉亚·绿蟒，深肤长卷发、翠金披风的河港商王</x:v>
      </x:c>
      <x:c r="S27" s="15" t="str">
        <x:v>绿蟒河海队：浅底货船分道而行，轻炮船守汇流口</x:v>
      </x:c>
      <x:c r="T27" s="15" t="str">
        <x:v>利用支流换线，让大船优势无法转化成速度</x:v>
      </x:c>
      <x:c r="U27" s="15" t="str">
        <x:v>雨夜岔河：通过水色、漂叶与灯号找到真正载着药材的船</x:v>
      </x:c>
      <x:c r="V27" s="15" t="str">
        <x:v>贪恋河口贸易王座，玩家可以在航线与客户选择上同时击败她</x:v>
      </x:c>
    </x:row>
    <x:row r="28" ht="42" customHeight="1">
      <x:c r="A28" s="13" t="str">
        <x:v>F23</x:v>
      </x:c>
      <x:c r="B28" s="13" t="str">
        <x:v>R12</x:v>
      </x:c>
      <x:c r="C28" s="13" t="str">
        <x:v>群星领航诸岛会</x:v>
      </x:c>
      <x:c r="D28" s="13" t="str">
        <x:v>岛际领航者与公共舟屋联盟</x:v>
      </x:c>
      <x:c r="E28" s="13" t="str">
        <x:v>马塔瓦伊湾</x:v>
      </x:c>
      <x:c r="F28" s="13" t="str">
        <x:v>阿里亚·瓦埃／星路主持</x:v>
      </x:c>
      <x:c r="G28" s="13" t="str">
        <x:v>让岛与岛之间的关系在大世界图上成为主体</x:v>
      </x:c>
      <x:c r="H28" s="13" t="str">
        <x:v>航海绳材、珍珠母工艺、食用果物、优质木材</x:v>
      </x:c>
      <x:c r="I28" s="13" t="str">
        <x:v>远洋双体帆舟、岛际轻快帆舟</x:v>
      </x:c>
      <x:c r="J28" s="13" t="str">
        <x:v>F11星航互证；F02共享观测；F24造船伙伴</x:v>
      </x:c>
      <x:c r="K28" s="13" t="str">
        <x:v>群星航法、最终远航线、岛际共宴</x:v>
      </x:c>
      <x:c r="L28" s="13" t="str">
        <x:v>用三种航法记录同一航段并分享判断过程</x:v>
      </x:c>
      <x:c r="M28" s="13" t="str">
        <x:v>远来学者想以单个英雄命名航路，诸岛要求共同署名与自主展示</x:v>
      </x:c>
      <x:c r="N28" s="13" t="str">
        <x:v>探索影响解锁星路，贸易投资建补给舟屋</x:v>
      </x:c>
      <x:c r="O28" s="13" t="str">
        <x:v>“群星之海”：终章公开多传统共同海图，所有参与港获得一份可用图版</x:v>
      </x:c>
      <x:c r="P28" s="13" t="str">
        <x:v>P117</x:v>
      </x:c>
      <x:c r="Q28" s="13" t="str">
        <x:v>原创架空组织；真实港口只作地理锚点</x:v>
      </x:c>
      <x:c r="R28" s="13" t="str">
        <x:v>阿里亚·瓦埃，银黑长发、蓝白披帛的群星主持</x:v>
      </x:c>
      <x:c r="S28" s="13" t="str">
        <x:v>归星双帆群：不同岛屿的双体船以各自方法接力领航</x:v>
      </x:c>
      <x:c r="T28" s="13" t="str">
        <x:v>风浪里保持松散但共享目标的队形，很难被一轮炮击同时压制</x:v>
      </x:c>
      <x:c r="U28" s="13" t="str">
        <x:v>借星终航：竞技、救援与观测在同一夜完成，胜负取决于是否让每艘船读懂航路</x:v>
      </x:c>
      <x:c r="V28" s="13" t="str">
        <x:v>并非传统敌人，而是判断玩家是否真正理解群岛的最强对手</x:v>
      </x:c>
    </x:row>
    <x:row r="29" ht="42" customHeight="1">
      <x:c r="A29" s="16" t="str">
        <x:v>F24</x:v>
      </x:c>
      <x:c r="B29" s="16" t="str">
        <x:v>R12</x:v>
      </x:c>
      <x:c r="C29" s="16" t="str">
        <x:v>双潮舟匠联合</x:v>
      </x:c>
      <x:c r="D29" s="16" t="str">
        <x:v>舟屋工匠与流动艺术工坊</x:v>
      </x:c>
      <x:c r="E29" s="16" t="str">
        <x:v>怀特马塔湾</x:v>
      </x:c>
      <x:c r="F29" s="16" t="str">
        <x:v>特雷瓦·梁歌／总工匠</x:v>
      </x:c>
      <x:c r="G29" s="16" t="str">
        <x:v>让造船、艺术和教学在同一张甲板上发生</x:v>
      </x:c>
      <x:c r="H29" s="16" t="str">
        <x:v>木材、纤维绳、树脂、工艺工具</x:v>
      </x:c>
      <x:c r="I29" s="16" t="str">
        <x:v>可拆横梁双体船、工坊旗舰</x:v>
      </x:c>
      <x:c r="J29" s="16" t="str">
        <x:v>F23领航伙伴；F14纤维技术交换；F05艺术联展</x:v>
      </x:c>
      <x:c r="K29" s="16" t="str">
        <x:v>双体横梁、流动工坊舱、共同创作展</x:v>
      </x:c>
      <x:c r="L29" s="16" t="str">
        <x:v>带来一件远方工艺并说明它的制作过程</x:v>
      </x:c>
      <x:c r="M29" s="16" t="str">
        <x:v>赞助人只要昂贵展示船，学徒需要能自己修的实用船，可完成双用途设计</x:v>
      </x:c>
      <x:c r="N29" s="16" t="str">
        <x:v>武装度扩结构承载与护航船，发展度扩工艺与课堂舱</x:v>
      </x:c>
      <x:c r="O29" s="16" t="str">
        <x:v>“海上有课堂”：旗舰能搭载公开工坊，远航成为不断收徒的旅程</x:v>
      </x:c>
      <x:c r="P29" s="16" t="str">
        <x:v>P116</x:v>
      </x:c>
      <x:c r="Q29" s="16" t="str">
        <x:v>原创架空组织；真实港口只作地理锚点</x:v>
      </x:c>
      <x:c r="R29" s="16" t="str">
        <x:v>特雷瓦·梁歌，灰发木簪、赤褐工装的壮健女总匠</x:v>
      </x:c>
      <x:c r="S29" s="16" t="str">
        <x:v>双潮工坊队：大型双体工坊船带多艘可拆轻舟</x:v>
      </x:c>
      <x:c r="T29" s="16" t="str">
        <x:v>临时放出轻舟搬运与引导，用结构更换适应海况</x:v>
      </x:c>
      <x:c r="U29" s="16" t="str">
        <x:v>会移动的学堂：在风暴来临前从两种相反航线送齐课堂材料</x:v>
      </x:c>
      <x:c r="V29" s="16" t="str">
        <x:v>不信宏大宣言，只要求一根梁、一堂课、一次远航都经得起实际使用</x:v>
      </x:c>
    </x:row>
    <x:row r="30">
      <x:c r="A30" s="2"/>
      <x:c r="B30" s="2"/>
      <x:c r="C30" s="2"/>
      <x:c r="D30" s="2"/>
      <x:c r="E30" s="2"/>
      <x:c r="F30" s="2"/>
      <x:c r="G30" s="2"/>
      <x:c r="H30" s="2"/>
      <x:c r="I30" s="2"/>
      <x:c r="J30" s="2"/>
      <x:c r="K30" s="2"/>
      <x:c r="L30" s="2"/>
      <x:c r="M30" s="2"/>
      <x:c r="N30" s="2"/>
      <x:c r="O30" s="2"/>
      <x:c r="P30" s="2"/>
      <x:c r="Q30" s="2"/>
      <x:c r="R30" s="2"/>
      <x:c r="S30" s="2"/>
      <x:c r="T30" s="2"/>
      <x:c r="U30" s="2"/>
      <x:c r="V30" s="2"/>
    </x:row>
  </x:sheetData>
  <x:pageMargins left="0.7" right="0.7" top="0.75" bottom="0.75" header="0.3" footer="0.3"/>
  <x:tableParts count="1">
    <x:tablePart xmlns:r="http://schemas.openxmlformats.org/officeDocument/2006/relationships" r:id="R0bcab9d8f9c54797"/>
  </x:tableParts>
</x:worksheet>
</file>

<file path=xl/worksheets/sheet29.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3" hidden="0" customWidth="1"/>
    <x:col min="2" max="2" width="35" hidden="0" customWidth="1"/>
    <x:col min="3" max="3" width="26" hidden="0" customWidth="1"/>
    <x:col min="4" max="4" width="30" hidden="0" customWidth="1"/>
    <x:col min="5" max="5" width="26" hidden="0" customWidth="1"/>
    <x:col min="6" max="6" width="13" hidden="0" customWidth="1"/>
    <x:col min="7" max="7" width="13" hidden="0" customWidth="1"/>
    <x:col min="8" max="8" width="91" hidden="0" customWidth="1"/>
    <x:col min="9" max="9" width="17" hidden="0" customWidth="1"/>
    <x:col min="10" max="10" width="16" hidden="0" customWidth="1"/>
    <x:col min="11" max="11" width="59" hidden="0" customWidth="1"/>
    <x:col min="12" max="12" width="33" hidden="0" customWidth="1"/>
    <x:col min="13" max="13" width="71" hidden="0" customWidth="1"/>
    <x:col min="14" max="14" width="87" hidden="0" customWidth="1"/>
    <x:col min="15" max="15" width="24" hidden="0" customWidth="1"/>
  </x:cols>
  <x:sheetData>
    <x:row r="1">
      <x:c r="A1" s="2"/>
      <x:c r="B1" s="2"/>
      <x:c r="C1" s="2"/>
      <x:c r="D1" s="2"/>
      <x:c r="E1" s="2"/>
      <x:c r="F1" s="2"/>
      <x:c r="G1" s="2"/>
      <x:c r="H1" s="2"/>
      <x:c r="I1" s="2"/>
      <x:c r="J1" s="2"/>
      <x:c r="K1" s="2"/>
      <x:c r="L1" s="2"/>
      <x:c r="M1" s="2"/>
      <x:c r="N1" s="2"/>
      <x:c r="O1" s="2"/>
    </x:row>
    <x:row r="2" ht="28" customHeight="1">
      <x:c r="A2" s="3" t="str">
        <x:v>一百二十项世界发现</x:v>
      </x:c>
      <x:c r="B2" s="2"/>
      <x:c r="C2" s="2"/>
      <x:c r="D2" s="2"/>
      <x:c r="E2" s="2"/>
      <x:c r="F2" s="2"/>
      <x:c r="G2" s="2"/>
      <x:c r="H2" s="2"/>
      <x:c r="I2" s="2"/>
      <x:c r="J2" s="2"/>
      <x:c r="K2" s="2"/>
      <x:c r="L2" s="2"/>
      <x:c r="M2" s="2"/>
      <x:c r="N2" s="2"/>
      <x:c r="O2" s="2"/>
    </x:row>
    <x:row r="3">
      <x:c r="A3" s="5" t="str">
        <x:v>坐标为游戏探索点定位；内陆探索由所列出发港组织远征；现实对象、地方传说和原创发现明确区分。</x:v>
      </x:c>
      <x:c r="B3" s="2"/>
      <x:c r="C3" s="2"/>
      <x:c r="D3" s="2"/>
      <x:c r="E3" s="2"/>
      <x:c r="F3" s="2"/>
      <x:c r="G3" s="2"/>
      <x:c r="H3" s="2"/>
      <x:c r="I3" s="2"/>
      <x:c r="J3" s="2"/>
      <x:c r="K3" s="2"/>
      <x:c r="L3" s="2"/>
      <x:c r="M3" s="2"/>
      <x:c r="N3" s="2"/>
      <x:c r="O3" s="2"/>
    </x:row>
    <x:row r="4">
      <x:c r="A4" s="2"/>
      <x:c r="B4" s="2"/>
      <x:c r="C4" s="2"/>
      <x:c r="D4" s="2"/>
      <x:c r="E4" s="2"/>
      <x:c r="F4" s="2"/>
      <x:c r="G4" s="2"/>
      <x:c r="H4" s="2"/>
      <x:c r="I4" s="2"/>
      <x:c r="J4" s="2"/>
      <x:c r="K4" s="2"/>
      <x:c r="L4" s="2"/>
      <x:c r="M4" s="2"/>
      <x:c r="N4" s="2"/>
      <x:c r="O4" s="2"/>
    </x:row>
    <x:row r="5" ht="34" customHeight="1">
      <x:c r="A5" s="10" t="str">
        <x:v>探索ID</x:v>
      </x:c>
      <x:c r="B5" s="10" t="str">
        <x:v>发现物</x:v>
      </x:c>
      <x:c r="C5" s="10" t="str">
        <x:v>发现分类</x:v>
      </x:c>
      <x:c r="D5" s="10" t="str">
        <x:v>海域</x:v>
      </x:c>
      <x:c r="E5" s="10" t="str">
        <x:v>出发港口</x:v>
      </x:c>
      <x:c r="F5" s="10" t="str">
        <x:v>纬度</x:v>
      </x:c>
      <x:c r="G5" s="10" t="str">
        <x:v>经度</x:v>
      </x:c>
      <x:c r="H5" s="10" t="str">
        <x:v>探索条件</x:v>
      </x:c>
      <x:c r="I5" s="10" t="str">
        <x:v>奖励银币</x:v>
      </x:c>
      <x:c r="J5" s="10" t="str">
        <x:v>探索声望</x:v>
      </x:c>
      <x:c r="K5" s="10" t="str">
        <x:v>可重复性</x:v>
      </x:c>
      <x:c r="L5" s="10" t="str">
        <x:v>发现记录性质</x:v>
      </x:c>
      <x:c r="M5" s="10" t="str">
        <x:v>现实与传说依据</x:v>
      </x:c>
      <x:c r="N5" s="10" t="str">
        <x:v>坐标与内陆远征说明</x:v>
      </x:c>
      <x:c r="O5" s="10" t="str">
        <x:v>资料编号</x:v>
      </x:c>
    </x:row>
    <x:row r="6" ht="42" customHeight="1">
      <x:c r="A6" s="12" t="str">
        <x:v>E001</x:v>
      </x:c>
      <x:c r="B6" s="12" t="str">
        <x:v>布吕根的双层仓路</x:v>
      </x:c>
      <x:c r="C6" s="12" t="str">
        <x:v>历史遗址</x:v>
      </x:c>
      <x:c r="D6" s="12" t="str">
        <x:v>R01</x:v>
      </x:c>
      <x:c r="E6" s="12" t="str">
        <x:v>卑尔根</x:v>
      </x:c>
      <x:c r="F6" s="20" t="n">
        <x:v>60.397</x:v>
      </x:c>
      <x:c r="G6" s="20" t="n">
        <x:v>5.324</x:v>
      </x:c>
      <x:c r="H6" s="12" t="str">
        <x:v>学识3；当地仓库向导</x:v>
      </x:c>
      <x:c r="I6" s="26" t="n">
        <x:v>1800</x:v>
      </x:c>
      <x:c r="J6" s="26" t="n">
        <x:v>100</x:v>
      </x:c>
      <x:c r="K6" s="12" t="str">
        <x:v>首奖一次，复访补工坊资料</x:v>
      </x:c>
      <x:c r="L6" s="12" t="str">
        <x:v>玩家首次完整记录；不宣称历史上首次发现</x:v>
      </x:c>
      <x:c r="M6" s="12" t="str">
        <x:v>真实对象；调查故事原创</x:v>
      </x:c>
      <x:c r="N6" s="12" t="str">
        <x:v>游戏地图近似布点；内陆点从所列港组织陆路远征</x:v>
      </x:c>
      <x:c r="O6" s="12" t="str">
        <x:v>EX01</x:v>
      </x:c>
    </x:row>
    <x:row r="7" ht="42" customHeight="1">
      <x:c r="A7" s="15" t="str">
        <x:v>E002</x:v>
      </x:c>
      <x:c r="B7" s="15" t="str">
        <x:v>封在琥珀里的风</x:v>
      </x:c>
      <x:c r="C7" s="15" t="str">
        <x:v>自然奇观</x:v>
      </x:c>
      <x:c r="D7" s="15" t="str">
        <x:v>R01</x:v>
      </x:c>
      <x:c r="E7" s="15" t="str">
        <x:v>但泽</x:v>
      </x:c>
      <x:c r="F7" s="29" t="n">
        <x:v>54.682</x:v>
      </x:c>
      <x:c r="G7" s="29" t="n">
        <x:v>18.631</x:v>
      </x:c>
      <x:c r="H7" s="15" t="str">
        <x:v>学识4；放大镜</x:v>
      </x:c>
      <x:c r="I7" s="30" t="n">
        <x:v>2100</x:v>
      </x:c>
      <x:c r="J7" s="30" t="n">
        <x:v>120</x:v>
      </x:c>
      <x:c r="K7" s="15" t="str">
        <x:v>首奖一次，风季复访可得普通工艺料</x:v>
      </x:c>
      <x:c r="L7" s="15" t="str">
        <x:v>玩家首次完整记录；不宣称历史上首次发现</x:v>
      </x:c>
      <x:c r="M7" s="15" t="str">
        <x:v>原创观察事件，依波罗的海琥珀地理布点</x:v>
      </x:c>
      <x:c r="N7" s="15" t="str">
        <x:v>游戏地图近似布点；内陆点从所列港组织陆路远征</x:v>
      </x:c>
      <x:c r="O7" s="15" t="str">
        <x:v>EX-AMBER</x:v>
      </x:c>
    </x:row>
    <x:row r="8" ht="42" customHeight="1">
      <x:c r="A8" s="13" t="str">
        <x:v>E003</x:v>
      </x:c>
      <x:c r="B8" s="13" t="str">
        <x:v>摇摆甲板上的时针</x:v>
      </x:c>
      <x:c r="C8" s="13" t="str">
        <x:v>航海技术</x:v>
      </x:c>
      <x:c r="D8" s="13" t="str">
        <x:v>R01</x:v>
      </x:c>
      <x:c r="E8" s="13" t="str">
        <x:v>伦敦</x:v>
      </x:c>
      <x:c r="F8" s="21" t="n">
        <x:v>51.477</x:v>
      </x:c>
      <x:c r="G8" s="21" t="n">
        <x:v>0.001</x:v>
      </x:c>
      <x:c r="H8" s="13" t="str">
        <x:v>学识6；航时器试件</x:v>
      </x:c>
      <x:c r="I8" s="27" t="n">
        <x:v>3800</x:v>
      </x:c>
      <x:c r="J8" s="27" t="n">
        <x:v>180</x:v>
      </x:c>
      <x:c r="K8" s="13" t="str">
        <x:v>首奖一次，可承接后续试航单</x:v>
      </x:c>
      <x:c r="L8" s="13" t="str">
        <x:v>玩家首次完整记录；不宣称历史上首次发现</x:v>
      </x:c>
      <x:c r="M8" s="13" t="str">
        <x:v>真实海上钟表启发；非复现某型号</x:v>
      </x:c>
      <x:c r="N8" s="13" t="str">
        <x:v>游戏地图近似布点；内陆点从所列港组织陆路远征</x:v>
      </x:c>
      <x:c r="O8" s="13" t="str">
        <x:v>EX02</x:v>
      </x:c>
    </x:row>
    <x:row r="9" ht="42" customHeight="1">
      <x:c r="A9" s="15" t="str">
        <x:v>E004</x:v>
      </x:c>
      <x:c r="B9" s="15" t="str">
        <x:v>冰镜里的双北星</x:v>
      </x:c>
      <x:c r="C9" s="15" t="str">
        <x:v>天文观测</x:v>
      </x:c>
      <x:c r="D9" s="15" t="str">
        <x:v>R01</x:v>
      </x:c>
      <x:c r="E9" s="15" t="str">
        <x:v>雷克雅未克</x:v>
      </x:c>
      <x:c r="F9" s="29" t="n">
        <x:v>64.753</x:v>
      </x:c>
      <x:c r="G9" s="29" t="n">
        <x:v>-22.553</x:v>
      </x:c>
      <x:c r="H9" s="15" t="str">
        <x:v>航海5；无月晴夜</x:v>
      </x:c>
      <x:c r="I9" s="30" t="n">
        <x:v>2400</x:v>
      </x:c>
      <x:c r="J9" s="30" t="n">
        <x:v>150</x:v>
      </x:c>
      <x:c r="K9" s="15" t="str">
        <x:v>首奖一次，每季补观测页</x:v>
      </x:c>
      <x:c r="L9" s="15" t="str">
        <x:v>玩家首次完整记录；不宣称历史上首次发现</x:v>
      </x:c>
      <x:c r="M9" s="15" t="str">
        <x:v>原创天文观测场景</x:v>
      </x:c>
      <x:c r="N9" s="15" t="str">
        <x:v>游戏地图近似布点；内陆点从所列港组织陆路远征</x:v>
      </x:c>
      <x:c r="O9" s="15" t="str"/>
    </x:row>
    <x:row r="10" ht="42" customHeight="1">
      <x:c r="A10" s="13" t="str">
        <x:v>E005</x:v>
      </x:c>
      <x:c r="B10" s="13" t="str">
        <x:v>归家号最后一钟</x:v>
      </x:c>
      <x:c r="C10" s="13" t="str">
        <x:v>沉船记录</x:v>
      </x:c>
      <x:c r="D10" s="13" t="str">
        <x:v>R01</x:v>
      </x:c>
      <x:c r="E10" s="13" t="str">
        <x:v>哥本哈根</x:v>
      </x:c>
      <x:c r="F10" s="21" t="n">
        <x:v>55.794</x:v>
      </x:c>
      <x:c r="G10" s="21" t="n">
        <x:v>12.719</x:v>
      </x:c>
      <x:c r="H10" s="13" t="str">
        <x:v>学识5；测深绳；C002或引航人</x:v>
      </x:c>
      <x:c r="I10" s="27" t="n">
        <x:v>3600</x:v>
      </x:c>
      <x:c r="J10" s="27" t="n">
        <x:v>200</x:v>
      </x:c>
      <x:c r="K10" s="13" t="str">
        <x:v>首奖一次，可复访纪念</x:v>
      </x:c>
      <x:c r="L10" s="13" t="str">
        <x:v>玩家首次完整记录；不宣称历史上首次发现</x:v>
      </x:c>
      <x:c r="M10" s="13" t="str">
        <x:v>原创沉船</x:v>
      </x:c>
      <x:c r="N10" s="13" t="str">
        <x:v>游戏地图近似布点；内陆点从所列港组织陆路远征</x:v>
      </x:c>
      <x:c r="O10" s="13" t="str"/>
    </x:row>
    <x:row r="11" ht="42" customHeight="1">
      <x:c r="A11" s="15" t="str">
        <x:v>E006</x:v>
      </x:c>
      <x:c r="B11" s="15" t="str">
        <x:v>帆骨鲸影</x:v>
      </x:c>
      <x:c r="C11" s="15" t="str">
        <x:v>生态观察</x:v>
      </x:c>
      <x:c r="D11" s="15" t="str">
        <x:v>R01</x:v>
      </x:c>
      <x:c r="E11" s="15" t="str">
        <x:v>卑尔根</x:v>
      </x:c>
      <x:c r="F11" s="29" t="n">
        <x:v>62.05</x:v>
      </x:c>
      <x:c r="G11" s="29" t="n">
        <x:v>4.5</x:v>
      </x:c>
      <x:c r="H11" s="15" t="str">
        <x:v>航海4；观察册；春季</x:v>
      </x:c>
      <x:c r="I11" s="30" t="n">
        <x:v>1900</x:v>
      </x:c>
      <x:c r="J11" s="30" t="n">
        <x:v>140</x:v>
      </x:c>
      <x:c r="K11" s="15" t="str">
        <x:v>首奖一次，迁徙季新增行为记录</x:v>
      </x:c>
      <x:c r="L11" s="15" t="str">
        <x:v>玩家首次完整记录；不宣称历史上首次发现</x:v>
      </x:c>
      <x:c r="M11" s="15" t="str">
        <x:v>原创鲸类观察任务，现实生态为视觉启发</x:v>
      </x:c>
      <x:c r="N11" s="15" t="str">
        <x:v>游戏地图近似布点；内陆点从所列港组织陆路远征</x:v>
      </x:c>
      <x:c r="O11" s="15" t="str"/>
    </x:row>
    <x:row r="12" ht="42" customHeight="1">
      <x:c r="A12" s="13" t="str">
        <x:v>E007</x:v>
      </x:c>
      <x:c r="B12" s="13" t="str">
        <x:v>七色商窗</x:v>
      </x:c>
      <x:c r="C12" s="13" t="str">
        <x:v>艺术工艺</x:v>
      </x:c>
      <x:c r="D12" s="13" t="str">
        <x:v>R01</x:v>
      </x:c>
      <x:c r="E12" s="13" t="str">
        <x:v>阿姆斯特丹</x:v>
      </x:c>
      <x:c r="F12" s="21" t="n">
        <x:v>52.372</x:v>
      </x:c>
      <x:c r="G12" s="21" t="n">
        <x:v>4.899</x:v>
      </x:c>
      <x:c r="H12" s="13" t="str">
        <x:v>学识3；三色玻璃样片</x:v>
      </x:c>
      <x:c r="I12" s="27" t="n">
        <x:v>1800</x:v>
      </x:c>
      <x:c r="J12" s="27" t="n">
        <x:v>100</x:v>
      </x:c>
      <x:c r="K12" s="13" t="str">
        <x:v>首奖一次，可重复订单</x:v>
      </x:c>
      <x:c r="L12" s="13" t="str">
        <x:v>玩家首次完整记录；不宣称历史上首次发现</x:v>
      </x:c>
      <x:c r="M12" s="13" t="str">
        <x:v>原创工坊故事</x:v>
      </x:c>
      <x:c r="N12" s="13" t="str">
        <x:v>游戏地图近似布点；内陆点从所列港组织陆路远征</x:v>
      </x:c>
      <x:c r="O12" s="13" t="str"/>
    </x:row>
    <x:row r="13" ht="42" customHeight="1">
      <x:c r="A13" s="15" t="str">
        <x:v>E008</x:v>
      </x:c>
      <x:c r="B13" s="15" t="str">
        <x:v>里加的风琴锚</x:v>
      </x:c>
      <x:c r="C13" s="15" t="str">
        <x:v>地方传说</x:v>
      </x:c>
      <x:c r="D13" s="15" t="str">
        <x:v>R01</x:v>
      </x:c>
      <x:c r="E13" s="15" t="str">
        <x:v>里加</x:v>
      </x:c>
      <x:c r="F13" s="29" t="n">
        <x:v>57.054</x:v>
      </x:c>
      <x:c r="G13" s="29" t="n">
        <x:v>24.032</x:v>
      </x:c>
      <x:c r="H13" s="15" t="str">
        <x:v>学识4；乐师或乐谱</x:v>
      </x:c>
      <x:c r="I13" s="30" t="n">
        <x:v>2200</x:v>
      </x:c>
      <x:c r="J13" s="30" t="n">
        <x:v>130</x:v>
      </x:c>
      <x:c r="K13" s="15" t="str">
        <x:v>首奖一次，每涨潮可欣赏</x:v>
      </x:c>
      <x:c r="L13" s="15" t="str">
        <x:v>玩家首次完整记录；不宣称历史上首次发现</x:v>
      </x:c>
      <x:c r="M13" s="15" t="str">
        <x:v>原创地方传说；潮汐为真实现象</x:v>
      </x:c>
      <x:c r="N13" s="15" t="str">
        <x:v>游戏地图近似布点；内陆点从所列港组织陆路远征</x:v>
      </x:c>
      <x:c r="O13" s="15" t="str">
        <x:v>EX26</x:v>
      </x:c>
    </x:row>
    <x:row r="14" ht="42" customHeight="1">
      <x:c r="A14" s="13" t="str">
        <x:v>E009</x:v>
      </x:c>
      <x:c r="B14" s="13" t="str">
        <x:v>河口漂木的来信</x:v>
      </x:c>
      <x:c r="C14" s="13" t="str">
        <x:v>生态观察</x:v>
      </x:c>
      <x:c r="D14" s="13" t="str">
        <x:v>R01</x:v>
      </x:c>
      <x:c r="E14" s="13" t="str">
        <x:v>汉堡</x:v>
      </x:c>
      <x:c r="F14" s="21" t="n">
        <x:v>53.611</x:v>
      </x:c>
      <x:c r="G14" s="21" t="n">
        <x:v>9.55</x:v>
      </x:c>
      <x:c r="H14" s="13" t="str">
        <x:v>学识3；C004或博物学者</x:v>
      </x:c>
      <x:c r="I14" s="27" t="n">
        <x:v>1600</x:v>
      </x:c>
      <x:c r="J14" s="27" t="n">
        <x:v>90</x:v>
      </x:c>
      <x:c r="K14" s="13" t="str">
        <x:v>首奖一次，新海域漂木可补图鉴</x:v>
      </x:c>
      <x:c r="L14" s="13" t="str">
        <x:v>玩家首次完整记录；不宣称历史上首次发现</x:v>
      </x:c>
      <x:c r="M14" s="13" t="str">
        <x:v>原创观察与航路推断任务</x:v>
      </x:c>
      <x:c r="N14" s="13" t="str">
        <x:v>游戏地图近似布点；内陆点从所列港组织陆路远征</x:v>
      </x:c>
      <x:c r="O14" s="13" t="str"/>
    </x:row>
    <x:row r="15" ht="42" customHeight="1">
      <x:c r="A15" s="15" t="str">
        <x:v>E010</x:v>
      </x:c>
      <x:c r="B15" s="15" t="str">
        <x:v>旧灯塔的逆写地图</x:v>
      </x:c>
      <x:c r="C15" s="15" t="str">
        <x:v>航海技术</x:v>
      </x:c>
      <x:c r="D15" s="15" t="str">
        <x:v>R01</x:v>
      </x:c>
      <x:c r="E15" s="15" t="str">
        <x:v>斯德哥尔摩</x:v>
      </x:c>
      <x:c r="F15" s="29" t="n">
        <x:v>59.272</x:v>
      </x:c>
      <x:c r="G15" s="29" t="n">
        <x:v>18.993</x:v>
      </x:c>
      <x:c r="H15" s="15" t="str">
        <x:v>学识5；拓印纸</x:v>
      </x:c>
      <x:c r="I15" s="30" t="n">
        <x:v>3000</x:v>
      </x:c>
      <x:c r="J15" s="30" t="n">
        <x:v>150</x:v>
      </x:c>
      <x:c r="K15" s="15" t="str">
        <x:v>首奖一次</x:v>
      </x:c>
      <x:c r="L15" s="15" t="str">
        <x:v>玩家首次完整记录；不宣称历史上首次发现</x:v>
      </x:c>
      <x:c r="M15" s="15" t="str">
        <x:v>原创航海谜题</x:v>
      </x:c>
      <x:c r="N15" s="15" t="str">
        <x:v>游戏地图近似布点；内陆点从所列港组织陆路远征</x:v>
      </x:c>
      <x:c r="O15" s="15" t="str"/>
    </x:row>
    <x:row r="16" ht="42" customHeight="1">
      <x:c r="A16" s="13" t="str">
        <x:v>E011</x:v>
      </x:c>
      <x:c r="B16" s="13" t="str">
        <x:v>贝伦塔的出航窗</x:v>
      </x:c>
      <x:c r="C16" s="13" t="str">
        <x:v>历史遗址</x:v>
      </x:c>
      <x:c r="D16" s="13" t="str">
        <x:v>R02</x:v>
      </x:c>
      <x:c r="E16" s="13" t="str">
        <x:v>里斯本</x:v>
      </x:c>
      <x:c r="F16" s="21" t="n">
        <x:v>38.692</x:v>
      </x:c>
      <x:c r="G16" s="21" t="n">
        <x:v>-9.216</x:v>
      </x:c>
      <x:c r="H16" s="13" t="str">
        <x:v>学识3；日出时段</x:v>
      </x:c>
      <x:c r="I16" s="27" t="n">
        <x:v>2000</x:v>
      </x:c>
      <x:c r="J16" s="27" t="n">
        <x:v>120</x:v>
      </x:c>
      <x:c r="K16" s="13" t="str">
        <x:v>首奖一次，庆典可复访</x:v>
      </x:c>
      <x:c r="L16" s="13" t="str">
        <x:v>玩家首次完整记录；不宣称历史上首次发现</x:v>
      </x:c>
      <x:c r="M16" s="13" t="str">
        <x:v>真实对象；航海誓词原创</x:v>
      </x:c>
      <x:c r="N16" s="13" t="str">
        <x:v>游戏地图近似布点；内陆点从所列港组织陆路远征</x:v>
      </x:c>
      <x:c r="O16" s="13" t="str">
        <x:v>EX03</x:v>
      </x:c>
    </x:row>
    <x:row r="17" ht="42" customHeight="1">
      <x:c r="A17" s="15" t="str">
        <x:v>E012</x:v>
      </x:c>
      <x:c r="B17" s="15" t="str">
        <x:v>杜罗河的坡地酒谱</x:v>
      </x:c>
      <x:c r="C17" s="15" t="str">
        <x:v>艺术工艺</x:v>
      </x:c>
      <x:c r="D17" s="15" t="str">
        <x:v>R02</x:v>
      </x:c>
      <x:c r="E17" s="15" t="str">
        <x:v>波尔图</x:v>
      </x:c>
      <x:c r="F17" s="29" t="n">
        <x:v>41.161</x:v>
      </x:c>
      <x:c r="G17" s="29" t="n">
        <x:v>-7.78</x:v>
      </x:c>
      <x:c r="H17" s="15" t="str">
        <x:v>贸易4；同类葡萄酒三桶</x:v>
      </x:c>
      <x:c r="I17" s="30" t="n">
        <x:v>2200</x:v>
      </x:c>
      <x:c r="J17" s="30" t="n">
        <x:v>100</x:v>
      </x:c>
      <x:c r="K17" s="15" t="str">
        <x:v>首奖一次，每收获季追加品评</x:v>
      </x:c>
      <x:c r="L17" s="15" t="str">
        <x:v>玩家首次完整记录；不宣称历史上首次发现</x:v>
      </x:c>
      <x:c r="M17" s="15" t="str">
        <x:v>原创工艺调查，真实河谷布点</x:v>
      </x:c>
      <x:c r="N17" s="15" t="str">
        <x:v>游戏地图近似布点；内陆点从所列港组织陆路远征</x:v>
      </x:c>
      <x:c r="O17" s="15" t="str"/>
    </x:row>
    <x:row r="18" ht="42" customHeight="1">
      <x:c r="A18" s="13" t="str">
        <x:v>E013</x:v>
      </x:c>
      <x:c r="B18" s="13" t="str">
        <x:v>太阳坠遗失的刻度</x:v>
      </x:c>
      <x:c r="C18" s="13" t="str">
        <x:v>天文观测</x:v>
      </x:c>
      <x:c r="D18" s="13" t="str">
        <x:v>R02</x:v>
      </x:c>
      <x:c r="E18" s="13" t="str">
        <x:v>加的斯</x:v>
      </x:c>
      <x:c r="F18" s="21" t="n">
        <x:v>36.532</x:v>
      </x:c>
      <x:c r="G18" s="21" t="n">
        <x:v>-6.302</x:v>
      </x:c>
      <x:c r="H18" s="13" t="str">
        <x:v>学识5；太阳坠或学馆借件</x:v>
      </x:c>
      <x:c r="I18" s="27" t="n">
        <x:v>3200</x:v>
      </x:c>
      <x:c r="J18" s="27" t="n">
        <x:v>180</x:v>
      </x:c>
      <x:c r="K18" s="13" t="str">
        <x:v>首奖一次</x:v>
      </x:c>
      <x:c r="L18" s="13" t="str">
        <x:v>玩家首次完整记录；不宣称历史上首次发现</x:v>
      </x:c>
      <x:c r="M18" s="13" t="str">
        <x:v>原创主线器物</x:v>
      </x:c>
      <x:c r="N18" s="13" t="str">
        <x:v>游戏地图近似布点；内陆点从所列港组织陆路远征</x:v>
      </x:c>
      <x:c r="O18" s="13" t="str"/>
    </x:row>
    <x:row r="19" ht="42" customHeight="1">
      <x:c r="A19" s="15" t="str">
        <x:v>E014</x:v>
      </x:c>
      <x:c r="B19" s="15" t="str">
        <x:v>比斯开湾的两道浪</x:v>
      </x:c>
      <x:c r="C19" s="15" t="str">
        <x:v>自然奇观</x:v>
      </x:c>
      <x:c r="D19" s="15" t="str">
        <x:v>R02</x:v>
      </x:c>
      <x:c r="E19" s="15" t="str">
        <x:v>毕尔巴鄂</x:v>
      </x:c>
      <x:c r="F19" s="29" t="n">
        <x:v>44.03</x:v>
      </x:c>
      <x:c r="G19" s="29" t="n">
        <x:v>-4.15</x:v>
      </x:c>
      <x:c r="H19" s="15" t="str">
        <x:v>航海5；风浪观察册</x:v>
      </x:c>
      <x:c r="I19" s="30" t="n">
        <x:v>2500</x:v>
      </x:c>
      <x:c r="J19" s="30" t="n">
        <x:v>140</x:v>
      </x:c>
      <x:c r="K19" s="15" t="str">
        <x:v>首奖一次，不同海况补页</x:v>
      </x:c>
      <x:c r="L19" s="15" t="str">
        <x:v>玩家首次完整记录；不宣称历史上首次发现</x:v>
      </x:c>
      <x:c r="M19" s="15" t="str">
        <x:v>原创任务；波浪与流动常识为背景</x:v>
      </x:c>
      <x:c r="N19" s="15" t="str">
        <x:v>游戏地图近似布点；内陆点从所列港组织陆路远征</x:v>
      </x:c>
      <x:c r="O19" s="15" t="str">
        <x:v>EX-WAVE</x:v>
      </x:c>
    </x:row>
    <x:row r="20" ht="42" customHeight="1">
      <x:c r="A20" s="13" t="str">
        <x:v>E015</x:v>
      </x:c>
      <x:c r="B20" s="13" t="str">
        <x:v>沉在葡萄酒里的名字</x:v>
      </x:c>
      <x:c r="C20" s="13" t="str">
        <x:v>沉船记录</x:v>
      </x:c>
      <x:c r="D20" s="13" t="str">
        <x:v>R02</x:v>
      </x:c>
      <x:c r="E20" s="13" t="str">
        <x:v>波尔多</x:v>
      </x:c>
      <x:c r="F20" s="21" t="n">
        <x:v>45.532</x:v>
      </x:c>
      <x:c r="G20" s="21" t="n">
        <x:v>-1.081</x:v>
      </x:c>
      <x:c r="H20" s="13" t="str">
        <x:v>学识4；打捞钩；低潮</x:v>
      </x:c>
      <x:c r="I20" s="27" t="n">
        <x:v>3300</x:v>
      </x:c>
      <x:c r="J20" s="27" t="n">
        <x:v>170</x:v>
      </x:c>
      <x:c r="K20" s="13" t="str">
        <x:v>首奖一次</x:v>
      </x:c>
      <x:c r="L20" s="13" t="str">
        <x:v>玩家首次完整记录；不宣称历史上首次发现</x:v>
      </x:c>
      <x:c r="M20" s="13" t="str">
        <x:v>原创沉船</x:v>
      </x:c>
      <x:c r="N20" s="13" t="str">
        <x:v>游戏地图近似布点；内陆点从所列港组织陆路远征</x:v>
      </x:c>
      <x:c r="O20" s="13" t="str"/>
    </x:row>
    <x:row r="21" ht="42" customHeight="1">
      <x:c r="A21" s="15" t="str">
        <x:v>E016</x:v>
      </x:c>
      <x:c r="B21" s="15" t="str">
        <x:v>圣马洛的消失堤路</x:v>
      </x:c>
      <x:c r="C21" s="15" t="str">
        <x:v>航海技术</x:v>
      </x:c>
      <x:c r="D21" s="15" t="str">
        <x:v>R02</x:v>
      </x:c>
      <x:c r="E21" s="15" t="str">
        <x:v>圣马洛</x:v>
      </x:c>
      <x:c r="F21" s="29" t="n">
        <x:v>48.653</x:v>
      </x:c>
      <x:c r="G21" s="29" t="n">
        <x:v>-2.018</x:v>
      </x:c>
      <x:c r="H21" s="15" t="str">
        <x:v>航海4；潮位表</x:v>
      </x:c>
      <x:c r="I21" s="30" t="n">
        <x:v>2200</x:v>
      </x:c>
      <x:c r="J21" s="30" t="n">
        <x:v>130</x:v>
      </x:c>
      <x:c r="K21" s="15" t="str">
        <x:v>首奖一次，每月校正窗口</x:v>
      </x:c>
      <x:c r="L21" s="15" t="str">
        <x:v>玩家首次完整记录；不宣称历史上首次发现</x:v>
      </x:c>
      <x:c r="M21" s="15" t="str">
        <x:v>真实潮汐启发的原创路线</x:v>
      </x:c>
      <x:c r="N21" s="15" t="str">
        <x:v>游戏地图近似布点；内陆点从所列港组织陆路远征</x:v>
      </x:c>
      <x:c r="O21" s="15" t="str">
        <x:v>EX26</x:v>
      </x:c>
    </x:row>
    <x:row r="22" ht="42" customHeight="1">
      <x:c r="A22" s="13" t="str">
        <x:v>E017</x:v>
      </x:c>
      <x:c r="B22" s="13" t="str">
        <x:v>白帆海燕的折返</x:v>
      </x:c>
      <x:c r="C22" s="13" t="str">
        <x:v>生态观察</x:v>
      </x:c>
      <x:c r="D22" s="13" t="str">
        <x:v>R02</x:v>
      </x:c>
      <x:c r="E22" s="13" t="str">
        <x:v>拉科鲁尼亚</x:v>
      </x:c>
      <x:c r="F22" s="21" t="n">
        <x:v>43.496</x:v>
      </x:c>
      <x:c r="G22" s="21" t="n">
        <x:v>-8.85</x:v>
      </x:c>
      <x:c r="H22" s="13" t="str">
        <x:v>航海4；春季或秋季</x:v>
      </x:c>
      <x:c r="I22" s="27" t="n">
        <x:v>1700</x:v>
      </x:c>
      <x:c r="J22" s="27" t="n">
        <x:v>100</x:v>
      </x:c>
      <x:c r="K22" s="13" t="str">
        <x:v>首奖一次，迁徙季补页</x:v>
      </x:c>
      <x:c r="L22" s="13" t="str">
        <x:v>玩家首次完整记录；不宣称历史上首次发现</x:v>
      </x:c>
      <x:c r="M22" s="13" t="str">
        <x:v>原创生态观察</x:v>
      </x:c>
      <x:c r="N22" s="13" t="str">
        <x:v>游戏地图近似布点；内陆点从所列港组织陆路远征</x:v>
      </x:c>
      <x:c r="O22" s="13" t="str"/>
    </x:row>
    <x:row r="23" ht="42" customHeight="1">
      <x:c r="A23" s="15" t="str">
        <x:v>E018</x:v>
      </x:c>
      <x:c r="B23" s="15" t="str">
        <x:v>红帆剧团的双底舞台</x:v>
      </x:c>
      <x:c r="C23" s="15" t="str">
        <x:v>艺术工艺</x:v>
      </x:c>
      <x:c r="D23" s="15" t="str">
        <x:v>R02</x:v>
      </x:c>
      <x:c r="E23" s="15" t="str">
        <x:v>塞维利亚</x:v>
      </x:c>
      <x:c r="F23" s="29" t="n">
        <x:v>37.383</x:v>
      </x:c>
      <x:c r="G23" s="29" t="n">
        <x:v>-6.003</x:v>
      </x:c>
      <x:c r="H23" s="15" t="str">
        <x:v>学识3；C008或乐师</x:v>
      </x:c>
      <x:c r="I23" s="30" t="n">
        <x:v>2100</x:v>
      </x:c>
      <x:c r="J23" s="30" t="n">
        <x:v>110</x:v>
      </x:c>
      <x:c r="K23" s="15" t="str">
        <x:v>首奖一次，可承接巡演</x:v>
      </x:c>
      <x:c r="L23" s="15" t="str">
        <x:v>玩家首次完整记录；不宣称历史上首次发现</x:v>
      </x:c>
      <x:c r="M23" s="15" t="str">
        <x:v>原创机械舞台</x:v>
      </x:c>
      <x:c r="N23" s="15" t="str">
        <x:v>游戏地图近似布点；内陆点从所列港组织陆路远征</x:v>
      </x:c>
      <x:c r="O23" s="15" t="str"/>
    </x:row>
    <x:row r="24" ht="42" customHeight="1">
      <x:c r="A24" s="13" t="str">
        <x:v>E019</x:v>
      </x:c>
      <x:c r="B24" s="13" t="str">
        <x:v>海上圣火的真名</x:v>
      </x:c>
      <x:c r="C24" s="13" t="str">
        <x:v>地方传说</x:v>
      </x:c>
      <x:c r="D24" s="13" t="str">
        <x:v>R02</x:v>
      </x:c>
      <x:c r="E24" s="13" t="str">
        <x:v>布雷斯特</x:v>
      </x:c>
      <x:c r="F24" s="21" t="n">
        <x:v>48.244</x:v>
      </x:c>
      <x:c r="G24" s="21" t="n">
        <x:v>-4.903</x:v>
      </x:c>
      <x:c r="H24" s="13" t="str">
        <x:v>学识5；雷雨后</x:v>
      </x:c>
      <x:c r="I24" s="27" t="n">
        <x:v>2800</x:v>
      </x:c>
      <x:c r="J24" s="27" t="n">
        <x:v>150</x:v>
      </x:c>
      <x:c r="K24" s="13" t="str">
        <x:v>首奖一次，特殊天气可目击</x:v>
      </x:c>
      <x:c r="L24" s="13" t="str">
        <x:v>玩家首次完整记录；不宣称历史上首次发现</x:v>
      </x:c>
      <x:c r="M24" s="13" t="str">
        <x:v>原创传说任务；真实放电现象仅作视觉启发</x:v>
      </x:c>
      <x:c r="N24" s="13" t="str">
        <x:v>游戏地图近似布点；内陆点从所列港组织陆路远征</x:v>
      </x:c>
      <x:c r="O24" s="13" t="str">
        <x:v>EX-ELMO</x:v>
      </x:c>
    </x:row>
    <x:row r="25" ht="42" customHeight="1">
      <x:c r="A25" s="15" t="str">
        <x:v>E020</x:v>
      </x:c>
      <x:c r="B25" s="15" t="str">
        <x:v>南特彩焰试航札</x:v>
      </x:c>
      <x:c r="C25" s="15" t="str">
        <x:v>航海技术</x:v>
      </x:c>
      <x:c r="D25" s="15" t="str">
        <x:v>R02</x:v>
      </x:c>
      <x:c r="E25" s="15" t="str">
        <x:v>南特</x:v>
      </x:c>
      <x:c r="F25" s="29" t="n">
        <x:v>47.272</x:v>
      </x:c>
      <x:c r="G25" s="29" t="n">
        <x:v>-2.146</x:v>
      </x:c>
      <x:c r="H25" s="15" t="str">
        <x:v>学识5；三种信号焰</x:v>
      </x:c>
      <x:c r="I25" s="30" t="n">
        <x:v>3000</x:v>
      </x:c>
      <x:c r="J25" s="30" t="n">
        <x:v>160</x:v>
      </x:c>
      <x:c r="K25" s="15" t="str">
        <x:v>首奖一次，可重复试航委托</x:v>
      </x:c>
      <x:c r="L25" s="15" t="str">
        <x:v>玩家首次完整记录；不宣称历史上首次发现</x:v>
      </x:c>
      <x:c r="M25" s="15" t="str">
        <x:v>原创信号技术</x:v>
      </x:c>
      <x:c r="N25" s="15" t="str">
        <x:v>游戏地图近似布点；内陆点从所列港组织陆路远征</x:v>
      </x:c>
      <x:c r="O25" s="15" t="str"/>
    </x:row>
    <x:row r="26" ht="42" customHeight="1">
      <x:c r="A26" s="13" t="str">
        <x:v>E021</x:v>
      </x:c>
      <x:c r="B26" s="13" t="str">
        <x:v>威尼斯潟湖的木根城</x:v>
      </x:c>
      <x:c r="C26" s="13" t="str">
        <x:v>历史遗址</x:v>
      </x:c>
      <x:c r="D26" s="13" t="str">
        <x:v>R03</x:v>
      </x:c>
      <x:c r="E26" s="13" t="str">
        <x:v>威尼斯</x:v>
      </x:c>
      <x:c r="F26" s="21" t="n">
        <x:v>45.44</x:v>
      </x:c>
      <x:c r="G26" s="21" t="n">
        <x:v>12.315</x:v>
      </x:c>
      <x:c r="H26" s="13" t="str">
        <x:v>学识4；当地工匠向导</x:v>
      </x:c>
      <x:c r="I26" s="27" t="n">
        <x:v>2400</x:v>
      </x:c>
      <x:c r="J26" s="27" t="n">
        <x:v>140</x:v>
      </x:c>
      <x:c r="K26" s="13" t="str">
        <x:v>首奖一次，节庆补艺术页</x:v>
      </x:c>
      <x:c r="L26" s="13" t="str">
        <x:v>玩家首次完整记录；不宣称历史上首次发现</x:v>
      </x:c>
      <x:c r="M26" s="13" t="str">
        <x:v>真实对象；具体调查剧情原创</x:v>
      </x:c>
      <x:c r="N26" s="13" t="str">
        <x:v>游戏地图近似布点；内陆点从所列港组织陆路远征</x:v>
      </x:c>
      <x:c r="O26" s="13" t="str">
        <x:v>EX04</x:v>
      </x:c>
    </x:row>
    <x:row r="27" ht="42" customHeight="1">
      <x:c r="A27" s="15" t="str">
        <x:v>E022</x:v>
      </x:c>
      <x:c r="B27" s="15" t="str">
        <x:v>迦太基旧港的圆与方</x:v>
      </x:c>
      <x:c r="C27" s="15" t="str">
        <x:v>历史遗址</x:v>
      </x:c>
      <x:c r="D27" s="15" t="str">
        <x:v>R03</x:v>
      </x:c>
      <x:c r="E27" s="15" t="str">
        <x:v>突尼斯</x:v>
      </x:c>
      <x:c r="F27" s="29" t="n">
        <x:v>36.842</x:v>
      </x:c>
      <x:c r="G27" s="29" t="n">
        <x:v>10.323</x:v>
      </x:c>
      <x:c r="H27" s="15" t="str">
        <x:v>学识5；旧港图册</x:v>
      </x:c>
      <x:c r="I27" s="30" t="n">
        <x:v>3300</x:v>
      </x:c>
      <x:c r="J27" s="30" t="n">
        <x:v>190</x:v>
      </x:c>
      <x:c r="K27" s="15" t="str">
        <x:v>首奖一次</x:v>
      </x:c>
      <x:c r="L27" s="15" t="str">
        <x:v>玩家首次完整记录；不宣称历史上首次发现</x:v>
      </x:c>
      <x:c r="M27" s="15" t="str">
        <x:v>真实对象；玩法测绘简化</x:v>
      </x:c>
      <x:c r="N27" s="15" t="str">
        <x:v>游戏地图近似布点；内陆点从所列港组织陆路远征</x:v>
      </x:c>
      <x:c r="O27" s="15" t="str">
        <x:v>EX05</x:v>
      </x:c>
    </x:row>
    <x:row r="28" ht="42" customHeight="1">
      <x:c r="A28" s="13" t="str">
        <x:v>E023</x:v>
      </x:c>
      <x:c r="B28" s="13" t="str">
        <x:v>亚历山大的迟到水钟</x:v>
      </x:c>
      <x:c r="C28" s="13" t="str">
        <x:v>航海技术</x:v>
      </x:c>
      <x:c r="D28" s="13" t="str">
        <x:v>R03</x:v>
      </x:c>
      <x:c r="E28" s="13" t="str">
        <x:v>亚历山大</x:v>
      </x:c>
      <x:c r="F28" s="21" t="n">
        <x:v>31.201</x:v>
      </x:c>
      <x:c r="G28" s="21" t="n">
        <x:v>29.895</x:v>
      </x:c>
      <x:c r="H28" s="13" t="str">
        <x:v>学识4；C017或钟匠</x:v>
      </x:c>
      <x:c r="I28" s="27" t="n">
        <x:v>2600</x:v>
      </x:c>
      <x:c r="J28" s="27" t="n">
        <x:v>140</x:v>
      </x:c>
      <x:c r="K28" s="13" t="str">
        <x:v>首奖一次，可做后续校时</x:v>
      </x:c>
      <x:c r="L28" s="13" t="str">
        <x:v>玩家首次完整记录；不宣称历史上首次发现</x:v>
      </x:c>
      <x:c r="M28" s="13" t="str">
        <x:v>原创水钟事件</x:v>
      </x:c>
      <x:c r="N28" s="13" t="str">
        <x:v>游戏地图近似布点；内陆点从所列港组织陆路远征</x:v>
      </x:c>
      <x:c r="O28" s="13" t="str">
        <x:v>EX26</x:v>
      </x:c>
    </x:row>
    <x:row r="29" ht="42" customHeight="1">
      <x:c r="A29" s="15" t="str">
        <x:v>E024</x:v>
      </x:c>
      <x:c r="B29" s="15" t="str">
        <x:v>克里特的海风玫瑰</x:v>
      </x:c>
      <x:c r="C29" s="15" t="str">
        <x:v>天文观测</x:v>
      </x:c>
      <x:c r="D29" s="15" t="str">
        <x:v>R03</x:v>
      </x:c>
      <x:c r="E29" s="15" t="str">
        <x:v>坎迪亚</x:v>
      </x:c>
      <x:c r="F29" s="29" t="n">
        <x:v>35.329</x:v>
      </x:c>
      <x:c r="G29" s="29" t="n">
        <x:v>25.203</x:v>
      </x:c>
      <x:c r="H29" s="15" t="str">
        <x:v>航海5；晴夜；星盘</x:v>
      </x:c>
      <x:c r="I29" s="30" t="n">
        <x:v>2800</x:v>
      </x:c>
      <x:c r="J29" s="30" t="n">
        <x:v>160</x:v>
      </x:c>
      <x:c r="K29" s="15" t="str">
        <x:v>首奖一次，每季可补名录</x:v>
      </x:c>
      <x:c r="L29" s="15" t="str">
        <x:v>玩家首次完整记录；不宣称历史上首次发现</x:v>
      </x:c>
      <x:c r="M29" s="15" t="str">
        <x:v>原创古航图谜题</x:v>
      </x:c>
      <x:c r="N29" s="15" t="str">
        <x:v>游戏地图近似布点；内陆点从所列港组织陆路远征</x:v>
      </x:c>
      <x:c r="O29" s="15" t="str"/>
    </x:row>
    <x:row r="30" ht="42" customHeight="1">
      <x:c r="A30" s="13" t="str">
        <x:v>E025</x:v>
      </x:c>
      <x:c r="B30" s="13" t="str">
        <x:v>月铜钟的第二个声音</x:v>
      </x:c>
      <x:c r="C30" s="13" t="str">
        <x:v>艺术工艺</x:v>
      </x:c>
      <x:c r="D30" s="13" t="str">
        <x:v>R03</x:v>
      </x:c>
      <x:c r="E30" s="13" t="str">
        <x:v>君士坦丁堡</x:v>
      </x:c>
      <x:c r="F30" s="21" t="n">
        <x:v>41.025</x:v>
      </x:c>
      <x:c r="G30" s="21" t="n">
        <x:v>28.976</x:v>
      </x:c>
      <x:c r="H30" s="13" t="str">
        <x:v>学识6；受损炮管或旧钟样</x:v>
      </x:c>
      <x:c r="I30" s="27" t="n">
        <x:v>3200</x:v>
      </x:c>
      <x:c r="J30" s="27" t="n">
        <x:v>170</x:v>
      </x:c>
      <x:c r="K30" s="13" t="str">
        <x:v>首奖一次，可做铸造订单</x:v>
      </x:c>
      <x:c r="L30" s="13" t="str">
        <x:v>玩家首次完整记录；不宣称历史上首次发现</x:v>
      </x:c>
      <x:c r="M30" s="13" t="str">
        <x:v>原创金工故事</x:v>
      </x:c>
      <x:c r="N30" s="13" t="str">
        <x:v>游戏地图近似布点；内陆点从所列港组织陆路远征</x:v>
      </x:c>
      <x:c r="O30" s="13" t="str"/>
    </x:row>
    <x:row r="31" ht="42" customHeight="1">
      <x:c r="A31" s="15" t="str">
        <x:v>E026</x:v>
      </x:c>
      <x:c r="B31" s="15" t="str">
        <x:v>银桨新娘号的空箱</x:v>
      </x:c>
      <x:c r="C31" s="15" t="str">
        <x:v>沉船记录</x:v>
      </x:c>
      <x:c r="D31" s="15" t="str">
        <x:v>R03</x:v>
      </x:c>
      <x:c r="E31" s="15" t="str">
        <x:v>巴勒莫</x:v>
      </x:c>
      <x:c r="F31" s="29" t="n">
        <x:v>38.191</x:v>
      </x:c>
      <x:c r="G31" s="29" t="n">
        <x:v>13.552</x:v>
      </x:c>
      <x:c r="H31" s="15" t="str">
        <x:v>学识5；潜水引导队</x:v>
      </x:c>
      <x:c r="I31" s="30" t="n">
        <x:v>3800</x:v>
      </x:c>
      <x:c r="J31" s="30" t="n">
        <x:v>210</x:v>
      </x:c>
      <x:c r="K31" s="15" t="str">
        <x:v>首奖一次</x:v>
      </x:c>
      <x:c r="L31" s="15" t="str">
        <x:v>玩家首次完整记录；不宣称历史上首次发现</x:v>
      </x:c>
      <x:c r="M31" s="15" t="str">
        <x:v>原创沉船与私人故事</x:v>
      </x:c>
      <x:c r="N31" s="15" t="str">
        <x:v>游戏地图近似布点；内陆点从所列港组织陆路远征</x:v>
      </x:c>
      <x:c r="O31" s="15" t="str"/>
    </x:row>
    <x:row r="32" ht="42" customHeight="1">
      <x:c r="A32" s="13" t="str">
        <x:v>E027</x:v>
      </x:c>
      <x:c r="B32" s="13" t="str">
        <x:v>红枝海园</x:v>
      </x:c>
      <x:c r="C32" s="13" t="str">
        <x:v>生态观察</x:v>
      </x:c>
      <x:c r="D32" s="13" t="str">
        <x:v>R03</x:v>
      </x:c>
      <x:c r="E32" s="13" t="str">
        <x:v>阿尔及尔</x:v>
      </x:c>
      <x:c r="F32" s="21" t="n">
        <x:v>37.079</x:v>
      </x:c>
      <x:c r="G32" s="21" t="n">
        <x:v>3.48</x:v>
      </x:c>
      <x:c r="H32" s="13" t="str">
        <x:v>学识5；玻底小艇；平静白昼</x:v>
      </x:c>
      <x:c r="I32" s="27" t="n">
        <x:v>2300</x:v>
      </x:c>
      <x:c r="J32" s="27" t="n">
        <x:v>150</x:v>
      </x:c>
      <x:c r="K32" s="13" t="str">
        <x:v>首奖一次，季节复访补记录</x:v>
      </x:c>
      <x:c r="L32" s="13" t="str">
        <x:v>玩家首次完整记录；不宣称历史上首次发现</x:v>
      </x:c>
      <x:c r="M32" s="13" t="str">
        <x:v>原创海底观察点；真实珊瑚为视觉启发</x:v>
      </x:c>
      <x:c r="N32" s="13" t="str">
        <x:v>游戏地图近似布点；内陆点从所列港组织陆路远征</x:v>
      </x:c>
      <x:c r="O32" s="13" t="str">
        <x:v>EX-CORAL</x:v>
      </x:c>
    </x:row>
    <x:row r="33" ht="42" customHeight="1">
      <x:c r="A33" s="15" t="str">
        <x:v>E028</x:v>
      </x:c>
      <x:c r="B33" s="15" t="str">
        <x:v>拉古萨七家的同一扇门</x:v>
      </x:c>
      <x:c r="C33" s="15" t="str">
        <x:v>艺术工艺</x:v>
      </x:c>
      <x:c r="D33" s="15" t="str">
        <x:v>R03</x:v>
      </x:c>
      <x:c r="E33" s="15" t="str">
        <x:v>拉古萨</x:v>
      </x:c>
      <x:c r="F33" s="29" t="n">
        <x:v>42.641</x:v>
      </x:c>
      <x:c r="G33" s="29" t="n">
        <x:v>18.108</x:v>
      </x:c>
      <x:c r="H33" s="15" t="str">
        <x:v>学识4；工匠名录</x:v>
      </x:c>
      <x:c r="I33" s="30" t="n">
        <x:v>2200</x:v>
      </x:c>
      <x:c r="J33" s="30" t="n">
        <x:v>120</x:v>
      </x:c>
      <x:c r="K33" s="15" t="str">
        <x:v>首奖一次，可触发共同展览</x:v>
      </x:c>
      <x:c r="L33" s="15" t="str">
        <x:v>玩家首次完整记录；不宣称历史上首次发现</x:v>
      </x:c>
      <x:c r="M33" s="15" t="str">
        <x:v>原创工艺故事</x:v>
      </x:c>
      <x:c r="N33" s="15" t="str">
        <x:v>游戏地图近似布点；内陆点从所列港组织陆路远征</x:v>
      </x:c>
      <x:c r="O33" s="15" t="str"/>
    </x:row>
    <x:row r="34" ht="42" customHeight="1">
      <x:c r="A34" s="13" t="str">
        <x:v>E029</x:v>
      </x:c>
      <x:c r="B34" s="13" t="str">
        <x:v>会倒走的船影</x:v>
      </x:c>
      <x:c r="C34" s="13" t="str">
        <x:v>地方传说</x:v>
      </x:c>
      <x:c r="D34" s="13" t="str">
        <x:v>R03</x:v>
      </x:c>
      <x:c r="E34" s="13" t="str">
        <x:v>瓦莱塔</x:v>
      </x:c>
      <x:c r="F34" s="21" t="n">
        <x:v>35.925</x:v>
      </x:c>
      <x:c r="G34" s="21" t="n">
        <x:v>14.507</x:v>
      </x:c>
      <x:c r="H34" s="13" t="str">
        <x:v>航海5；日落前后</x:v>
      </x:c>
      <x:c r="I34" s="27" t="n">
        <x:v>2700</x:v>
      </x:c>
      <x:c r="J34" s="27" t="n">
        <x:v>150</x:v>
      </x:c>
      <x:c r="K34" s="13" t="str">
        <x:v>首奖一次，特殊天气再现</x:v>
      </x:c>
      <x:c r="L34" s="13" t="str">
        <x:v>玩家首次完整记录；不宣称历史上首次发现</x:v>
      </x:c>
      <x:c r="M34" s="13" t="str">
        <x:v>原创传说；海上光学现象为启发</x:v>
      </x:c>
      <x:c r="N34" s="13" t="str">
        <x:v>游戏地图近似布点；内陆点从所列港组织陆路远征</x:v>
      </x:c>
      <x:c r="O34" s="13" t="str"/>
    </x:row>
    <x:row r="35" ht="42" customHeight="1">
      <x:c r="A35" s="15" t="str">
        <x:v>E030</x:v>
      </x:c>
      <x:c r="B35" s="15" t="str">
        <x:v>黑海的漂流种袋</x:v>
      </x:c>
      <x:c r="C35" s="15" t="str">
        <x:v>生态观察</x:v>
      </x:c>
      <x:c r="D35" s="15" t="str">
        <x:v>R03</x:v>
      </x:c>
      <x:c r="E35" s="15" t="str">
        <x:v>卡法</x:v>
      </x:c>
      <x:c r="F35" s="29" t="n">
        <x:v>45.009</x:v>
      </x:c>
      <x:c r="G35" s="29" t="n">
        <x:v>35.689</x:v>
      </x:c>
      <x:c r="H35" s="15" t="str">
        <x:v>学识4；C004或C029</x:v>
      </x:c>
      <x:c r="I35" s="30" t="n">
        <x:v>1900</x:v>
      </x:c>
      <x:c r="J35" s="30" t="n">
        <x:v>120</x:v>
      </x:c>
      <x:c r="K35" s="15" t="str">
        <x:v>首奖一次，可继续不同种袋观察</x:v>
      </x:c>
      <x:c r="L35" s="15" t="str">
        <x:v>玩家首次完整记录；不宣称历史上首次发现</x:v>
      </x:c>
      <x:c r="M35" s="15" t="str">
        <x:v>原创漂流观察</x:v>
      </x:c>
      <x:c r="N35" s="15" t="str">
        <x:v>游戏地图近似布点；内陆点从所列港组织陆路远征</x:v>
      </x:c>
      <x:c r="O35" s="15" t="str"/>
    </x:row>
    <x:row r="36" ht="42" customHeight="1">
      <x:c r="A36" s="13" t="str">
        <x:v>E031</x:v>
      </x:c>
      <x:c r="B36" s="13" t="str">
        <x:v>马德拉云雾桂林</x:v>
      </x:c>
      <x:c r="C36" s="13" t="str">
        <x:v>自然奇观</x:v>
      </x:c>
      <x:c r="D36" s="13" t="str">
        <x:v>R04</x:v>
      </x:c>
      <x:c r="E36" s="13" t="str">
        <x:v>丰沙尔</x:v>
      </x:c>
      <x:c r="F36" s="21" t="n">
        <x:v>32.793</x:v>
      </x:c>
      <x:c r="G36" s="21" t="n">
        <x:v>-17.029</x:v>
      </x:c>
      <x:c r="H36" s="13" t="str">
        <x:v>学识4；雨后；本地林路向导</x:v>
      </x:c>
      <x:c r="I36" s="27" t="n">
        <x:v>2800</x:v>
      </x:c>
      <x:c r="J36" s="27" t="n">
        <x:v>170</x:v>
      </x:c>
      <x:c r="K36" s="13" t="str">
        <x:v>首奖一次，不同季节补生态页</x:v>
      </x:c>
      <x:c r="L36" s="13" t="str">
        <x:v>玩家首次完整记录；不宣称历史上首次发现</x:v>
      </x:c>
      <x:c r="M36" s="13" t="str">
        <x:v>真实对象；观察任务原创</x:v>
      </x:c>
      <x:c r="N36" s="13" t="str">
        <x:v>游戏地图近似布点；内陆点从所列港组织陆路远征</x:v>
      </x:c>
      <x:c r="O36" s="13" t="str">
        <x:v>EX06</x:v>
      </x:c>
    </x:row>
    <x:row r="37" ht="42" customHeight="1">
      <x:c r="A37" s="15" t="str">
        <x:v>E032</x:v>
      </x:c>
      <x:c r="B37" s="15" t="str">
        <x:v>阿尔金湾的白翼潮汐</x:v>
      </x:c>
      <x:c r="C37" s="15" t="str">
        <x:v>生态观察</x:v>
      </x:c>
      <x:c r="D37" s="15" t="str">
        <x:v>R04</x:v>
      </x:c>
      <x:c r="E37" s="15" t="str">
        <x:v>阿尔金</x:v>
      </x:c>
      <x:c r="F37" s="29" t="n">
        <x:v>20.24</x:v>
      </x:c>
      <x:c r="G37" s="29" t="n">
        <x:v>-16.23</x:v>
      </x:c>
      <x:c r="H37" s="15" t="str">
        <x:v>航海4；低潮；观察册</x:v>
      </x:c>
      <x:c r="I37" s="30" t="n">
        <x:v>2600</x:v>
      </x:c>
      <x:c r="J37" s="30" t="n">
        <x:v>170</x:v>
      </x:c>
      <x:c r="K37" s="15" t="str">
        <x:v>首奖一次，迁徙季可补图</x:v>
      </x:c>
      <x:c r="L37" s="15" t="str">
        <x:v>玩家首次完整记录；不宣称历史上首次发现</x:v>
      </x:c>
      <x:c r="M37" s="15" t="str">
        <x:v>真实对象；游戏鸟群布点简化</x:v>
      </x:c>
      <x:c r="N37" s="15" t="str">
        <x:v>游戏地图近似布点；内陆点从所列港组织陆路远征</x:v>
      </x:c>
      <x:c r="O37" s="15" t="str">
        <x:v>EX07</x:v>
      </x:c>
    </x:row>
    <x:row r="38" ht="42" customHeight="1">
      <x:c r="A38" s="13" t="str">
        <x:v>E033</x:v>
      </x:c>
      <x:c r="B38" s="13" t="str">
        <x:v>里贝拉格兰德的河海街</x:v>
      </x:c>
      <x:c r="C38" s="13" t="str">
        <x:v>历史遗址</x:v>
      </x:c>
      <x:c r="D38" s="13" t="str">
        <x:v>R04</x:v>
      </x:c>
      <x:c r="E38" s="13" t="str">
        <x:v>里贝拉格兰德</x:v>
      </x:c>
      <x:c r="F38" s="21" t="n">
        <x:v>14.916</x:v>
      </x:c>
      <x:c r="G38" s="21" t="n">
        <x:v>-23.605</x:v>
      </x:c>
      <x:c r="H38" s="13" t="str">
        <x:v>学识4；街区向导</x:v>
      </x:c>
      <x:c r="I38" s="27" t="n">
        <x:v>2500</x:v>
      </x:c>
      <x:c r="J38" s="27" t="n">
        <x:v>150</x:v>
      </x:c>
      <x:c r="K38" s="13" t="str">
        <x:v>首奖一次，可复访节庆</x:v>
      </x:c>
      <x:c r="L38" s="13" t="str">
        <x:v>玩家首次完整记录；不宣称历史上首次发现</x:v>
      </x:c>
      <x:c r="M38" s="13" t="str">
        <x:v>真实对象；特定人物与谜题原创</x:v>
      </x:c>
      <x:c r="N38" s="13" t="str">
        <x:v>游戏地图近似布点；内陆点从所列港组织陆路远征</x:v>
      </x:c>
      <x:c r="O38" s="13" t="str">
        <x:v>EX08</x:v>
      </x:c>
    </x:row>
    <x:row r="39" ht="42" customHeight="1">
      <x:c r="A39" s="15" t="str">
        <x:v>E034</x:v>
      </x:c>
      <x:c r="B39" s="15" t="str">
        <x:v>穿过云洞的纬线</x:v>
      </x:c>
      <x:c r="C39" s="15" t="str">
        <x:v>天文观测</x:v>
      </x:c>
      <x:c r="D39" s="15" t="str">
        <x:v>R04</x:v>
      </x:c>
      <x:c r="E39" s="15" t="str">
        <x:v>蓬塔德尔加达</x:v>
      </x:c>
      <x:c r="F39" s="29" t="n">
        <x:v>37.847</x:v>
      </x:c>
      <x:c r="G39" s="29" t="n">
        <x:v>-25.77</x:v>
      </x:c>
      <x:c r="H39" s="15" t="str">
        <x:v>航海5；云量间歇；象限仪</x:v>
      </x:c>
      <x:c r="I39" s="30" t="n">
        <x:v>2600</x:v>
      </x:c>
      <x:c r="J39" s="30" t="n">
        <x:v>150</x:v>
      </x:c>
      <x:c r="K39" s="15" t="str">
        <x:v>首奖一次，航季可复测</x:v>
      </x:c>
      <x:c r="L39" s="15" t="str">
        <x:v>玩家首次完整记录；不宣称历史上首次发现</x:v>
      </x:c>
      <x:c r="M39" s="15" t="str">
        <x:v>原创观测任务</x:v>
      </x:c>
      <x:c r="N39" s="15" t="str">
        <x:v>游戏地图近似布点；内陆点从所列港组织陆路远征</x:v>
      </x:c>
      <x:c r="O39" s="15" t="str"/>
    </x:row>
    <x:row r="40" ht="42" customHeight="1">
      <x:c r="A40" s="13" t="str">
        <x:v>E035</x:v>
      </x:c>
      <x:c r="B40" s="13" t="str">
        <x:v>埃尔米纳公秤的缺角</x:v>
      </x:c>
      <x:c r="C40" s="13" t="str">
        <x:v>艺术工艺</x:v>
      </x:c>
      <x:c r="D40" s="13" t="str">
        <x:v>R04</x:v>
      </x:c>
      <x:c r="E40" s="13" t="str">
        <x:v>埃尔米纳</x:v>
      </x:c>
      <x:c r="F40" s="21" t="n">
        <x:v>5.086</x:v>
      </x:c>
      <x:c r="G40" s="21" t="n">
        <x:v>-1.351</x:v>
      </x:c>
      <x:c r="H40" s="13" t="str">
        <x:v>贸易5；铜砝码三枚</x:v>
      </x:c>
      <x:c r="I40" s="27" t="n">
        <x:v>3000</x:v>
      </x:c>
      <x:c r="J40" s="27" t="n">
        <x:v>150</x:v>
      </x:c>
      <x:c r="K40" s="13" t="str">
        <x:v>首奖一次，可做验货任务</x:v>
      </x:c>
      <x:c r="L40" s="13" t="str">
        <x:v>玩家首次完整记录；不宣称历史上首次发现</x:v>
      </x:c>
      <x:c r="M40" s="13" t="str">
        <x:v>原创计量工艺故事</x:v>
      </x:c>
      <x:c r="N40" s="13" t="str">
        <x:v>游戏地图近似布点；内陆点从所列港组织陆路远征</x:v>
      </x:c>
      <x:c r="O40" s="13" t="str"/>
    </x:row>
    <x:row r="41" ht="42" customHeight="1">
      <x:c r="A41" s="15" t="str">
        <x:v>E036</x:v>
      </x:c>
      <x:c r="B41" s="15" t="str">
        <x:v>信风邮舟·蓝隼号</x:v>
      </x:c>
      <x:c r="C41" s="15" t="str">
        <x:v>沉船记录</x:v>
      </x:c>
      <x:c r="D41" s="15" t="str">
        <x:v>R04</x:v>
      </x:c>
      <x:c r="E41" s="15" t="str">
        <x:v>拉斯帕尔马斯</x:v>
      </x:c>
      <x:c r="F41" s="29" t="n">
        <x:v>27.988</x:v>
      </x:c>
      <x:c r="G41" s="29" t="n">
        <x:v>-15.202</x:v>
      </x:c>
      <x:c r="H41" s="15" t="str">
        <x:v>航海5；邮袋线索；浅水打捞装备</x:v>
      </x:c>
      <x:c r="I41" s="30" t="n">
        <x:v>3600</x:v>
      </x:c>
      <x:c r="J41" s="30" t="n">
        <x:v>190</x:v>
      </x:c>
      <x:c r="K41" s="15" t="str">
        <x:v>首奖一次，后续为递信任务</x:v>
      </x:c>
      <x:c r="L41" s="15" t="str">
        <x:v>玩家首次完整记录；不宣称历史上首次发现</x:v>
      </x:c>
      <x:c r="M41" s="15" t="str">
        <x:v>原创沉船</x:v>
      </x:c>
      <x:c r="N41" s="15" t="str">
        <x:v>游戏地图近似布点；内陆点从所列港组织陆路远征</x:v>
      </x:c>
      <x:c r="O41" s="15" t="str"/>
    </x:row>
    <x:row r="42" ht="42" customHeight="1">
      <x:c r="A42" s="13" t="str">
        <x:v>E037</x:v>
      </x:c>
      <x:c r="B42" s="13" t="str">
        <x:v>盐月沙镜</x:v>
      </x:c>
      <x:c r="C42" s="13" t="str">
        <x:v>自然奇观</x:v>
      </x:c>
      <x:c r="D42" s="13" t="str">
        <x:v>R04</x:v>
      </x:c>
      <x:c r="E42" s="13" t="str">
        <x:v>阿尔金</x:v>
      </x:c>
      <x:c r="F42" s="21" t="n">
        <x:v>20.769</x:v>
      </x:c>
      <x:c r="G42" s="21" t="n">
        <x:v>-16.579</x:v>
      </x:c>
      <x:c r="H42" s="13" t="str">
        <x:v>学识3；旱季日落</x:v>
      </x:c>
      <x:c r="I42" s="27" t="n">
        <x:v>2100</x:v>
      </x:c>
      <x:c r="J42" s="27" t="n">
        <x:v>130</x:v>
      </x:c>
      <x:c r="K42" s="13" t="str">
        <x:v>首奖一次，旱季可欣赏</x:v>
      </x:c>
      <x:c r="L42" s="13" t="str">
        <x:v>玩家首次完整记录；不宣称历史上首次发现</x:v>
      </x:c>
      <x:c r="M42" s="13" t="str">
        <x:v>原创盐田观察点</x:v>
      </x:c>
      <x:c r="N42" s="13" t="str">
        <x:v>游戏地图近似布点；内陆点从所列港组织陆路远征</x:v>
      </x:c>
      <x:c r="O42" s="13" t="str"/>
    </x:row>
    <x:row r="43" ht="42" customHeight="1">
      <x:c r="A43" s="15" t="str">
        <x:v>E038</x:v>
      </x:c>
      <x:c r="B43" s="15" t="str">
        <x:v>海岸鼓上的归航密码</x:v>
      </x:c>
      <x:c r="C43" s="15" t="str">
        <x:v>艺术工艺</x:v>
      </x:c>
      <x:c r="D43" s="15" t="str">
        <x:v>R04</x:v>
      </x:c>
      <x:c r="E43" s="15" t="str">
        <x:v>圣路易</x:v>
      </x:c>
      <x:c r="F43" s="29" t="n">
        <x:v>16.021</x:v>
      </x:c>
      <x:c r="G43" s="29" t="n">
        <x:v>-16.502</x:v>
      </x:c>
      <x:c r="H43" s="15" t="str">
        <x:v>学识4；C019或C020</x:v>
      </x:c>
      <x:c r="I43" s="30" t="n">
        <x:v>2400</x:v>
      </x:c>
      <x:c r="J43" s="30" t="n">
        <x:v>150</x:v>
      </x:c>
      <x:c r="K43" s="15" t="str">
        <x:v>首奖一次，可参与节庆</x:v>
      </x:c>
      <x:c r="L43" s="15" t="str">
        <x:v>玩家首次完整记录；不宣称历史上首次发现</x:v>
      </x:c>
      <x:c r="M43" s="15" t="str">
        <x:v>原创音乐与信号故事</x:v>
      </x:c>
      <x:c r="N43" s="15" t="str">
        <x:v>游戏地图近似布点；内陆点从所列港组织陆路远征</x:v>
      </x:c>
      <x:c r="O43" s="15" t="str"/>
    </x:row>
    <x:row r="44" ht="42" customHeight="1">
      <x:c r="A44" s="13" t="str">
        <x:v>E039</x:v>
      </x:c>
      <x:c r="B44" s="13" t="str">
        <x:v>圣多美的两种黎明</x:v>
      </x:c>
      <x:c r="C44" s="13" t="str">
        <x:v>生态观察</x:v>
      </x:c>
      <x:c r="D44" s="13" t="str">
        <x:v>R04</x:v>
      </x:c>
      <x:c r="E44" s="13" t="str">
        <x:v>圣多美</x:v>
      </x:c>
      <x:c r="F44" s="21" t="n">
        <x:v>0.246</x:v>
      </x:c>
      <x:c r="G44" s="21" t="n">
        <x:v>6.659</x:v>
      </x:c>
      <x:c r="H44" s="13" t="str">
        <x:v>学识4；晨昏各一次</x:v>
      </x:c>
      <x:c r="I44" s="27" t="n">
        <x:v>2300</x:v>
      </x:c>
      <x:c r="J44" s="27" t="n">
        <x:v>140</x:v>
      </x:c>
      <x:c r="K44" s="13" t="str">
        <x:v>首奖一次，每季补花期</x:v>
      </x:c>
      <x:c r="L44" s="13" t="str">
        <x:v>玩家首次完整记录；不宣称历史上首次发现</x:v>
      </x:c>
      <x:c r="M44" s="13" t="str">
        <x:v>原创园圃观察</x:v>
      </x:c>
      <x:c r="N44" s="13" t="str">
        <x:v>游戏地图近似布点；内陆点从所列港组织陆路远征</x:v>
      </x:c>
      <x:c r="O44" s="13" t="str"/>
    </x:row>
    <x:row r="45" ht="42" customHeight="1">
      <x:c r="A45" s="15" t="str">
        <x:v>E040</x:v>
      </x:c>
      <x:c r="B45" s="15" t="str">
        <x:v>不肯沉没的第八岛</x:v>
      </x:c>
      <x:c r="C45" s="15" t="str">
        <x:v>地方传说</x:v>
      </x:c>
      <x:c r="D45" s="15" t="str">
        <x:v>R04</x:v>
      </x:c>
      <x:c r="E45" s="15" t="str">
        <x:v>丰沙尔</x:v>
      </x:c>
      <x:c r="F45" s="29" t="n">
        <x:v>31.903</x:v>
      </x:c>
      <x:c r="G45" s="29" t="n">
        <x:v>-17.754</x:v>
      </x:c>
      <x:c r="H45" s="15" t="str">
        <x:v>航海6；三港传说碎片</x:v>
      </x:c>
      <x:c r="I45" s="30" t="n">
        <x:v>3400</x:v>
      </x:c>
      <x:c r="J45" s="30" t="n">
        <x:v>200</x:v>
      </x:c>
      <x:c r="K45" s="15" t="str">
        <x:v>首奖一次，特殊气象可复现</x:v>
      </x:c>
      <x:c r="L45" s="15" t="str">
        <x:v>玩家首次完整记录；不宣称历史上首次发现</x:v>
      </x:c>
      <x:c r="M45" s="15" t="str">
        <x:v>原创地方传说，借幻岛母题</x:v>
      </x:c>
      <x:c r="N45" s="15" t="str">
        <x:v>游戏地图近似布点；内陆点从所列港组织陆路远征</x:v>
      </x:c>
      <x:c r="O45" s="15" t="str"/>
    </x:row>
    <x:row r="46" ht="42" customHeight="1">
      <x:c r="A46" s="13" t="str">
        <x:v>E041</x:v>
      </x:c>
      <x:c r="B46" s="13" t="str">
        <x:v>基尔瓦的珊瑚庭</x:v>
      </x:c>
      <x:c r="C46" s="13" t="str">
        <x:v>历史遗址</x:v>
      </x:c>
      <x:c r="D46" s="13" t="str">
        <x:v>R05</x:v>
      </x:c>
      <x:c r="E46" s="13" t="str">
        <x:v>基尔瓦</x:v>
      </x:c>
      <x:c r="F46" s="21" t="n">
        <x:v>-8.955</x:v>
      </x:c>
      <x:c r="G46" s="21" t="n">
        <x:v>39.522</x:v>
      </x:c>
      <x:c r="H46" s="13" t="str">
        <x:v>学识5；C025或本地学馆向导</x:v>
      </x:c>
      <x:c r="I46" s="27" t="n">
        <x:v>3800</x:v>
      </x:c>
      <x:c r="J46" s="27" t="n">
        <x:v>220</x:v>
      </x:c>
      <x:c r="K46" s="13" t="str">
        <x:v>首奖一次，完成海外对照后补页</x:v>
      </x:c>
      <x:c r="L46" s="13" t="str">
        <x:v>玩家首次完整记录；不宣称历史上首次发现</x:v>
      </x:c>
      <x:c r="M46" s="13" t="str">
        <x:v>真实对象；调查链与器物剧情原创</x:v>
      </x:c>
      <x:c r="N46" s="13" t="str">
        <x:v>游戏地图近似布点；内陆点从所列港组织陆路远征</x:v>
      </x:c>
      <x:c r="O46" s="13" t="str">
        <x:v>EX09</x:v>
      </x:c>
    </x:row>
    <x:row r="47" ht="42" customHeight="1">
      <x:c r="A47" s="15" t="str">
        <x:v>E042</x:v>
      </x:c>
      <x:c r="B47" s="15" t="str">
        <x:v>大津巴布韦石墙的海路</x:v>
      </x:c>
      <x:c r="C47" s="15" t="str">
        <x:v>历史遗址</x:v>
      </x:c>
      <x:c r="D47" s="15" t="str">
        <x:v>R05</x:v>
      </x:c>
      <x:c r="E47" s="15" t="str">
        <x:v>索法拉</x:v>
      </x:c>
      <x:c r="F47" s="29" t="n">
        <x:v>-20.267</x:v>
      </x:c>
      <x:c r="G47" s="29" t="n">
        <x:v>30.934</x:v>
      </x:c>
      <x:c r="H47" s="15" t="str">
        <x:v>学识6；陆路向导；山地补给</x:v>
      </x:c>
      <x:c r="I47" s="30" t="n">
        <x:v>5200</x:v>
      </x:c>
      <x:c r="J47" s="30" t="n">
        <x:v>280</x:v>
      </x:c>
      <x:c r="K47" s="15" t="str">
        <x:v>首奖一次，可续做驿路合作</x:v>
      </x:c>
      <x:c r="L47" s="15" t="str">
        <x:v>玩家首次完整记录；不宣称历史上首次发现</x:v>
      </x:c>
      <x:c r="M47" s="15" t="str">
        <x:v>真实对象；游戏路线为时代融合设计</x:v>
      </x:c>
      <x:c r="N47" s="15" t="str">
        <x:v>游戏地图近似布点；内陆点从所列港组织陆路远征</x:v>
      </x:c>
      <x:c r="O47" s="15" t="str">
        <x:v>EX10</x:v>
      </x:c>
    </x:row>
    <x:row r="48" ht="42" customHeight="1">
      <x:c r="A48" s="13" t="str">
        <x:v>E043</x:v>
      </x:c>
      <x:c r="B48" s="13" t="str">
        <x:v>树影储水册</x:v>
      </x:c>
      <x:c r="C48" s="13" t="str">
        <x:v>生态观察</x:v>
      </x:c>
      <x:c r="D48" s="13" t="str">
        <x:v>R05</x:v>
      </x:c>
      <x:c r="E48" s="13" t="str">
        <x:v>陶拉纳鲁</x:v>
      </x:c>
      <x:c r="F48" s="21" t="n">
        <x:v>-24.872</x:v>
      </x:c>
      <x:c r="G48" s="21" t="n">
        <x:v>46.809</x:v>
      </x:c>
      <x:c r="H48" s="13" t="str">
        <x:v>学识4；C029或园圃向导</x:v>
      </x:c>
      <x:c r="I48" s="27" t="n">
        <x:v>2600</x:v>
      </x:c>
      <x:c r="J48" s="27" t="n">
        <x:v>160</x:v>
      </x:c>
      <x:c r="K48" s="13" t="str">
        <x:v>首奖一次，旱雨季各补行为页</x:v>
      </x:c>
      <x:c r="L48" s="13" t="str">
        <x:v>玩家首次完整记录；不宣称历史上首次发现</x:v>
      </x:c>
      <x:c r="M48" s="13" t="str">
        <x:v>原创植物观察点，马达加斯加生态启发</x:v>
      </x:c>
      <x:c r="N48" s="13" t="str">
        <x:v>游戏地图近似布点；内陆点从所列港组织陆路远征</x:v>
      </x:c>
      <x:c r="O48" s="13" t="str"/>
    </x:row>
    <x:row r="49" ht="42" customHeight="1">
      <x:c r="A49" s="15" t="str">
        <x:v>E044</x:v>
      </x:c>
      <x:c r="B49" s="15" t="str">
        <x:v>南岬第一次看见的星</x:v>
      </x:c>
      <x:c r="C49" s="15" t="str">
        <x:v>天文观测</x:v>
      </x:c>
      <x:c r="D49" s="15" t="str">
        <x:v>R05</x:v>
      </x:c>
      <x:c r="E49" s="15" t="str">
        <x:v>开普敦</x:v>
      </x:c>
      <x:c r="F49" s="29" t="n">
        <x:v>-34.357</x:v>
      </x:c>
      <x:c r="G49" s="29" t="n">
        <x:v>18.497</x:v>
      </x:c>
      <x:c r="H49" s="15" t="str">
        <x:v>航海5；晴夜；北天记录一份</x:v>
      </x:c>
      <x:c r="I49" s="30" t="n">
        <x:v>3300</x:v>
      </x:c>
      <x:c r="J49" s="30" t="n">
        <x:v>190</x:v>
      </x:c>
      <x:c r="K49" s="15" t="str">
        <x:v>首奖一次，不同月份可补页</x:v>
      </x:c>
      <x:c r="L49" s="15" t="str">
        <x:v>玩家首次完整记录；不宣称历史上首次发现</x:v>
      </x:c>
      <x:c r="M49" s="15" t="str">
        <x:v>原创航海天文任务</x:v>
      </x:c>
      <x:c r="N49" s="15" t="str">
        <x:v>游戏地图近似布点；内陆点从所列港组织陆路远征</x:v>
      </x:c>
      <x:c r="O49" s="15" t="str"/>
    </x:row>
    <x:row r="50" ht="42" customHeight="1">
      <x:c r="A50" s="13" t="str">
        <x:v>E045</x:v>
      </x:c>
      <x:c r="B50" s="13" t="str">
        <x:v>一千针的船</x:v>
      </x:c>
      <x:c r="C50" s="13" t="str">
        <x:v>航海技术</x:v>
      </x:c>
      <x:c r="D50" s="13" t="str">
        <x:v>R05</x:v>
      </x:c>
      <x:c r="E50" s="13" t="str">
        <x:v>莫桑比克岛</x:v>
      </x:c>
      <x:c r="F50" s="21" t="n">
        <x:v>-15.034</x:v>
      </x:c>
      <x:c r="G50" s="21" t="n">
        <x:v>40.733</x:v>
      </x:c>
      <x:c r="H50" s="13" t="str">
        <x:v>学识5；椰纤绳与木板</x:v>
      </x:c>
      <x:c r="I50" s="27" t="n">
        <x:v>3200</x:v>
      </x:c>
      <x:c r="J50" s="27" t="n">
        <x:v>170</x:v>
      </x:c>
      <x:c r="K50" s="13" t="str">
        <x:v>首奖一次，可重复手工试航</x:v>
      </x:c>
      <x:c r="L50" s="13" t="str">
        <x:v>玩家首次完整记录；不宣称历史上首次发现</x:v>
      </x:c>
      <x:c r="M50" s="13" t="str">
        <x:v>原创工匠任务，缝合船传统为设计启发</x:v>
      </x:c>
      <x:c r="N50" s="13" t="str">
        <x:v>游戏地图近似布点；内陆点从所列港组织陆路远征</x:v>
      </x:c>
      <x:c r="O50" s="13" t="str"/>
    </x:row>
    <x:row r="51" ht="42" customHeight="1">
      <x:c r="A51" s="15" t="str">
        <x:v>E046</x:v>
      </x:c>
      <x:c r="B51" s="15" t="str">
        <x:v>陶碗铺成的沉船路</x:v>
      </x:c>
      <x:c r="C51" s="15" t="str">
        <x:v>沉船记录</x:v>
      </x:c>
      <x:c r="D51" s="15" t="str">
        <x:v>R05</x:v>
      </x:c>
      <x:c r="E51" s="15" t="str">
        <x:v>桑给巴尔</x:v>
      </x:c>
      <x:c r="F51" s="29" t="n">
        <x:v>-6.218</x:v>
      </x:c>
      <x:c r="G51" s="29" t="n">
        <x:v>39.092</x:v>
      </x:c>
      <x:c r="H51" s="15" t="str">
        <x:v>学识5；器物拓图；小艇探测</x:v>
      </x:c>
      <x:c r="I51" s="30" t="n">
        <x:v>4000</x:v>
      </x:c>
      <x:c r="J51" s="30" t="n">
        <x:v>220</x:v>
      </x:c>
      <x:c r="K51" s="15" t="str">
        <x:v>首奖一次，可回访补地图</x:v>
      </x:c>
      <x:c r="L51" s="15" t="str">
        <x:v>玩家首次完整记录；不宣称历史上首次发现</x:v>
      </x:c>
      <x:c r="M51" s="15" t="str">
        <x:v>原创沉船，海流作为推断背景</x:v>
      </x:c>
      <x:c r="N51" s="15" t="str">
        <x:v>游戏地图近似布点；内陆点从所列港组织陆路远征</x:v>
      </x:c>
      <x:c r="O51" s="15" t="str">
        <x:v>EX28</x:v>
      </x:c>
    </x:row>
    <x:row r="52" ht="42" customHeight="1">
      <x:c r="A52" s="13" t="str">
        <x:v>E047</x:v>
      </x:c>
      <x:c r="B52" s="13" t="str">
        <x:v>海上的蓝色花期</x:v>
      </x:c>
      <x:c r="C52" s="13" t="str">
        <x:v>自然奇观</x:v>
      </x:c>
      <x:c r="D52" s="13" t="str">
        <x:v>R05</x:v>
      </x:c>
      <x:c r="E52" s="13" t="str">
        <x:v>路易港</x:v>
      </x:c>
      <x:c r="F52" s="21" t="n">
        <x:v>-20.157</x:v>
      </x:c>
      <x:c r="G52" s="21" t="n">
        <x:v>57.4</x:v>
      </x:c>
      <x:c r="H52" s="13" t="str">
        <x:v>学识4；无月夜；关闭甲板强灯</x:v>
      </x:c>
      <x:c r="I52" s="27" t="n">
        <x:v>2900</x:v>
      </x:c>
      <x:c r="J52" s="27" t="n">
        <x:v>180</x:v>
      </x:c>
      <x:c r="K52" s="13" t="str">
        <x:v>首奖一次，特殊海况再现</x:v>
      </x:c>
      <x:c r="L52" s="13" t="str">
        <x:v>玩家首次完整记录；不宣称历史上首次发现</x:v>
      </x:c>
      <x:c r="M52" s="13" t="str">
        <x:v>真实现象启发；具体发光点与事件原创</x:v>
      </x:c>
      <x:c r="N52" s="13" t="str">
        <x:v>游戏地图近似布点；内陆点从所列港组织陆路远征</x:v>
      </x:c>
      <x:c r="O52" s="13" t="str">
        <x:v>EX27</x:v>
      </x:c>
    </x:row>
    <x:row r="53" ht="42" customHeight="1">
      <x:c r="A53" s="15" t="str">
        <x:v>E048</x:v>
      </x:c>
      <x:c r="B53" s="15" t="str">
        <x:v>蒙巴萨木门的六种海</x:v>
      </x:c>
      <x:c r="C53" s="15" t="str">
        <x:v>艺术工艺</x:v>
      </x:c>
      <x:c r="D53" s="15" t="str">
        <x:v>R05</x:v>
      </x:c>
      <x:c r="E53" s="15" t="str">
        <x:v>蒙巴萨</x:v>
      </x:c>
      <x:c r="F53" s="29" t="n">
        <x:v>-4.055</x:v>
      </x:c>
      <x:c r="G53" s="29" t="n">
        <x:v>39.68</x:v>
      </x:c>
      <x:c r="H53" s="15" t="str">
        <x:v>学识4；工艺工具册</x:v>
      </x:c>
      <x:c r="I53" s="30" t="n">
        <x:v>2500</x:v>
      </x:c>
      <x:c r="J53" s="30" t="n">
        <x:v>140</x:v>
      </x:c>
      <x:c r="K53" s="15" t="str">
        <x:v>首奖一次，可做工艺订单</x:v>
      </x:c>
      <x:c r="L53" s="15" t="str">
        <x:v>玩家首次完整记录；不宣称历史上首次发现</x:v>
      </x:c>
      <x:c r="M53" s="15" t="str">
        <x:v>原创工艺故事</x:v>
      </x:c>
      <x:c r="N53" s="15" t="str">
        <x:v>游戏地图近似布点；内陆点从所列港组织陆路远征</x:v>
      </x:c>
      <x:c r="O53" s="15" t="str"/>
    </x:row>
    <x:row r="54" ht="42" customHeight="1">
      <x:c r="A54" s="13" t="str">
        <x:v>E049</x:v>
      </x:c>
      <x:c r="B54" s="13" t="str">
        <x:v>岬角没有主人的灯</x:v>
      </x:c>
      <x:c r="C54" s="13" t="str">
        <x:v>地方传说</x:v>
      </x:c>
      <x:c r="D54" s="13" t="str">
        <x:v>R05</x:v>
      </x:c>
      <x:c r="E54" s="13" t="str">
        <x:v>开普敦</x:v>
      </x:c>
      <x:c r="F54" s="21" t="n">
        <x:v>-34.31</x:v>
      </x:c>
      <x:c r="G54" s="21" t="n">
        <x:v>18.393</x:v>
      </x:c>
      <x:c r="H54" s="13" t="str">
        <x:v>航海6；风暴后；三份目击记录</x:v>
      </x:c>
      <x:c r="I54" s="27" t="n">
        <x:v>3600</x:v>
      </x:c>
      <x:c r="J54" s="27" t="n">
        <x:v>200</x:v>
      </x:c>
      <x:c r="K54" s="13" t="str">
        <x:v>首奖一次，重建后成为常驻灯景</x:v>
      </x:c>
      <x:c r="L54" s="13" t="str">
        <x:v>玩家首次完整记录；不宣称历史上首次发现</x:v>
      </x:c>
      <x:c r="M54" s="13" t="str">
        <x:v>原创地方传说</x:v>
      </x:c>
      <x:c r="N54" s="13" t="str">
        <x:v>游戏地图近似布点；内陆点从所列港组织陆路远征</x:v>
      </x:c>
      <x:c r="O54" s="13" t="str"/>
    </x:row>
    <x:row r="55" ht="42" customHeight="1">
      <x:c r="A55" s="15" t="str">
        <x:v>E050</x:v>
      </x:c>
      <x:c r="B55" s="15" t="str">
        <x:v>索法拉的潮沙地图</x:v>
      </x:c>
      <x:c r="C55" s="15" t="str">
        <x:v>航海技术</x:v>
      </x:c>
      <x:c r="D55" s="15" t="str">
        <x:v>R05</x:v>
      </x:c>
      <x:c r="E55" s="15" t="str">
        <x:v>索法拉</x:v>
      </x:c>
      <x:c r="F55" s="29" t="n">
        <x:v>-20.177</x:v>
      </x:c>
      <x:c r="G55" s="29" t="n">
        <x:v>34.767</x:v>
      </x:c>
      <x:c r="H55" s="15" t="str">
        <x:v>航海5；三次潮位记录；当地引航人</x:v>
      </x:c>
      <x:c r="I55" s="30" t="n">
        <x:v>2700</x:v>
      </x:c>
      <x:c r="J55" s="30" t="n">
        <x:v>160</x:v>
      </x:c>
      <x:c r="K55" s="15" t="str">
        <x:v>首奖一次，每季重绘获得委托酬金</x:v>
      </x:c>
      <x:c r="L55" s="15" t="str">
        <x:v>玩家首次完整记录；不宣称历史上首次发现</x:v>
      </x:c>
      <x:c r="M55" s="15" t="str">
        <x:v>原创测绘任务；潮流机制为背景</x:v>
      </x:c>
      <x:c r="N55" s="15" t="str">
        <x:v>游戏地图近似布点；内陆点从所列港组织陆路远征</x:v>
      </x:c>
      <x:c r="O55" s="15" t="str">
        <x:v>EX26</x:v>
      </x:c>
    </x:row>
    <x:row r="56" ht="42" customHeight="1">
      <x:c r="A56" s="13" t="str">
        <x:v>E051</x:v>
      </x:c>
      <x:c r="B56" s="13" t="str">
        <x:v>索科特拉的伞形树海</x:v>
      </x:c>
      <x:c r="C56" s="13" t="str">
        <x:v>生态观察</x:v>
      </x:c>
      <x:c r="D56" s="13" t="str">
        <x:v>R06</x:v>
      </x:c>
      <x:c r="E56" s="13" t="str">
        <x:v>亚丁</x:v>
      </x:c>
      <x:c r="F56" s="21" t="n">
        <x:v>12.565</x:v>
      </x:c>
      <x:c r="G56" s="21" t="n">
        <x:v>54.009</x:v>
      </x:c>
      <x:c r="H56" s="13" t="str">
        <x:v>学识5；本地向导；植物观察册</x:v>
      </x:c>
      <x:c r="I56" s="27" t="n">
        <x:v>3700</x:v>
      </x:c>
      <x:c r="J56" s="27" t="n">
        <x:v>230</x:v>
      </x:c>
      <x:c r="K56" s="13" t="str">
        <x:v>首奖一次，不同季节补页</x:v>
      </x:c>
      <x:c r="L56" s="13" t="str">
        <x:v>玩家首次完整记录；不宣称历史上首次发现</x:v>
      </x:c>
      <x:c r="M56" s="13" t="str">
        <x:v>真实对象；特定调查路线原创</x:v>
      </x:c>
      <x:c r="N56" s="13" t="str">
        <x:v>游戏地图近似布点；内陆点从所列港组织陆路远征</x:v>
      </x:c>
      <x:c r="O56" s="13" t="str">
        <x:v>EX11</x:v>
      </x:c>
    </x:row>
    <x:row r="57" ht="42" customHeight="1">
      <x:c r="A57" s="15" t="str">
        <x:v>E052</x:v>
      </x:c>
      <x:c r="B57" s="15" t="str">
        <x:v>佩特拉的石中水脉</x:v>
      </x:c>
      <x:c r="C57" s="15" t="str">
        <x:v>历史遗址</x:v>
      </x:c>
      <x:c r="D57" s="15" t="str">
        <x:v>R06</x:v>
      </x:c>
      <x:c r="E57" s="15" t="str">
        <x:v>亚历山大</x:v>
      </x:c>
      <x:c r="F57" s="29" t="n">
        <x:v>30.329</x:v>
      </x:c>
      <x:c r="G57" s="29" t="n">
        <x:v>35.444</x:v>
      </x:c>
      <x:c r="H57" s="15" t="str">
        <x:v>学识6；陆路远征补给；当地向导</x:v>
      </x:c>
      <x:c r="I57" s="30" t="n">
        <x:v>5600</x:v>
      </x:c>
      <x:c r="J57" s="30" t="n">
        <x:v>300</x:v>
      </x:c>
      <x:c r="K57" s="15" t="str">
        <x:v>首奖一次，可后续提交建筑图录</x:v>
      </x:c>
      <x:c r="L57" s="15" t="str">
        <x:v>玩家首次完整记录；不宣称历史上首次发现</x:v>
      </x:c>
      <x:c r="M57" s="15" t="str">
        <x:v>真实对象；路线与谜题原创</x:v>
      </x:c>
      <x:c r="N57" s="15" t="str">
        <x:v>游戏地图近似布点；内陆点从所列港组织陆路远征</x:v>
      </x:c>
      <x:c r="O57" s="15" t="str">
        <x:v>EX12</x:v>
      </x:c>
    </x:row>
    <x:row r="58" ht="42" customHeight="1">
      <x:c r="A58" s="13" t="str">
        <x:v>E053</x:v>
      </x:c>
      <x:c r="B58" s="13" t="str">
        <x:v>珍珠从海床到掌心</x:v>
      </x:c>
      <x:c r="C58" s="13" t="str">
        <x:v>艺术工艺</x:v>
      </x:c>
      <x:c r="D58" s="13" t="str">
        <x:v>R06</x:v>
      </x:c>
      <x:c r="E58" s="13" t="str">
        <x:v>巴士拉</x:v>
      </x:c>
      <x:c r="F58" s="21" t="n">
        <x:v>26.258</x:v>
      </x:c>
      <x:c r="G58" s="21" t="n">
        <x:v>50.621</x:v>
      </x:c>
      <x:c r="H58" s="13" t="str">
        <x:v>学识5；珍珠业向导；季节合适</x:v>
      </x:c>
      <x:c r="I58" s="27" t="n">
        <x:v>3400</x:v>
      </x:c>
      <x:c r="J58" s="27" t="n">
        <x:v>190</x:v>
      </x:c>
      <x:c r="K58" s="13" t="str">
        <x:v>首奖一次，季节复访补工艺页</x:v>
      </x:c>
      <x:c r="L58" s="13" t="str">
        <x:v>玩家首次完整记录；不宣称历史上首次发现</x:v>
      </x:c>
      <x:c r="M58" s="13" t="str">
        <x:v>真实采珠传统启发；不复现19世纪建筑群</x:v>
      </x:c>
      <x:c r="N58" s="13" t="str">
        <x:v>游戏地图近似布点；内陆点从所列港组织陆路远征</x:v>
      </x:c>
      <x:c r="O58" s="13" t="str">
        <x:v>EX13</x:v>
      </x:c>
    </x:row>
    <x:row r="59" ht="42" customHeight="1">
      <x:c r="A59" s="15" t="str">
        <x:v>E054</x:v>
      </x:c>
      <x:c r="B59" s="15" t="str">
        <x:v>月砂不需要月亮</x:v>
      </x:c>
      <x:c r="C59" s="15" t="str">
        <x:v>天文观测</x:v>
      </x:c>
      <x:c r="D59" s="15" t="str">
        <x:v>R06</x:v>
      </x:c>
      <x:c r="E59" s="15" t="str">
        <x:v>马斯喀特</x:v>
      </x:c>
      <x:c r="F59" s="29" t="n">
        <x:v>23.531</x:v>
      </x:c>
      <x:c r="G59" s="29" t="n">
        <x:v>58.682</x:v>
      </x:c>
      <x:c r="H59" s="15" t="str">
        <x:v>航海6；新月晴夜；C033或领航院向导</x:v>
      </x:c>
      <x:c r="I59" s="30" t="n">
        <x:v>3600</x:v>
      </x:c>
      <x:c r="J59" s="30" t="n">
        <x:v>200</x:v>
      </x:c>
      <x:c r="K59" s="15" t="str">
        <x:v>首奖一次，每季补星位</x:v>
      </x:c>
      <x:c r="L59" s="15" t="str">
        <x:v>玩家首次完整记录；不宣称历史上首次发现</x:v>
      </x:c>
      <x:c r="M59" s="15" t="str">
        <x:v>原创星航任务</x:v>
      </x:c>
      <x:c r="N59" s="15" t="str">
        <x:v>游戏地图近似布点；内陆点从所列港组织陆路远征</x:v>
      </x:c>
      <x:c r="O59" s="15" t="str"/>
    </x:row>
    <x:row r="60" ht="42" customHeight="1">
      <x:c r="A60" s="13" t="str">
        <x:v>E055</x:v>
      </x:c>
      <x:c r="B60" s="13" t="str">
        <x:v>折起来的半片天空</x:v>
      </x:c>
      <x:c r="C60" s="13" t="str">
        <x:v>航海技术</x:v>
      </x:c>
      <x:c r="D60" s="13" t="str">
        <x:v>R06</x:v>
      </x:c>
      <x:c r="E60" s="13" t="str">
        <x:v>霍尔木兹</x:v>
      </x:c>
      <x:c r="F60" s="21" t="n">
        <x:v>27.067</x:v>
      </x:c>
      <x:c r="G60" s="21" t="n">
        <x:v>56.459</x:v>
      </x:c>
      <x:c r="H60" s="13" t="str">
        <x:v>学识6；铜片、细绳与星表</x:v>
      </x:c>
      <x:c r="I60" s="27" t="n">
        <x:v>3500</x:v>
      </x:c>
      <x:c r="J60" s="27" t="n">
        <x:v>180</x:v>
      </x:c>
      <x:c r="K60" s="13" t="str">
        <x:v>首奖一次，可承接试制订单</x:v>
      </x:c>
      <x:c r="L60" s="13" t="str">
        <x:v>玩家首次完整记录；不宣称历史上首次发现</x:v>
      </x:c>
      <x:c r="M60" s="13" t="str">
        <x:v>原创仪器设计，取航海测角器物为灵感</x:v>
      </x:c>
      <x:c r="N60" s="13" t="str">
        <x:v>游戏地图近似布点；内陆点从所列港组织陆路远征</x:v>
      </x:c>
      <x:c r="O60" s="13" t="str"/>
    </x:row>
    <x:row r="61" ht="42" customHeight="1">
      <x:c r="A61" s="15" t="str">
        <x:v>E056</x:v>
      </x:c>
      <x:c r="B61" s="15" t="str">
        <x:v>红印船的空白货单</x:v>
      </x:c>
      <x:c r="C61" s="15" t="str">
        <x:v>沉船记录</x:v>
      </x:c>
      <x:c r="D61" s="15" t="str">
        <x:v>R06</x:v>
      </x:c>
      <x:c r="E61" s="15" t="str">
        <x:v>阿巴斯港</x:v>
      </x:c>
      <x:c r="F61" s="29" t="n">
        <x:v>27.044</x:v>
      </x:c>
      <x:c r="G61" s="29" t="n">
        <x:v>56.235</x:v>
      </x:c>
      <x:c r="H61" s="15" t="str">
        <x:v>学识5；密封信件线索；小艇</x:v>
      </x:c>
      <x:c r="I61" s="30" t="n">
        <x:v>4100</x:v>
      </x:c>
      <x:c r="J61" s="30" t="n">
        <x:v>220</x:v>
      </x:c>
      <x:c r="K61" s="15" t="str">
        <x:v>首奖一次</x:v>
      </x:c>
      <x:c r="L61" s="15" t="str">
        <x:v>玩家首次完整记录；不宣称历史上首次发现</x:v>
      </x:c>
      <x:c r="M61" s="15" t="str">
        <x:v>原创沉船</x:v>
      </x:c>
      <x:c r="N61" s="15" t="str">
        <x:v>游戏地图近似布点；内陆点从所列港组织陆路远征</x:v>
      </x:c>
      <x:c r="O61" s="15" t="str"/>
    </x:row>
    <x:row r="62" ht="42" customHeight="1">
      <x:c r="A62" s="13" t="str">
        <x:v>E057</x:v>
      </x:c>
      <x:c r="B62" s="13" t="str">
        <x:v>六重香木门</x:v>
      </x:c>
      <x:c r="C62" s="13" t="str">
        <x:v>艺术工艺</x:v>
      </x:c>
      <x:c r="D62" s="13" t="str">
        <x:v>R06</x:v>
      </x:c>
      <x:c r="E62" s="13" t="str">
        <x:v>摩卡</x:v>
      </x:c>
      <x:c r="F62" s="21" t="n">
        <x:v>13.321</x:v>
      </x:c>
      <x:c r="G62" s="21" t="n">
        <x:v>43.25</x:v>
      </x:c>
      <x:c r="H62" s="13" t="str">
        <x:v>学识4；三种芳香材料样品</x:v>
      </x:c>
      <x:c r="I62" s="27" t="n">
        <x:v>2400</x:v>
      </x:c>
      <x:c r="J62" s="27" t="n">
        <x:v>140</x:v>
      </x:c>
      <x:c r="K62" s="13" t="str">
        <x:v>首奖一次，可做调香订单</x:v>
      </x:c>
      <x:c r="L62" s="13" t="str">
        <x:v>玩家首次完整记录；不宣称历史上首次发现</x:v>
      </x:c>
      <x:c r="M62" s="13" t="str">
        <x:v>原创工艺调查</x:v>
      </x:c>
      <x:c r="N62" s="13" t="str">
        <x:v>游戏地图近似布点；内陆点从所列港组织陆路远征</x:v>
      </x:c>
      <x:c r="O62" s="13" t="str"/>
    </x:row>
    <x:row r="63" ht="42" customHeight="1">
      <x:c r="A63" s="15" t="str">
        <x:v>E058</x:v>
      </x:c>
      <x:c r="B63" s="15" t="str">
        <x:v>红海的青玻璃峡</x:v>
      </x:c>
      <x:c r="C63" s="15" t="str">
        <x:v>自然奇观</x:v>
      </x:c>
      <x:c r="D63" s="15" t="str">
        <x:v>R06</x:v>
      </x:c>
      <x:c r="E63" s="15" t="str">
        <x:v>萨瓦金</x:v>
      </x:c>
      <x:c r="F63" s="29" t="n">
        <x:v>19.347</x:v>
      </x:c>
      <x:c r="G63" s="29" t="n">
        <x:v>37.449</x:v>
      </x:c>
      <x:c r="H63" s="15" t="str">
        <x:v>航海5；正午平静海；玻底小艇</x:v>
      </x:c>
      <x:c r="I63" s="30" t="n">
        <x:v>3000</x:v>
      </x:c>
      <x:c r="J63" s="30" t="n">
        <x:v>180</x:v>
      </x:c>
      <x:c r="K63" s="15" t="str">
        <x:v>首奖一次，可复测色层</x:v>
      </x:c>
      <x:c r="L63" s="15" t="str">
        <x:v>玩家首次完整记录；不宣称历史上首次发现</x:v>
      </x:c>
      <x:c r="M63" s="15" t="str">
        <x:v>原创海底观察点，真实红海地理为启发</x:v>
      </x:c>
      <x:c r="N63" s="15" t="str">
        <x:v>游戏地图近似布点；内陆点从所列港组织陆路远征</x:v>
      </x:c>
      <x:c r="O63" s="15" t="str"/>
    </x:row>
    <x:row r="64" ht="42" customHeight="1">
      <x:c r="A64" s="13" t="str">
        <x:v>E059</x:v>
      </x:c>
      <x:c r="B64" s="13" t="str">
        <x:v>沙漠深井里的帆</x:v>
      </x:c>
      <x:c r="C64" s="13" t="str">
        <x:v>地方传说</x:v>
      </x:c>
      <x:c r="D64" s="13" t="str">
        <x:v>R06</x:v>
      </x:c>
      <x:c r="E64" s="13" t="str">
        <x:v>吉达</x:v>
      </x:c>
      <x:c r="F64" s="21" t="n">
        <x:v>22.124</x:v>
      </x:c>
      <x:c r="G64" s="21" t="n">
        <x:v>39.79</x:v>
      </x:c>
      <x:c r="H64" s="13" t="str">
        <x:v>学识5；陆路向导；旧商队歌</x:v>
      </x:c>
      <x:c r="I64" s="27" t="n">
        <x:v>3300</x:v>
      </x:c>
      <x:c r="J64" s="27" t="n">
        <x:v>190</x:v>
      </x:c>
      <x:c r="K64" s="13" t="str">
        <x:v>首奖一次，夜间可欣赏</x:v>
      </x:c>
      <x:c r="L64" s="13" t="str">
        <x:v>玩家首次完整记录；不宣称历史上首次发现</x:v>
      </x:c>
      <x:c r="M64" s="13" t="str">
        <x:v>原创地方传说</x:v>
      </x:c>
      <x:c r="N64" s="13" t="str">
        <x:v>游戏地图近似布点；内陆点从所列港组织陆路远征</x:v>
      </x:c>
      <x:c r="O64" s="13" t="str"/>
    </x:row>
    <x:row r="65" ht="42" customHeight="1">
      <x:c r="A65" s="15" t="str">
        <x:v>E060</x:v>
      </x:c>
      <x:c r="B65" s="15" t="str">
        <x:v>两道海风的握手</x:v>
      </x:c>
      <x:c r="C65" s="15" t="str">
        <x:v>航海技术</x:v>
      </x:c>
      <x:c r="D65" s="15" t="str">
        <x:v>R06</x:v>
      </x:c>
      <x:c r="E65" s="15" t="str">
        <x:v>摩卡</x:v>
      </x:c>
      <x:c r="F65" s="29" t="n">
        <x:v>12.41</x:v>
      </x:c>
      <x:c r="G65" s="29" t="n">
        <x:v>43.532</x:v>
      </x:c>
      <x:c r="H65" s="15" t="str">
        <x:v>航海6；换季窗口；三日观测</x:v>
      </x:c>
      <x:c r="I65" s="30" t="n">
        <x:v>3400</x:v>
      </x:c>
      <x:c r="J65" s="30" t="n">
        <x:v>190</x:v>
      </x:c>
      <x:c r="K65" s="15" t="str">
        <x:v>首奖一次，季节复测获得新窗口</x:v>
      </x:c>
      <x:c r="L65" s="15" t="str">
        <x:v>玩家首次完整记录；不宣称历史上首次发现</x:v>
      </x:c>
      <x:c r="M65" s="15" t="str">
        <x:v>原创换季观测任务</x:v>
      </x:c>
      <x:c r="N65" s="15" t="str">
        <x:v>游戏地图近似布点；内陆点从所列港组织陆路远征</x:v>
      </x:c>
      <x:c r="O65" s="15" t="str"/>
    </x:row>
    <x:row r="66" ht="42" customHeight="1">
      <x:c r="A66" s="13" t="str">
        <x:v>E061</x:v>
      </x:c>
      <x:c r="B66" s="13" t="str">
        <x:v>狮岩·悬空莲池</x:v>
      </x:c>
      <x:c r="C66" s="13" t="str">
        <x:v>历史遗址</x:v>
      </x:c>
      <x:c r="D66" s="13" t="str">
        <x:v>R07</x:v>
      </x:c>
      <x:c r="E66" s="13" t="str">
        <x:v>科伦坡</x:v>
      </x:c>
      <x:c r="F66" s="21" t="n">
        <x:v>7.957</x:v>
      </x:c>
      <x:c r="G66" s="21" t="n">
        <x:v>80.76</x:v>
      </x:c>
      <x:c r="H66" s="13" t="str">
        <x:v>学识4；由科伦坡组织陆行；C039或当地讲述者</x:v>
      </x:c>
      <x:c r="I66" s="27" t="n">
        <x:v>4200</x:v>
      </x:c>
      <x:c r="J66" s="27" t="n">
        <x:v>220</x:v>
      </x:c>
      <x:c r="K66" s="13" t="str">
        <x:v>首奖一次；可换晨昏图录版本</x:v>
      </x:c>
      <x:c r="L66" s="13" t="str">
        <x:v>玩家首次完整记录；美术、任务步骤、角色联系与奖励均为原创游戏设计。</x:v>
      </x:c>
      <x:c r="M66" s="13" t="str">
        <x:v>真实对象；调查故事原创</x:v>
      </x:c>
      <x:c r="N66" s="13" t="str">
        <x:v>游戏地图近似布点；内陆点从所列最近港组织陆路远征，外海点允许设置临时锚地。</x:v>
      </x:c>
      <x:c r="O66" s="13" t="str">
        <x:v>EX14</x:v>
      </x:c>
    </x:row>
    <x:row r="67" ht="42" customHeight="1">
      <x:c r="A67" s="15" t="str">
        <x:v>E062</x:v>
      </x:c>
      <x:c r="B67" s="15" t="str">
        <x:v>黑胡椒之环</x:v>
      </x:c>
      <x:c r="C67" s="15" t="str">
        <x:v>生态观察</x:v>
      </x:c>
      <x:c r="D67" s="15" t="str">
        <x:v>R07</x:v>
      </x:c>
      <x:c r="E67" s="15" t="str">
        <x:v>卡利卡特</x:v>
      </x:c>
      <x:c r="F67" s="29" t="n">
        <x:v>11.45</x:v>
      </x:c>
      <x:c r="G67" s="29" t="n">
        <x:v>75.96</x:v>
      </x:c>
      <x:c r="H67" s="15" t="str">
        <x:v>学识3；C040或香料园向导；胡椒结果季</x:v>
      </x:c>
      <x:c r="I67" s="30" t="n">
        <x:v>2500</x:v>
      </x:c>
      <x:c r="J67" s="30" t="n">
        <x:v>140</x:v>
      </x:c>
      <x:c r="K67" s="15" t="str">
        <x:v>首奖一次；每产季更新风味记录</x:v>
      </x:c>
      <x:c r="L67" s="15" t="str">
        <x:v>玩家首次完整记录；美术、任务步骤、角色联系与奖励均为原创游戏设计。</x:v>
      </x:c>
      <x:c r="M67" s="15" t="str">
        <x:v>现实启发的原创任务</x:v>
      </x:c>
      <x:c r="N67" s="15" t="str">
        <x:v>游戏地图近似布点；内陆点从所列最近港组织陆路远征，外海点允许设置临时锚地。</x:v>
      </x:c>
      <x:c r="O67" s="15" t="str"/>
    </x:row>
    <x:row r="68" ht="42" customHeight="1">
      <x:c r="A68" s="13" t="str">
        <x:v>E063</x:v>
      </x:c>
      <x:c r="B68" s="13" t="str">
        <x:v>蓝星藏在河砂里</x:v>
      </x:c>
      <x:c r="C68" s="13" t="str">
        <x:v>自然奇观</x:v>
      </x:c>
      <x:c r="D68" s="13" t="str">
        <x:v>R07</x:v>
      </x:c>
      <x:c r="E68" s="13" t="str">
        <x:v>科伦坡</x:v>
      </x:c>
      <x:c r="F68" s="21" t="n">
        <x:v>6.68</x:v>
      </x:c>
      <x:c r="G68" s="21" t="n">
        <x:v>80.42</x:v>
      </x:c>
      <x:c r="H68" s="13" t="str">
        <x:v>学识4；筛砂工具；当地宝石匠</x:v>
      </x:c>
      <x:c r="I68" s="27" t="n">
        <x:v>3900</x:v>
      </x:c>
      <x:c r="J68" s="27" t="n">
        <x:v>180</x:v>
      </x:c>
      <x:c r="K68" s="13" t="str">
        <x:v>首奖一次；后续可接分级委托</x:v>
      </x:c>
      <x:c r="L68" s="13" t="str">
        <x:v>玩家首次完整记录；美术、任务步骤、角色联系与奖励均为原创游戏设计。</x:v>
      </x:c>
      <x:c r="M68" s="13" t="str">
        <x:v>现实启发的原创任务</x:v>
      </x:c>
      <x:c r="N68" s="13" t="str">
        <x:v>游戏地图近似布点；内陆点从所列最近港组织陆路远征，外海点允许设置临时锚地。</x:v>
      </x:c>
      <x:c r="O68" s="13" t="str"/>
    </x:row>
    <x:row r="69" ht="42" customHeight="1">
      <x:c r="A69" s="15" t="str">
        <x:v>E064</x:v>
      </x:c>
      <x:c r="B69" s="15" t="str">
        <x:v>渔网向月亮倾斜</x:v>
      </x:c>
      <x:c r="C69" s="15" t="str">
        <x:v>航海技术</x:v>
      </x:c>
      <x:c r="D69" s="15" t="str">
        <x:v>R07</x:v>
      </x:c>
      <x:c r="E69" s="15" t="str">
        <x:v>柯钦</x:v>
      </x:c>
      <x:c r="F69" s="29" t="n">
        <x:v>9.97</x:v>
      </x:c>
      <x:c r="G69" s="29" t="n">
        <x:v>76.245</x:v>
      </x:c>
      <x:c r="H69" s="15" t="str">
        <x:v>航海4；测深绳；C042或潟湖渔人</x:v>
      </x:c>
      <x:c r="I69" s="30" t="n">
        <x:v>3200</x:v>
      </x:c>
      <x:c r="J69" s="30" t="n">
        <x:v>170</x:v>
      </x:c>
      <x:c r="K69" s="15" t="str">
        <x:v>首奖一次；潮表可随航季更新</x:v>
      </x:c>
      <x:c r="L69" s="15" t="str">
        <x:v>玩家首次完整记录；美术、任务步骤、角色联系与奖励均为原创游戏设计。</x:v>
      </x:c>
      <x:c r="M69" s="15" t="str">
        <x:v>现实启发的原创任务</x:v>
      </x:c>
      <x:c r="N69" s="15" t="str">
        <x:v>游戏地图近似布点；内陆点从所列最近港组织陆路远征，外海点允许设置临时锚地。</x:v>
      </x:c>
      <x:c r="O69" s="15" t="str">
        <x:v>EX26</x:v>
      </x:c>
    </x:row>
    <x:row r="70" ht="42" customHeight="1">
      <x:c r="A70" s="13" t="str">
        <x:v>E065</x:v>
      </x:c>
      <x:c r="B70" s="13" t="str">
        <x:v>会呼吸的印花</x:v>
      </x:c>
      <x:c r="C70" s="13" t="str">
        <x:v>艺术工艺</x:v>
      </x:c>
      <x:c r="D70" s="13" t="str">
        <x:v>R07</x:v>
      </x:c>
      <x:c r="E70" s="13" t="str">
        <x:v>苏拉特</x:v>
      </x:c>
      <x:c r="F70" s="21" t="n">
        <x:v>21.19</x:v>
      </x:c>
      <x:c r="G70" s="21" t="n">
        <x:v>72.82</x:v>
      </x:c>
      <x:c r="H70" s="13" t="str">
        <x:v>学识4；带G043棉布2货载；C037或当地印染师</x:v>
      </x:c>
      <x:c r="I70" s="27" t="n">
        <x:v>3600</x:v>
      </x:c>
      <x:c r="J70" s="27" t="n">
        <x:v>180</x:v>
      </x:c>
      <x:c r="K70" s="13" t="str">
        <x:v>首奖一次；可复做小批品牌委托</x:v>
      </x:c>
      <x:c r="L70" s="13" t="str">
        <x:v>玩家首次完整记录；美术、任务步骤、角色联系与奖励均为原创游戏设计。</x:v>
      </x:c>
      <x:c r="M70" s="13" t="str">
        <x:v>现实启发的原创任务</x:v>
      </x:c>
      <x:c r="N70" s="13" t="str">
        <x:v>游戏地图近似布点；内陆点从所列最近港组织陆路远征，外海点允许设置临时锚地。</x:v>
      </x:c>
      <x:c r="O70" s="13" t="str">
        <x:v>EX34</x:v>
      </x:c>
    </x:row>
    <x:row r="71" ht="42" customHeight="1">
      <x:c r="A71" s="15" t="str">
        <x:v>E066</x:v>
      </x:c>
      <x:c r="B71" s="15" t="str">
        <x:v>沉默的双桅钟</x:v>
      </x:c>
      <x:c r="C71" s="15" t="str">
        <x:v>沉船记录</x:v>
      </x:c>
      <x:c r="D71" s="15" t="str">
        <x:v>R07</x:v>
      </x:c>
      <x:c r="E71" s="15" t="str">
        <x:v>果阿</x:v>
      </x:c>
      <x:c r="F71" s="29" t="n">
        <x:v>15.12</x:v>
      </x:c>
      <x:c r="G71" s="29" t="n">
        <x:v>73.59</x:v>
      </x:c>
      <x:c r="H71" s="15" t="str">
        <x:v>航海5；打捞索具；果阿旧船图</x:v>
      </x:c>
      <x:c r="I71" s="30" t="n">
        <x:v>4400</x:v>
      </x:c>
      <x:c r="J71" s="30" t="n">
        <x:v>210</x:v>
      </x:c>
      <x:c r="K71" s="15" t="str">
        <x:v>首奖一次；复访开放纪念夜谈</x:v>
      </x:c>
      <x:c r="L71" s="15" t="str">
        <x:v>玩家首次完整记录；美术、任务步骤、角色联系与奖励均为原创游戏设计。</x:v>
      </x:c>
      <x:c r="M71" s="15" t="str">
        <x:v>纯原创</x:v>
      </x:c>
      <x:c r="N71" s="15" t="str">
        <x:v>游戏地图近似布点；内陆点从所列最近港组织陆路远征，外海点允许设置临时锚地。</x:v>
      </x:c>
      <x:c r="O71" s="15" t="str"/>
    </x:row>
    <x:row r="72" ht="42" customHeight="1">
      <x:c r="A72" s="13" t="str">
        <x:v>E067</x:v>
      </x:c>
      <x:c r="B72" s="13" t="str">
        <x:v>向水里迁徙的森林</x:v>
      </x:c>
      <x:c r="C72" s="13" t="str">
        <x:v>生态观察</x:v>
      </x:c>
      <x:c r="D72" s="13" t="str">
        <x:v>R07</x:v>
      </x:c>
      <x:c r="E72" s="13" t="str">
        <x:v>胡格利</x:v>
      </x:c>
      <x:c r="F72" s="21" t="n">
        <x:v>21.9</x:v>
      </x:c>
      <x:c r="G72" s="21" t="n">
        <x:v>89.35</x:v>
      </x:c>
      <x:c r="H72" s="13" t="str">
        <x:v>航海5或学识4；C042或红树林向导；小艇</x:v>
      </x:c>
      <x:c r="I72" s="27" t="n">
        <x:v>4700</x:v>
      </x:c>
      <x:c r="J72" s="27" t="n">
        <x:v>240</x:v>
      </x:c>
      <x:c r="K72" s="13" t="str">
        <x:v>首奖一次；可补雨季与旱季记录</x:v>
      </x:c>
      <x:c r="L72" s="13" t="str">
        <x:v>玩家首次完整记录；美术、任务步骤、角色联系与奖励均为原创游戏设计。</x:v>
      </x:c>
      <x:c r="M72" s="13" t="str">
        <x:v>真实对象；调查故事原创</x:v>
      </x:c>
      <x:c r="N72" s="13" t="str">
        <x:v>游戏地图近似布点；内陆点从所列最近港组织陆路远征，外海点允许设置临时锚地。</x:v>
      </x:c>
      <x:c r="O72" s="13" t="str">
        <x:v>EX32；EX26</x:v>
      </x:c>
    </x:row>
    <x:row r="73" ht="42" customHeight="1">
      <x:c r="A73" s="15" t="str">
        <x:v>E068</x:v>
      </x:c>
      <x:c r="B73" s="15" t="str">
        <x:v>双子风向碑</x:v>
      </x:c>
      <x:c r="C73" s="15" t="str">
        <x:v>地方传说</x:v>
      </x:c>
      <x:c r="D73" s="15" t="str">
        <x:v>R07</x:v>
      </x:c>
      <x:c r="E73" s="15" t="str">
        <x:v>马德拉斯</x:v>
      </x:c>
      <x:c r="F73" s="29" t="n">
        <x:v>12.86</x:v>
      </x:c>
      <x:c r="G73" s="29" t="n">
        <x:v>80.25</x:v>
      </x:c>
      <x:c r="H73" s="15" t="str">
        <x:v>学识3；C041或海岸说书人；任选两个相反航季</x:v>
      </x:c>
      <x:c r="I73" s="30" t="n">
        <x:v>2800</x:v>
      </x:c>
      <x:c r="J73" s="30" t="n">
        <x:v>160</x:v>
      </x:c>
      <x:c r="K73" s="15" t="str">
        <x:v>首奖一次；不同伙伴有不同歌谣演出</x:v>
      </x:c>
      <x:c r="L73" s="15" t="str">
        <x:v>玩家首次完整记录；美术、任务步骤、角色联系与奖励均为原创游戏设计。</x:v>
      </x:c>
      <x:c r="M73" s="15" t="str">
        <x:v>纯原创</x:v>
      </x:c>
      <x:c r="N73" s="15" t="str">
        <x:v>游戏地图近似布点；内陆点从所列最近港组织陆路远征，外海点允许设置临时锚地。</x:v>
      </x:c>
      <x:c r="O73" s="15" t="str"/>
    </x:row>
    <x:row r="74" ht="42" customHeight="1">
      <x:c r="A74" s="13" t="str">
        <x:v>E069</x:v>
      </x:c>
      <x:c r="B74" s="13" t="str">
        <x:v>缝在帆里的星</x:v>
      </x:c>
      <x:c r="C74" s="13" t="str">
        <x:v>天文观测</x:v>
      </x:c>
      <x:c r="D74" s="13" t="str">
        <x:v>R07</x:v>
      </x:c>
      <x:c r="E74" s="13" t="str">
        <x:v>吉大港</x:v>
      </x:c>
      <x:c r="F74" s="21" t="n">
        <x:v>22.21</x:v>
      </x:c>
      <x:c r="G74" s="21" t="n">
        <x:v>91.82</x:v>
      </x:c>
      <x:c r="H74" s="13" t="str">
        <x:v>航海6或学识5；星盘；C041或C042</x:v>
      </x:c>
      <x:c r="I74" s="27" t="n">
        <x:v>4600</x:v>
      </x:c>
      <x:c r="J74" s="27" t="n">
        <x:v>250</x:v>
      </x:c>
      <x:c r="K74" s="13" t="str">
        <x:v>首奖一次；晴夜可补观测页</x:v>
      </x:c>
      <x:c r="L74" s="13" t="str">
        <x:v>玩家首次完整记录；美术、任务步骤、角色联系与奖励均为原创游戏设计。</x:v>
      </x:c>
      <x:c r="M74" s="13" t="str">
        <x:v>现实启发的原创任务</x:v>
      </x:c>
      <x:c r="N74" s="13" t="str">
        <x:v>游戏地图近似布点；内陆点从所列最近港组织陆路远征，外海点允许设置临时锚地。</x:v>
      </x:c>
      <x:c r="O74" s="13" t="str">
        <x:v>EX30</x:v>
      </x:c>
    </x:row>
    <x:row r="75" ht="42" customHeight="1">
      <x:c r="A75" s="15" t="str">
        <x:v>E070</x:v>
      </x:c>
      <x:c r="B75" s="15" t="str">
        <x:v>不凋的航帆花园</x:v>
      </x:c>
      <x:c r="C75" s="15" t="str">
        <x:v>艺术工艺</x:v>
      </x:c>
      <x:c r="D75" s="15" t="str">
        <x:v>R07</x:v>
      </x:c>
      <x:c r="E75" s="15" t="str">
        <x:v>马苏利帕特南</x:v>
      </x:c>
      <x:c r="F75" s="29" t="n">
        <x:v>16.19</x:v>
      </x:c>
      <x:c r="G75" s="29" t="n">
        <x:v>81.12</x:v>
      </x:c>
      <x:c r="H75" s="15" t="str">
        <x:v>学识4；携带两地区植物图页；C040或当地画布匠</x:v>
      </x:c>
      <x:c r="I75" s="30" t="n">
        <x:v>4100</x:v>
      </x:c>
      <x:c r="J75" s="30" t="n">
        <x:v>200</x:v>
      </x:c>
      <x:c r="K75" s="15" t="str">
        <x:v>首奖一次；新伙伴可追加独立边饰</x:v>
      </x:c>
      <x:c r="L75" s="15" t="str">
        <x:v>玩家首次完整记录；美术、任务步骤、角色联系与奖励均为原创游戏设计。</x:v>
      </x:c>
      <x:c r="M75" s="15" t="str">
        <x:v>纯原创</x:v>
      </x:c>
      <x:c r="N75" s="15" t="str">
        <x:v>游戏地图近似布点；内陆点从所列最近港组织陆路远征，外海点允许设置临时锚地。</x:v>
      </x:c>
      <x:c r="O75" s="15" t="str"/>
    </x:row>
    <x:row r="76" ht="42" customHeight="1">
      <x:c r="A76" s="13" t="str">
        <x:v>E071</x:v>
      </x:c>
      <x:c r="B76" s="13" t="str">
        <x:v>星屑湾·夜光海</x:v>
      </x:c>
      <x:c r="C76" s="13" t="str">
        <x:v>生态观察</x:v>
      </x:c>
      <x:c r="D76" s="13" t="str">
        <x:v>R08</x:v>
      </x:c>
      <x:c r="E76" s="13" t="str">
        <x:v>班达奈拉</x:v>
      </x:c>
      <x:c r="F76" s="21" t="n">
        <x:v>-4.55</x:v>
      </x:c>
      <x:c r="G76" s="21" t="n">
        <x:v>129.92</x:v>
      </x:c>
      <x:c r="H76" s="13" t="str">
        <x:v>学识4；无月晴夜；C044或当地渔人</x:v>
      </x:c>
      <x:c r="I76" s="27" t="n">
        <x:v>3900</x:v>
      </x:c>
      <x:c r="J76" s="27" t="n">
        <x:v>210</x:v>
      </x:c>
      <x:c r="K76" s="13" t="str">
        <x:v>首奖一次；可在不同月相复访</x:v>
      </x:c>
      <x:c r="L76" s="13" t="str">
        <x:v>玩家首次完整记录；美术、任务步骤、角色联系与奖励均为原创游戏设计。</x:v>
      </x:c>
      <x:c r="M76" s="13" t="str">
        <x:v>现实启发的原创任务</x:v>
      </x:c>
      <x:c r="N76" s="13" t="str">
        <x:v>游戏地图近似布点；内陆点从所列最近港组织陆路远征，外海点允许设置临时锚地。</x:v>
      </x:c>
      <x:c r="O76" s="13" t="str">
        <x:v>EX27</x:v>
      </x:c>
    </x:row>
    <x:row r="77" ht="42" customHeight="1">
      <x:c r="A77" s="15" t="str">
        <x:v>E072</x:v>
      </x:c>
      <x:c r="B77" s="15" t="str">
        <x:v>三种文字的仓门</x:v>
      </x:c>
      <x:c r="C77" s="15" t="str">
        <x:v>历史遗址</x:v>
      </x:c>
      <x:c r="D77" s="15" t="str">
        <x:v>R08</x:v>
      </x:c>
      <x:c r="E77" s="15" t="str">
        <x:v>马六甲</x:v>
      </x:c>
      <x:c r="F77" s="29" t="n">
        <x:v>2.193</x:v>
      </x:c>
      <x:c r="G77" s="29" t="n">
        <x:v>102.249</x:v>
      </x:c>
      <x:c r="H77" s="15" t="str">
        <x:v>学识4；C043或码头译员</x:v>
      </x:c>
      <x:c r="I77" s="30" t="n">
        <x:v>3400</x:v>
      </x:c>
      <x:c r="J77" s="30" t="n">
        <x:v>190</x:v>
      </x:c>
      <x:c r="K77" s="15" t="str">
        <x:v>首奖一次；复访可听不同语言朗读</x:v>
      </x:c>
      <x:c r="L77" s="15" t="str">
        <x:v>玩家首次完整记录；美术、任务步骤、角色联系与奖励均为原创游戏设计。</x:v>
      </x:c>
      <x:c r="M77" s="15" t="str">
        <x:v>真实对象；调查故事原创</x:v>
      </x:c>
      <x:c r="N77" s="15" t="str">
        <x:v>游戏地图近似布点；内陆点从所列最近港组织陆路远征，外海点允许设置临时锚地。</x:v>
      </x:c>
      <x:c r="O77" s="15" t="str">
        <x:v>EX15</x:v>
      </x:c>
    </x:row>
    <x:row r="78" ht="42" customHeight="1">
      <x:c r="A78" s="13" t="str">
        <x:v>E073</x:v>
      </x:c>
      <x:c r="B78" s="13" t="str">
        <x:v>绯冠之岛</x:v>
      </x:c>
      <x:c r="C78" s="13" t="str">
        <x:v>生态观察</x:v>
      </x:c>
      <x:c r="D78" s="13" t="str">
        <x:v>R08</x:v>
      </x:c>
      <x:c r="E78" s="13" t="str">
        <x:v>班达奈拉</x:v>
      </x:c>
      <x:c r="F78" s="21" t="n">
        <x:v>-4.54</x:v>
      </x:c>
      <x:c r="G78" s="21" t="n">
        <x:v>129.88</x:v>
      </x:c>
      <x:c r="H78" s="13" t="str">
        <x:v>学识4；C046或种植者向导；肉豆蔻成熟季</x:v>
      </x:c>
      <x:c r="I78" s="27" t="n">
        <x:v>3800</x:v>
      </x:c>
      <x:c r="J78" s="27" t="n">
        <x:v>220</x:v>
      </x:c>
      <x:c r="K78" s="13" t="str">
        <x:v>首奖一次；每产季可接工坊图录</x:v>
      </x:c>
      <x:c r="L78" s="13" t="str">
        <x:v>玩家首次完整记录；美术、任务步骤、角色联系与奖励均为原创游戏设计。</x:v>
      </x:c>
      <x:c r="M78" s="13" t="str">
        <x:v>真实对象；调查故事原创</x:v>
      </x:c>
      <x:c r="N78" s="13" t="str">
        <x:v>游戏地图近似布点；内陆点从所列最近港组织陆路远征，外海点允许设置临时锚地。</x:v>
      </x:c>
      <x:c r="O78" s="13" t="str">
        <x:v>EX31</x:v>
      </x:c>
    </x:row>
    <x:row r="79" ht="42" customHeight="1">
      <x:c r="A79" s="15" t="str">
        <x:v>E074</x:v>
      </x:c>
      <x:c r="B79" s="15" t="str">
        <x:v>火山的影子越过大海</x:v>
      </x:c>
      <x:c r="C79" s="15" t="str">
        <x:v>自然奇观</x:v>
      </x:c>
      <x:c r="D79" s="15" t="str">
        <x:v>R08</x:v>
      </x:c>
      <x:c r="E79" s="15" t="str">
        <x:v>特尔纳特</x:v>
      </x:c>
      <x:c r="F79" s="29" t="n">
        <x:v>0.81</x:v>
      </x:c>
      <x:c r="G79" s="29" t="n">
        <x:v>127.33</x:v>
      </x:c>
      <x:c r="H79" s="15" t="str">
        <x:v>航海5；日出前抵近外海；C048或山地向导</x:v>
      </x:c>
      <x:c r="I79" s="30" t="n">
        <x:v>4200</x:v>
      </x:c>
      <x:c r="J79" s="30" t="n">
        <x:v>220</x:v>
      </x:c>
      <x:c r="K79" s="15" t="str">
        <x:v>首奖一次；晨昏形成两张不同图页</x:v>
      </x:c>
      <x:c r="L79" s="15" t="str">
        <x:v>玩家首次完整记录；美术、任务步骤、角色联系与奖励均为原创游戏设计。</x:v>
      </x:c>
      <x:c r="M79" s="15" t="str">
        <x:v>现实启发的原创任务</x:v>
      </x:c>
      <x:c r="N79" s="15" t="str">
        <x:v>游戏地图近似布点；内陆点从所列最近港组织陆路远征，外海点允许设置临时锚地。</x:v>
      </x:c>
      <x:c r="O79" s="15" t="str"/>
    </x:row>
    <x:row r="80" ht="42" customHeight="1">
      <x:c r="A80" s="13" t="str">
        <x:v>E075</x:v>
      </x:c>
      <x:c r="B80" s="13" t="str">
        <x:v>消失的水街</x:v>
      </x:c>
      <x:c r="C80" s="13" t="str">
        <x:v>沉船记录</x:v>
      </x:c>
      <x:c r="D80" s="13" t="str">
        <x:v>R08</x:v>
      </x:c>
      <x:c r="E80" s="13" t="str">
        <x:v>文莱</x:v>
      </x:c>
      <x:c r="F80" s="21" t="n">
        <x:v>4.91</x:v>
      </x:c>
      <x:c r="G80" s="21" t="n">
        <x:v>114.95</x:v>
      </x:c>
      <x:c r="H80" s="13" t="str">
        <x:v>航海4；浅水探查工具；文莱木匠</x:v>
      </x:c>
      <x:c r="I80" s="27" t="n">
        <x:v>3500</x:v>
      </x:c>
      <x:c r="J80" s="27" t="n">
        <x:v>190</x:v>
      </x:c>
      <x:c r="K80" s="13" t="str">
        <x:v>首奖一次；模型建成后开放水街庆典</x:v>
      </x:c>
      <x:c r="L80" s="13" t="str">
        <x:v>玩家首次完整记录；美术、任务步骤、角色联系与奖励均为原创游戏设计。</x:v>
      </x:c>
      <x:c r="M80" s="13" t="str">
        <x:v>纯原创</x:v>
      </x:c>
      <x:c r="N80" s="13" t="str">
        <x:v>游戏地图近似布点；内陆点从所列最近港组织陆路远征，外海点允许设置临时锚地。</x:v>
      </x:c>
      <x:c r="O80" s="13" t="str"/>
    </x:row>
    <x:row r="81" ht="42" customHeight="1">
      <x:c r="A81" s="15" t="str">
        <x:v>E076</x:v>
      </x:c>
      <x:c r="B81" s="15" t="str">
        <x:v>用浪声认岛</x:v>
      </x:c>
      <x:c r="C81" s="15" t="str">
        <x:v>航海技术</x:v>
      </x:c>
      <x:c r="D81" s="15" t="str">
        <x:v>R08</x:v>
      </x:c>
      <x:c r="E81" s="15" t="str">
        <x:v>望加锡</x:v>
      </x:c>
      <x:c r="F81" s="29" t="n">
        <x:v>-5.25</x:v>
      </x:c>
      <x:c r="G81" s="29" t="n">
        <x:v>119.19</x:v>
      </x:c>
      <x:c r="H81" s="15" t="str">
        <x:v>航海5；C048或苏拉威西领航员</x:v>
      </x:c>
      <x:c r="I81" s="30" t="n">
        <x:v>4300</x:v>
      </x:c>
      <x:c r="J81" s="30" t="n">
        <x:v>230</x:v>
      </x:c>
      <x:c r="K81" s="15" t="str">
        <x:v>首奖一次；不同风向可增加图谱页</x:v>
      </x:c>
      <x:c r="L81" s="15" t="str">
        <x:v>玩家首次完整记录；美术、任务步骤、角色联系与奖励均为原创游戏设计。</x:v>
      </x:c>
      <x:c r="M81" s="15" t="str">
        <x:v>现实启发的原创任务</x:v>
      </x:c>
      <x:c r="N81" s="15" t="str">
        <x:v>游戏地图近似布点；内陆点从所列最近港组织陆路远征，外海点允许设置临时锚地。</x:v>
      </x:c>
      <x:c r="O81" s="15" t="str">
        <x:v>EX30</x:v>
      </x:c>
    </x:row>
    <x:row r="82" ht="42" customHeight="1">
      <x:c r="A82" s="13" t="str">
        <x:v>E077</x:v>
      </x:c>
      <x:c r="B82" s="13" t="str">
        <x:v>没有点亮的第七盏灯</x:v>
      </x:c>
      <x:c r="C82" s="13" t="str">
        <x:v>艺术工艺</x:v>
      </x:c>
      <x:c r="D82" s="13" t="str">
        <x:v>R08</x:v>
      </x:c>
      <x:c r="E82" s="13" t="str">
        <x:v>会安</x:v>
      </x:c>
      <x:c r="F82" s="21" t="n">
        <x:v>15.875</x:v>
      </x:c>
      <x:c r="G82" s="21" t="n">
        <x:v>108.334</x:v>
      </x:c>
      <x:c r="H82" s="13" t="str">
        <x:v>学识3；C045或会安灯匠；黄昏</x:v>
      </x:c>
      <x:c r="I82" s="27" t="n">
        <x:v>3200</x:v>
      </x:c>
      <x:c r="J82" s="27" t="n">
        <x:v>180</x:v>
      </x:c>
      <x:c r="K82" s="13" t="str">
        <x:v>首奖一次；伙伴组合改变最后一盏配色</x:v>
      </x:c>
      <x:c r="L82" s="13" t="str">
        <x:v>玩家首次完整记录；美术、任务步骤、角色联系与奖励均为原创游戏设计。</x:v>
      </x:c>
      <x:c r="M82" s="13" t="str">
        <x:v>现实启发的原创任务</x:v>
      </x:c>
      <x:c r="N82" s="13" t="str">
        <x:v>游戏地图近似布点；内陆点从所列最近港组织陆路远征，外海点允许设置临时锚地。</x:v>
      </x:c>
      <x:c r="O82" s="13" t="str">
        <x:v>EX16</x:v>
      </x:c>
    </x:row>
    <x:row r="83" ht="42" customHeight="1">
      <x:c r="A83" s="15" t="str">
        <x:v>E078</x:v>
      </x:c>
      <x:c r="B83" s="15" t="str">
        <x:v>三河倒星</x:v>
      </x:c>
      <x:c r="C83" s="15" t="str">
        <x:v>天文观测</x:v>
      </x:c>
      <x:c r="D83" s="15" t="str">
        <x:v>R08</x:v>
      </x:c>
      <x:c r="E83" s="15" t="str">
        <x:v>阿瑜陀耶</x:v>
      </x:c>
      <x:c r="F83" s="29" t="n">
        <x:v>14.35</x:v>
      </x:c>
      <x:c r="G83" s="29" t="n">
        <x:v>100.57</x:v>
      </x:c>
      <x:c r="H83" s="15" t="str">
        <x:v>学识5；星盘与记录纸；C043或王城学者</x:v>
      </x:c>
      <x:c r="I83" s="30" t="n">
        <x:v>4400</x:v>
      </x:c>
      <x:c r="J83" s="30" t="n">
        <x:v>240</x:v>
      </x:c>
      <x:c r="K83" s="15" t="str">
        <x:v>首奖一次；可复访完成月影附页</x:v>
      </x:c>
      <x:c r="L83" s="15" t="str">
        <x:v>玩家首次完整记录；美术、任务步骤、角色联系与奖励均为原创游戏设计。</x:v>
      </x:c>
      <x:c r="M83" s="15" t="str">
        <x:v>现实启发的原创任务</x:v>
      </x:c>
      <x:c r="N83" s="15" t="str">
        <x:v>游戏地图近似布点；内陆点从所列最近港组织陆路远征，外海点允许设置临时锚地。</x:v>
      </x:c>
      <x:c r="O83" s="15" t="str">
        <x:v>EX30</x:v>
      </x:c>
    </x:row>
    <x:row r="84" ht="42" customHeight="1">
      <x:c r="A84" s="13" t="str">
        <x:v>E079</x:v>
      </x:c>
      <x:c r="B84" s="13" t="str">
        <x:v>银帆钟声</x:v>
      </x:c>
      <x:c r="C84" s="13" t="str">
        <x:v>沉船记录</x:v>
      </x:c>
      <x:c r="D84" s="13" t="str">
        <x:v>R08</x:v>
      </x:c>
      <x:c r="E84" s="13" t="str">
        <x:v>马尼拉</x:v>
      </x:c>
      <x:c r="F84" s="21" t="n">
        <x:v>14.35</x:v>
      </x:c>
      <x:c r="G84" s="21" t="n">
        <x:v>120.61</x:v>
      </x:c>
      <x:c r="H84" s="13" t="str">
        <x:v>航海6；打捞索具；C047或旧护航水手</x:v>
      </x:c>
      <x:c r="I84" s="27" t="n">
        <x:v>5200</x:v>
      </x:c>
      <x:c r="J84" s="27" t="n">
        <x:v>260</x:v>
      </x:c>
      <x:c r="K84" s="13" t="str">
        <x:v>首奖一次；返港开放旧船员重聚</x:v>
      </x:c>
      <x:c r="L84" s="13" t="str">
        <x:v>玩家首次完整记录；美术、任务步骤、角色联系与奖励均为原创游戏设计。</x:v>
      </x:c>
      <x:c r="M84" s="13" t="str">
        <x:v>纯原创</x:v>
      </x:c>
      <x:c r="N84" s="13" t="str">
        <x:v>游戏地图近似布点；内陆点从所列最近港组织陆路远征，外海点允许设置临时锚地。</x:v>
      </x:c>
      <x:c r="O84" s="13" t="str"/>
    </x:row>
    <x:row r="85" ht="42" customHeight="1">
      <x:c r="A85" s="15" t="str">
        <x:v>E080</x:v>
      </x:c>
      <x:c r="B85" s="15" t="str">
        <x:v>夜渡金鹿</x:v>
      </x:c>
      <x:c r="C85" s="15" t="str">
        <x:v>地方传说</x:v>
      </x:c>
      <x:c r="D85" s="15" t="str">
        <x:v>R08</x:v>
      </x:c>
      <x:c r="E85" s="15" t="str">
        <x:v>巨港</x:v>
      </x:c>
      <x:c r="F85" s="29" t="n">
        <x:v>-2.98</x:v>
      </x:c>
      <x:c r="G85" s="29" t="n">
        <x:v>104.78</x:v>
      </x:c>
      <x:c r="H85" s="15" t="str">
        <x:v>学识3；C043或河上说书人；涨水夜</x:v>
      </x:c>
      <x:c r="I85" s="30" t="n">
        <x:v>3300</x:v>
      </x:c>
      <x:c r="J85" s="30" t="n">
        <x:v>180</x:v>
      </x:c>
      <x:c r="K85" s="15" t="str">
        <x:v>首奖一次；可观看已完成故事演出</x:v>
      </x:c>
      <x:c r="L85" s="15" t="str">
        <x:v>玩家首次完整记录；美术、任务步骤、角色联系与奖励均为原创游戏设计。</x:v>
      </x:c>
      <x:c r="M85" s="15" t="str">
        <x:v>纯原创</x:v>
      </x:c>
      <x:c r="N85" s="15" t="str">
        <x:v>游戏地图近似布点；内陆点从所列最近港组织陆路远征，外海点允许设置临时锚地。</x:v>
      </x:c>
      <x:c r="O85" s="15" t="str"/>
    </x:row>
    <x:row r="86" ht="42" customHeight="1">
      <x:c r="A86" s="13" t="str">
        <x:v>E081</x:v>
      </x:c>
      <x:c r="B86" s="13" t="str">
        <x:v>严岛·潮色门廊</x:v>
      </x:c>
      <x:c r="C86" s="13" t="str">
        <x:v>历史遗址</x:v>
      </x:c>
      <x:c r="D86" s="13" t="str">
        <x:v>R09</x:v>
      </x:c>
      <x:c r="E86" s="13" t="str">
        <x:v>长崎</x:v>
      </x:c>
      <x:c r="F86" s="21" t="n">
        <x:v>34.296</x:v>
      </x:c>
      <x:c r="G86" s="21" t="n">
        <x:v>132.319</x:v>
      </x:c>
      <x:c r="H86" s="13" t="str">
        <x:v>学识4；潮汐记录；当地讲述者；由最近港组织岛际访问</x:v>
      </x:c>
      <x:c r="I86" s="27" t="n">
        <x:v>4700</x:v>
      </x:c>
      <x:c r="J86" s="27" t="n">
        <x:v>240</x:v>
      </x:c>
      <x:c r="K86" s="13" t="str">
        <x:v>首奖一次；可补春雨与秋色版本</x:v>
      </x:c>
      <x:c r="L86" s="13" t="str">
        <x:v>玩家首次完整记录；美术、任务步骤、角色联系与奖励均为原创游戏设计。</x:v>
      </x:c>
      <x:c r="M86" s="13" t="str">
        <x:v>真实对象；调查故事原创</x:v>
      </x:c>
      <x:c r="N86" s="13" t="str">
        <x:v>游戏地图近似布点；内陆点从所列最近港组织陆路远征，外海点允许设置临时锚地。</x:v>
      </x:c>
      <x:c r="O86" s="13" t="str">
        <x:v>EX17；EX26</x:v>
      </x:c>
    </x:row>
    <x:row r="87" ht="42" customHeight="1">
      <x:c r="A87" s="15" t="str">
        <x:v>E082</x:v>
      </x:c>
      <x:c r="B87" s="15" t="str">
        <x:v>石桥下的万国潮</x:v>
      </x:c>
      <x:c r="C87" s="15" t="str">
        <x:v>历史遗址</x:v>
      </x:c>
      <x:c r="D87" s="15" t="str">
        <x:v>R09</x:v>
      </x:c>
      <x:c r="E87" s="15" t="str">
        <x:v>泉州</x:v>
      </x:c>
      <x:c r="F87" s="29" t="n">
        <x:v>25.002</x:v>
      </x:c>
      <x:c r="G87" s="29" t="n">
        <x:v>118.683</x:v>
      </x:c>
      <x:c r="H87" s="15" t="str">
        <x:v>学识4；C050或泉州港史向导</x:v>
      </x:c>
      <x:c r="I87" s="30" t="n">
        <x:v>4200</x:v>
      </x:c>
      <x:c r="J87" s="30" t="n">
        <x:v>220</x:v>
      </x:c>
      <x:c r="K87" s="15" t="str">
        <x:v>真实对象；首奖一次，港史复访开放新讲述</x:v>
      </x:c>
      <x:c r="L87" s="15" t="str">
        <x:v>玩家首次完整记录；美术、任务步骤、角色联系与奖励均为原创游戏设计。</x:v>
      </x:c>
      <x:c r="M87" s="15" t="str">
        <x:v>真实对象；调查故事原创</x:v>
      </x:c>
      <x:c r="N87" s="15" t="str">
        <x:v>游戏地图近似布点；内陆点从所列最近港组织陆路远征，外海点允许设置临时锚地。</x:v>
      </x:c>
      <x:c r="O87" s="15" t="str">
        <x:v>EX18</x:v>
      </x:c>
    </x:row>
    <x:row r="88" ht="42" customHeight="1">
      <x:c r="A88" s="13" t="str">
        <x:v>E083</x:v>
      </x:c>
      <x:c r="B88" s="13" t="str">
        <x:v>浮在水上的漆舟</x:v>
      </x:c>
      <x:c r="C88" s="13" t="str">
        <x:v>艺术工艺</x:v>
      </x:c>
      <x:c r="D88" s="13" t="str">
        <x:v>R09</x:v>
      </x:c>
      <x:c r="E88" s="13" t="str">
        <x:v>福州</x:v>
      </x:c>
      <x:c r="F88" s="21" t="n">
        <x:v>26.06</x:v>
      </x:c>
      <x:c r="G88" s="21" t="n">
        <x:v>119.31</x:v>
      </x:c>
      <x:c r="H88" s="13" t="str">
        <x:v>学识4；携带G090树脂或漆作样本；当地漆匠</x:v>
      </x:c>
      <x:c r="I88" s="27" t="n">
        <x:v>4000</x:v>
      </x:c>
      <x:c r="J88" s="27" t="n">
        <x:v>200</x:v>
      </x:c>
      <x:c r="K88" s="13" t="str">
        <x:v>首奖一次；可复做限定器形委托</x:v>
      </x:c>
      <x:c r="L88" s="13" t="str">
        <x:v>玩家首次完整记录；美术、任务步骤、角色联系与奖励均为原创游戏设计。</x:v>
      </x:c>
      <x:c r="M88" s="13" t="str">
        <x:v>现实启发的原创任务</x:v>
      </x:c>
      <x:c r="N88" s="13" t="str">
        <x:v>游戏地图近似布点；内陆点从所列最近港组织陆路远征，外海点允许设置临时锚地。</x:v>
      </x:c>
      <x:c r="O88" s="13" t="str"/>
    </x:row>
    <x:row r="89" ht="42" customHeight="1">
      <x:c r="A89" s="15" t="str">
        <x:v>E084</x:v>
      </x:c>
      <x:c r="B89" s="15" t="str">
        <x:v>星落镇海</x:v>
      </x:c>
      <x:c r="C89" s="15" t="str">
        <x:v>天文观测</x:v>
      </x:c>
      <x:c r="D89" s="15" t="str">
        <x:v>R09</x:v>
      </x:c>
      <x:c r="E89" s="15" t="str">
        <x:v>宁波</x:v>
      </x:c>
      <x:c r="F89" s="29" t="n">
        <x:v>29.98</x:v>
      </x:c>
      <x:c r="G89" s="29" t="n">
        <x:v>121.73</x:v>
      </x:c>
      <x:c r="H89" s="15" t="str">
        <x:v>学识6；C051或当地观星匠；一只稳定水盘</x:v>
      </x:c>
      <x:c r="I89" s="30" t="n">
        <x:v>5000</x:v>
      </x:c>
      <x:c r="J89" s="30" t="n">
        <x:v>270</x:v>
      </x:c>
      <x:c r="K89" s="15" t="str">
        <x:v>首奖一次；不同海况可补演示记录</x:v>
      </x:c>
      <x:c r="L89" s="15" t="str">
        <x:v>玩家首次完整记录；美术、任务步骤、角色联系与奖励均为原创游戏设计。</x:v>
      </x:c>
      <x:c r="M89" s="15" t="str">
        <x:v>现实启发的原创任务</x:v>
      </x:c>
      <x:c r="N89" s="15" t="str">
        <x:v>游戏地图近似布点；内陆点从所列最近港组织陆路远征，外海点允许设置临时锚地。</x:v>
      </x:c>
      <x:c r="O89" s="15" t="str">
        <x:v>EX30</x:v>
      </x:c>
    </x:row>
    <x:row r="90" ht="42" customHeight="1">
      <x:c r="A90" s="13" t="str">
        <x:v>E085</x:v>
      </x:c>
      <x:c r="B90" s="13" t="str">
        <x:v>会唱歌的玄武岩</x:v>
      </x:c>
      <x:c r="C90" s="13" t="str">
        <x:v>自然奇观</x:v>
      </x:c>
      <x:c r="D90" s="13" t="str">
        <x:v>R09</x:v>
      </x:c>
      <x:c r="E90" s="13" t="str">
        <x:v>济州</x:v>
      </x:c>
      <x:c r="F90" s="21" t="n">
        <x:v>33.528</x:v>
      </x:c>
      <x:c r="G90" s="21" t="n">
        <x:v>126.771</x:v>
      </x:c>
      <x:c r="H90" s="13" t="str">
        <x:v>学识4；灯具；济州洞穴向导</x:v>
      </x:c>
      <x:c r="I90" s="27" t="n">
        <x:v>4600</x:v>
      </x:c>
      <x:c r="J90" s="27" t="n">
        <x:v>230</x:v>
      </x:c>
      <x:c r="K90" s="13" t="str">
        <x:v>首奖一次；复访可录雨后声音版本</x:v>
      </x:c>
      <x:c r="L90" s="13" t="str">
        <x:v>玩家首次完整记录；美术、任务步骤、角色联系与奖励均为原创游戏设计。</x:v>
      </x:c>
      <x:c r="M90" s="13" t="str">
        <x:v>真实对象；调查故事原创</x:v>
      </x:c>
      <x:c r="N90" s="13" t="str">
        <x:v>游戏地图近似布点；内陆点从所列最近港组织陆路远征，外海点允许设置临时锚地。</x:v>
      </x:c>
      <x:c r="O90" s="13" t="str">
        <x:v>EX33</x:v>
      </x:c>
    </x:row>
    <x:row r="91" ht="42" customHeight="1">
      <x:c r="A91" s="15" t="str">
        <x:v>E086</x:v>
      </x:c>
      <x:c r="B91" s="15" t="str">
        <x:v>冷海昆布林</x:v>
      </x:c>
      <x:c r="C91" s="15" t="str">
        <x:v>生态观察</x:v>
      </x:c>
      <x:c r="D91" s="15" t="str">
        <x:v>R09</x:v>
      </x:c>
      <x:c r="E91" s="15" t="str">
        <x:v>箱馆</x:v>
      </x:c>
      <x:c r="F91" s="29" t="n">
        <x:v>41.72</x:v>
      </x:c>
      <x:c r="G91" s="29" t="n">
        <x:v>140.85</x:v>
      </x:c>
      <x:c r="H91" s="15" t="str">
        <x:v>学识3；C044或北海渔人；海况平稳时</x:v>
      </x:c>
      <x:c r="I91" s="30" t="n">
        <x:v>3100</x:v>
      </x:c>
      <x:c r="J91" s="30" t="n">
        <x:v>170</x:v>
      </x:c>
      <x:c r="K91" s="15" t="str">
        <x:v>首奖一次；不同季节补充食材图谱</x:v>
      </x:c>
      <x:c r="L91" s="15" t="str">
        <x:v>玩家首次完整记录；美术、任务步骤、角色联系与奖励均为原创游戏设计。</x:v>
      </x:c>
      <x:c r="M91" s="15" t="str">
        <x:v>现实启发的原创任务</x:v>
      </x:c>
      <x:c r="N91" s="15" t="str">
        <x:v>游戏地图近似布点；内陆点从所列最近港组织陆路远征，外海点允许设置临时锚地。</x:v>
      </x:c>
      <x:c r="O91" s="15" t="str"/>
    </x:row>
    <x:row r="92" ht="42" customHeight="1">
      <x:c r="A92" s="13" t="str">
        <x:v>E087</x:v>
      </x:c>
      <x:c r="B92" s="13" t="str">
        <x:v>第十三张空帆</x:v>
      </x:c>
      <x:c r="C92" s="13" t="str">
        <x:v>地方传说</x:v>
      </x:c>
      <x:c r="D92" s="13" t="str">
        <x:v>R09</x:v>
      </x:c>
      <x:c r="E92" s="13" t="str">
        <x:v>那霸</x:v>
      </x:c>
      <x:c r="F92" s="21" t="n">
        <x:v>26.205</x:v>
      </x:c>
      <x:c r="G92" s="21" t="n">
        <x:v>127.662</x:v>
      </x:c>
      <x:c r="H92" s="13" t="str">
        <x:v>学识3；C049或琉球说书人；带十二港见闻</x:v>
      </x:c>
      <x:c r="I92" s="27" t="n">
        <x:v>3500</x:v>
      </x:c>
      <x:c r="J92" s="27" t="n">
        <x:v>210</x:v>
      </x:c>
      <x:c r="K92" s="13" t="str">
        <x:v>首奖一次；不同伙伴会画不同最后一帆</x:v>
      </x:c>
      <x:c r="L92" s="13" t="str">
        <x:v>玩家首次完整记录；美术、任务步骤、角色联系与奖励均为原创游戏设计。</x:v>
      </x:c>
      <x:c r="M92" s="13" t="str">
        <x:v>纯原创</x:v>
      </x:c>
      <x:c r="N92" s="13" t="str">
        <x:v>游戏地图近似布点；内陆点从所列最近港组织陆路远征，外海点允许设置临时锚地。</x:v>
      </x:c>
      <x:c r="O92" s="13" t="str"/>
    </x:row>
    <x:row r="93" ht="42" customHeight="1">
      <x:c r="A93" s="15" t="str">
        <x:v>E088</x:v>
      </x:c>
      <x:c r="B93" s="15" t="str">
        <x:v>沉入湾底的玻璃月</x:v>
      </x:c>
      <x:c r="C93" s="15" t="str">
        <x:v>沉船记录</x:v>
      </x:c>
      <x:c r="D93" s="15" t="str">
        <x:v>R09</x:v>
      </x:c>
      <x:c r="E93" s="15" t="str">
        <x:v>长崎</x:v>
      </x:c>
      <x:c r="F93" s="29" t="n">
        <x:v>32.7</x:v>
      </x:c>
      <x:c r="G93" s="29" t="n">
        <x:v>129.84</x:v>
      </x:c>
      <x:c r="H93" s="15" t="str">
        <x:v>航海5；打捞索具；C051或玻璃工匠</x:v>
      </x:c>
      <x:c r="I93" s="30" t="n">
        <x:v>4900</x:v>
      </x:c>
      <x:c r="J93" s="30" t="n">
        <x:v>240</x:v>
      </x:c>
      <x:c r="K93" s="15" t="str">
        <x:v>首奖一次；修成灯后可触发夜谈</x:v>
      </x:c>
      <x:c r="L93" s="15" t="str">
        <x:v>玩家首次完整记录；美术、任务步骤、角色联系与奖励均为原创游戏设计。</x:v>
      </x:c>
      <x:c r="M93" s="15" t="str">
        <x:v>纯原创</x:v>
      </x:c>
      <x:c r="N93" s="15" t="str">
        <x:v>游戏地图近似布点；内陆点从所列最近港组织陆路远征，外海点允许设置临时锚地。</x:v>
      </x:c>
      <x:c r="O93" s="15" t="str"/>
    </x:row>
    <x:row r="94" ht="42" customHeight="1">
      <x:c r="A94" s="13" t="str">
        <x:v>E089</x:v>
      </x:c>
      <x:c r="B94" s="13" t="str">
        <x:v>两种潮汐的缝</x:v>
      </x:c>
      <x:c r="C94" s="13" t="str">
        <x:v>航海技术</x:v>
      </x:c>
      <x:c r="D94" s="13" t="str">
        <x:v>R09</x:v>
      </x:c>
      <x:c r="E94" s="13" t="str">
        <x:v>马公</x:v>
      </x:c>
      <x:c r="F94" s="21" t="n">
        <x:v>23.45</x:v>
      </x:c>
      <x:c r="G94" s="21" t="n">
        <x:v>119.62</x:v>
      </x:c>
      <x:c r="H94" s="13" t="str">
        <x:v>航海5；C054或澎湖引航员；测深绳</x:v>
      </x:c>
      <x:c r="I94" s="27" t="n">
        <x:v>4100</x:v>
      </x:c>
      <x:c r="J94" s="27" t="n">
        <x:v>220</x:v>
      </x:c>
      <x:c r="K94" s="13" t="str">
        <x:v>首奖一次；潮表每航季可更新</x:v>
      </x:c>
      <x:c r="L94" s="13" t="str">
        <x:v>玩家首次完整记录；美术、任务步骤、角色联系与奖励均为原创游戏设计。</x:v>
      </x:c>
      <x:c r="M94" s="13" t="str">
        <x:v>现实启发的原创任务</x:v>
      </x:c>
      <x:c r="N94" s="13" t="str">
        <x:v>游戏地图近似布点；内陆点从所列最近港组织陆路远征，外海点允许设置临时锚地。</x:v>
      </x:c>
      <x:c r="O94" s="13" t="str">
        <x:v>EX26；EX28</x:v>
      </x:c>
    </x:row>
    <x:row r="95" ht="42" customHeight="1">
      <x:c r="A95" s="15" t="str">
        <x:v>E090</x:v>
      </x:c>
      <x:c r="B95" s="15" t="str">
        <x:v>三色云锦夜</x:v>
      </x:c>
      <x:c r="C95" s="15" t="str">
        <x:v>艺术工艺</x:v>
      </x:c>
      <x:c r="D95" s="15" t="str">
        <x:v>R09</x:v>
      </x:c>
      <x:c r="E95" s="15" t="str">
        <x:v>南京</x:v>
      </x:c>
      <x:c r="F95" s="29" t="n">
        <x:v>32.045</x:v>
      </x:c>
      <x:c r="G95" s="29" t="n">
        <x:v>118.76</x:v>
      </x:c>
      <x:c r="H95" s="15" t="str">
        <x:v>学识4；带三地区染料样包；南京织匠</x:v>
      </x:c>
      <x:c r="I95" s="30" t="n">
        <x:v>4800</x:v>
      </x:c>
      <x:c r="J95" s="30" t="n">
        <x:v>240</x:v>
      </x:c>
      <x:c r="K95" s="15" t="str">
        <x:v>首奖一次；新航海篇章可追加边饰</x:v>
      </x:c>
      <x:c r="L95" s="15" t="str">
        <x:v>玩家首次完整记录；美术、任务步骤、角色联系与奖励均为原创游戏设计。</x:v>
      </x:c>
      <x:c r="M95" s="15" t="str">
        <x:v>现实启发的原创任务</x:v>
      </x:c>
      <x:c r="N95" s="15" t="str">
        <x:v>游戏地图近似布点；内陆点从所列最近港组织陆路远征，外海点允许设置临时锚地。</x:v>
      </x:c>
      <x:c r="O95" s="15" t="str">
        <x:v>EX34</x:v>
      </x:c>
    </x:row>
    <x:row r="96" ht="42" customHeight="1">
      <x:c r="A96" s="13" t="str">
        <x:v>E091</x:v>
      </x:c>
      <x:c r="B96" s="13" t="str">
        <x:v>石阶上的日影</x:v>
      </x:c>
      <x:c r="C96" s="13" t="str">
        <x:v>历史遗址</x:v>
      </x:c>
      <x:c r="D96" s="13" t="str">
        <x:v>R10</x:v>
      </x:c>
      <x:c r="E96" s="13" t="str">
        <x:v>哈瓦那</x:v>
      </x:c>
      <x:c r="F96" s="21" t="n">
        <x:v>20.684</x:v>
      </x:c>
      <x:c r="G96" s="21" t="n">
        <x:v>-88.568</x:v>
      </x:c>
      <x:c r="H96" s="13" t="str">
        <x:v>学识5；经尤卡坦临时锚地登陆；当地讲述者；日影测具</x:v>
      </x:c>
      <x:c r="I96" s="27" t="n">
        <x:v>5100</x:v>
      </x:c>
      <x:c r="J96" s="27" t="n">
        <x:v>270</x:v>
      </x:c>
      <x:c r="K96" s="13" t="str">
        <x:v>首奖一次；可补不同季节的观察版本</x:v>
      </x:c>
      <x:c r="L96" s="13" t="str">
        <x:v>玩家首次完整记录；美术、任务步骤、角色联系与奖励均为原创游戏设计。</x:v>
      </x:c>
      <x:c r="M96" s="13" t="str">
        <x:v>真实对象；调查故事原创</x:v>
      </x:c>
      <x:c r="N96" s="13" t="str">
        <x:v>游戏地图近似布点；内陆点从所列最近港组织陆路远征，外海点允许设置临时锚地。</x:v>
      </x:c>
      <x:c r="O96" s="13" t="str">
        <x:v>EX20</x:v>
      </x:c>
    </x:row>
    <x:row r="97" ht="42" customHeight="1">
      <x:c r="A97" s="15" t="str">
        <x:v>E092</x:v>
      </x:c>
      <x:c r="B97" s="15" t="str">
        <x:v>蓝洞回声</x:v>
      </x:c>
      <x:c r="C97" s="15" t="str">
        <x:v>自然奇观</x:v>
      </x:c>
      <x:c r="D97" s="15" t="str">
        <x:v>R10</x:v>
      </x:c>
      <x:c r="E97" s="15" t="str">
        <x:v>哈瓦那</x:v>
      </x:c>
      <x:c r="F97" s="29" t="n">
        <x:v>26.55</x:v>
      </x:c>
      <x:c r="G97" s="29" t="n">
        <x:v>-77.25</x:v>
      </x:c>
      <x:c r="H97" s="15" t="str">
        <x:v>航海5；测深绳；群岛领航员；晴日</x:v>
      </x:c>
      <x:c r="I97" s="30" t="n">
        <x:v>4400</x:v>
      </x:c>
      <x:c r="J97" s="30" t="n">
        <x:v>220</x:v>
      </x:c>
      <x:c r="K97" s="15" t="str">
        <x:v>首奖一次；不同光线可补色卡</x:v>
      </x:c>
      <x:c r="L97" s="15" t="str">
        <x:v>玩家首次完整记录；美术、任务步骤、角色联系与奖励均为原创游戏设计。</x:v>
      </x:c>
      <x:c r="M97" s="15" t="str">
        <x:v>现实启发的原创任务</x:v>
      </x:c>
      <x:c r="N97" s="15" t="str">
        <x:v>游戏地图近似布点；内陆点从所列最近港组织陆路远征，外海点允许设置临时锚地。</x:v>
      </x:c>
      <x:c r="O97" s="15" t="str"/>
    </x:row>
    <x:row r="98" ht="42" customHeight="1">
      <x:c r="A98" s="13" t="str">
        <x:v>E093</x:v>
      </x:c>
      <x:c r="B98" s="13" t="str">
        <x:v>归来的鲸之影</x:v>
      </x:c>
      <x:c r="C98" s="13" t="str">
        <x:v>生态观察</x:v>
      </x:c>
      <x:c r="D98" s="13" t="str">
        <x:v>R10</x:v>
      </x:c>
      <x:c r="E98" s="13" t="str">
        <x:v>托尔图加</x:v>
      </x:c>
      <x:c r="F98" s="21" t="n">
        <x:v>20.25</x:v>
      </x:c>
      <x:c r="G98" s="21" t="n">
        <x:v>-72.85</x:v>
      </x:c>
      <x:c r="H98" s="13" t="str">
        <x:v>学识4；C058或当地渔人；北半球冬季</x:v>
      </x:c>
      <x:c r="I98" s="27" t="n">
        <x:v>3900</x:v>
      </x:c>
      <x:c r="J98" s="27" t="n">
        <x:v>210</x:v>
      </x:c>
      <x:c r="K98" s="13" t="str">
        <x:v>首奖一次；每冬可更新重见记录</x:v>
      </x:c>
      <x:c r="L98" s="13" t="str">
        <x:v>玩家首次完整记录；美术、任务步骤、角色联系与奖励均为原创游戏设计。</x:v>
      </x:c>
      <x:c r="M98" s="13" t="str">
        <x:v>现实启发的原创任务</x:v>
      </x:c>
      <x:c r="N98" s="13" t="str">
        <x:v>游戏地图近似布点；内陆点从所列最近港组织陆路远征，外海点允许设置临时锚地。</x:v>
      </x:c>
      <x:c r="O98" s="13" t="str"/>
    </x:row>
    <x:row r="99" ht="42" customHeight="1">
      <x:c r="A99" s="15" t="str">
        <x:v>E094</x:v>
      </x:c>
      <x:c r="B99" s="15" t="str">
        <x:v>大河写下的新海岸</x:v>
      </x:c>
      <x:c r="C99" s="15" t="str">
        <x:v>航海技术</x:v>
      </x:c>
      <x:c r="D99" s="15" t="str">
        <x:v>R10</x:v>
      </x:c>
      <x:c r="E99" s="15" t="str">
        <x:v>新奥尔良</x:v>
      </x:c>
      <x:c r="F99" s="29" t="n">
        <x:v>29.35</x:v>
      </x:c>
      <x:c r="G99" s="29" t="n">
        <x:v>-89.43</x:v>
      </x:c>
      <x:c r="H99" s="15" t="str">
        <x:v>航海5；C058或河口引航员；浅水艇</x:v>
      </x:c>
      <x:c r="I99" s="30" t="n">
        <x:v>4300</x:v>
      </x:c>
      <x:c r="J99" s="30" t="n">
        <x:v>220</x:v>
      </x:c>
      <x:c r="K99" s="15" t="str">
        <x:v>首奖一次；丰枯水期各可补一页</x:v>
      </x:c>
      <x:c r="L99" s="15" t="str">
        <x:v>玩家首次完整记录；美术、任务步骤、角色联系与奖励均为原创游戏设计。</x:v>
      </x:c>
      <x:c r="M99" s="15" t="str">
        <x:v>现实启发的原创任务</x:v>
      </x:c>
      <x:c r="N99" s="15" t="str">
        <x:v>游戏地图近似布点；内陆点从所列最近港组织陆路远征，外海点允许设置临时锚地。</x:v>
      </x:c>
      <x:c r="O99" s="15" t="str">
        <x:v>EX26；EX28</x:v>
      </x:c>
    </x:row>
    <x:row r="100" ht="42" customHeight="1">
      <x:c r="A100" s="13" t="str">
        <x:v>E095</x:v>
      </x:c>
      <x:c r="B100" s="13" t="str">
        <x:v>夜霜里的北极星</x:v>
      </x:c>
      <x:c r="C100" s="13" t="str">
        <x:v>天文观测</x:v>
      </x:c>
      <x:c r="D100" s="13" t="str">
        <x:v>R10</x:v>
      </x:c>
      <x:c r="E100" s="13" t="str">
        <x:v>波士顿</x:v>
      </x:c>
      <x:c r="F100" s="21" t="n">
        <x:v>42.28</x:v>
      </x:c>
      <x:c r="G100" s="21" t="n">
        <x:v>-70.8</x:v>
      </x:c>
      <x:c r="H100" s="13" t="str">
        <x:v>航海6或学识5；C058或港内观星社；晴夜</x:v>
      </x:c>
      <x:c r="I100" s="27" t="n">
        <x:v>5000</x:v>
      </x:c>
      <x:c r="J100" s="27" t="n">
        <x:v>270</x:v>
      </x:c>
      <x:c r="K100" s="13" t="str">
        <x:v>首奖一次；可补新海员学习记录</x:v>
      </x:c>
      <x:c r="L100" s="13" t="str">
        <x:v>玩家首次完整记录；美术、任务步骤、角色联系与奖励均为原创游戏设计。</x:v>
      </x:c>
      <x:c r="M100" s="13" t="str">
        <x:v>现实启发的原创任务</x:v>
      </x:c>
      <x:c r="N100" s="13" t="str">
        <x:v>游戏地图近似布点；内陆点从所列最近港组织陆路远征，外海点允许设置临时锚地。</x:v>
      </x:c>
      <x:c r="O100" s="13" t="str">
        <x:v>EX30</x:v>
      </x:c>
    </x:row>
    <x:row r="101" ht="42" customHeight="1">
      <x:c r="A101" s="15" t="str">
        <x:v>E096</x:v>
      </x:c>
      <x:c r="B101" s="15" t="str">
        <x:v>可可杯的第二道花纹</x:v>
      </x:c>
      <x:c r="C101" s="15" t="str">
        <x:v>艺术工艺</x:v>
      </x:c>
      <x:c r="D101" s="15" t="str">
        <x:v>R10</x:v>
      </x:c>
      <x:c r="E101" s="15" t="str">
        <x:v>圣多明各</x:v>
      </x:c>
      <x:c r="F101" s="29" t="n">
        <x:v>18.49</x:v>
      </x:c>
      <x:c r="G101" s="29" t="n">
        <x:v>-69.93</x:v>
      </x:c>
      <x:c r="H101" s="15" t="str">
        <x:v>学识3；C057或当地陶匠；携带G022可可</x:v>
      </x:c>
      <x:c r="I101" s="30" t="n">
        <x:v>3300</x:v>
      </x:c>
      <x:c r="J101" s="30" t="n">
        <x:v>170</x:v>
      </x:c>
      <x:c r="K101" s="15" t="str">
        <x:v>首奖一次；可追加节庆杯形订单</x:v>
      </x:c>
      <x:c r="L101" s="15" t="str">
        <x:v>玩家首次完整记录；美术、任务步骤、角色联系与奖励均为原创游戏设计。</x:v>
      </x:c>
      <x:c r="M101" s="15" t="str">
        <x:v>现实启发的原创任务</x:v>
      </x:c>
      <x:c r="N101" s="15" t="str">
        <x:v>游戏地图近似布点；内陆点从所列最近港组织陆路远征，外海点允许设置临时锚地。</x:v>
      </x:c>
      <x:c r="O101" s="15" t="str"/>
    </x:row>
    <x:row r="102" ht="42" customHeight="1">
      <x:c r="A102" s="13" t="str">
        <x:v>E097</x:v>
      </x:c>
      <x:c r="B102" s="13" t="str">
        <x:v>双堡潮钟</x:v>
      </x:c>
      <x:c r="C102" s="13" t="str">
        <x:v>航海技术</x:v>
      </x:c>
      <x:c r="D102" s="13" t="str">
        <x:v>R10</x:v>
      </x:c>
      <x:c r="E102" s="13" t="str">
        <x:v>圣胡安</x:v>
      </x:c>
      <x:c r="F102" s="21" t="n">
        <x:v>18.47</x:v>
      </x:c>
      <x:c r="G102" s="21" t="n">
        <x:v>-66.12</x:v>
      </x:c>
      <x:c r="H102" s="13" t="str">
        <x:v>航海4；C056或港口舵工；两次潮位记录</x:v>
      </x:c>
      <x:c r="I102" s="27" t="n">
        <x:v>3800</x:v>
      </x:c>
      <x:c r="J102" s="27" t="n">
        <x:v>200</x:v>
      </x:c>
      <x:c r="K102" s="13" t="str">
        <x:v>首奖一次；可复访参加钟声演示</x:v>
      </x:c>
      <x:c r="L102" s="13" t="str">
        <x:v>玩家首次完整记录；美术、任务步骤、角色联系与奖励均为原创游戏设计。</x:v>
      </x:c>
      <x:c r="M102" s="13" t="str">
        <x:v>纯原创</x:v>
      </x:c>
      <x:c r="N102" s="13" t="str">
        <x:v>游戏地图近似布点；内陆点从所列最近港组织陆路远征，外海点允许设置临时锚地。</x:v>
      </x:c>
      <x:c r="O102" s="13" t="str"/>
    </x:row>
    <x:row r="103" ht="42" customHeight="1">
      <x:c r="A103" s="15" t="str">
        <x:v>E098</x:v>
      </x:c>
      <x:c r="B103" s="15" t="str">
        <x:v>活着的红色</x:v>
      </x:c>
      <x:c r="C103" s="15" t="str">
        <x:v>生态观察</x:v>
      </x:c>
      <x:c r="D103" s="15" t="str">
        <x:v>R10</x:v>
      </x:c>
      <x:c r="E103" s="15" t="str">
        <x:v>韦拉克鲁斯</x:v>
      </x:c>
      <x:c r="F103" s="29" t="n">
        <x:v>19.28</x:v>
      </x:c>
      <x:c r="G103" s="29" t="n">
        <x:v>-96.29</x:v>
      </x:c>
      <x:c r="H103" s="15" t="str">
        <x:v>学识4；C060或染料种植者；放大镜</x:v>
      </x:c>
      <x:c r="I103" s="30" t="n">
        <x:v>3900</x:v>
      </x:c>
      <x:c r="J103" s="30" t="n">
        <x:v>210</x:v>
      </x:c>
      <x:c r="K103" s="15" t="str">
        <x:v>首奖一次；可复做色样委托</x:v>
      </x:c>
      <x:c r="L103" s="15" t="str">
        <x:v>玩家首次完整记录；美术、任务步骤、角色联系与奖励均为原创游戏设计。</x:v>
      </x:c>
      <x:c r="M103" s="15" t="str">
        <x:v>现实启发的原创任务</x:v>
      </x:c>
      <x:c r="N103" s="15" t="str">
        <x:v>游戏地图近似布点；内陆点从所列最近港组织陆路远征，外海点允许设置临时锚地。</x:v>
      </x:c>
      <x:c r="O103" s="15" t="str"/>
    </x:row>
    <x:row r="104" ht="42" customHeight="1">
      <x:c r="A104" s="13" t="str">
        <x:v>E099</x:v>
      </x:c>
      <x:c r="B104" s="13" t="str">
        <x:v>月台下的宴会</x:v>
      </x:c>
      <x:c r="C104" s="13" t="str">
        <x:v>沉船记录</x:v>
      </x:c>
      <x:c r="D104" s="13" t="str">
        <x:v>R10</x:v>
      </x:c>
      <x:c r="E104" s="13" t="str">
        <x:v>罗亚尔港</x:v>
      </x:c>
      <x:c r="F104" s="21" t="n">
        <x:v>17.915</x:v>
      </x:c>
      <x:c r="G104" s="21" t="n">
        <x:v>-76.84</x:v>
      </x:c>
      <x:c r="H104" s="13" t="str">
        <x:v>航海5；打捞索具；C055或旧酒馆主人</x:v>
      </x:c>
      <x:c r="I104" s="27" t="n">
        <x:v>4700</x:v>
      </x:c>
      <x:c r="J104" s="27" t="n">
        <x:v>230</x:v>
      </x:c>
      <x:c r="K104" s="13" t="str">
        <x:v>首奖一次；结局后可观看归港宴</x:v>
      </x:c>
      <x:c r="L104" s="13" t="str">
        <x:v>玩家首次完整记录；美术、任务步骤、角色联系与奖励均为原创游戏设计。</x:v>
      </x:c>
      <x:c r="M104" s="13" t="str">
        <x:v>纯原创</x:v>
      </x:c>
      <x:c r="N104" s="13" t="str">
        <x:v>游戏地图近似布点；内陆点从所列最近港组织陆路远征，外海点允许设置临时锚地。</x:v>
      </x:c>
      <x:c r="O104" s="13" t="str"/>
    </x:row>
    <x:row r="105" ht="42" customHeight="1">
      <x:c r="A105" s="15" t="str">
        <x:v>E100</x:v>
      </x:c>
      <x:c r="B105" s="15" t="str">
        <x:v>无风旗</x:v>
      </x:c>
      <x:c r="C105" s="15" t="str">
        <x:v>地方传说</x:v>
      </x:c>
      <x:c r="D105" s="15" t="str">
        <x:v>R10</x:v>
      </x:c>
      <x:c r="E105" s="15" t="str">
        <x:v>查尔斯顿</x:v>
      </x:c>
      <x:c r="F105" s="29" t="n">
        <x:v>32.76</x:v>
      </x:c>
      <x:c r="G105" s="29" t="n">
        <x:v>-79.91</x:v>
      </x:c>
      <x:c r="H105" s="15" t="str">
        <x:v>学识3；C059或港口旗匠；一封未寄出的家书</x:v>
      </x:c>
      <x:c r="I105" s="30" t="n">
        <x:v>3600</x:v>
      </x:c>
      <x:c r="J105" s="30" t="n">
        <x:v>200</x:v>
      </x:c>
      <x:c r="K105" s="15" t="str">
        <x:v>首奖一次；不同选择改变旗上的最后一句话</x:v>
      </x:c>
      <x:c r="L105" s="15" t="str">
        <x:v>玩家首次完整记录；美术、任务步骤、角色联系与奖励均为原创游戏设计。</x:v>
      </x:c>
      <x:c r="M105" s="15" t="str">
        <x:v>纯原创</x:v>
      </x:c>
      <x:c r="N105" s="15" t="str">
        <x:v>游戏地图近似布点；内陆点从所列最近港组织陆路远征，外海点允许设置临时锚地。</x:v>
      </x:c>
      <x:c r="O105" s="15" t="str"/>
    </x:row>
    <x:row r="106" ht="42" customHeight="1">
      <x:c r="A106" s="13" t="str">
        <x:v>E101</x:v>
      </x:c>
      <x:c r="B106" s="13" t="str">
        <x:v>云阶之城</x:v>
      </x:c>
      <x:c r="C106" s="13" t="str">
        <x:v>历史遗址</x:v>
      </x:c>
      <x:c r="D106" s="13" t="str">
        <x:v>R11</x:v>
      </x:c>
      <x:c r="E106" s="13" t="str">
        <x:v>卡亚俄</x:v>
      </x:c>
      <x:c r="F106" s="21" t="n">
        <x:v>-13.163</x:v>
      </x:c>
      <x:c r="G106" s="21" t="n">
        <x:v>-72.545</x:v>
      </x:c>
      <x:c r="H106" s="13" t="str">
        <x:v>学识6；C061或安第斯向导；从港组织山地远征</x:v>
      </x:c>
      <x:c r="I106" s="27" t="n">
        <x:v>5800</x:v>
      </x:c>
      <x:c r="J106" s="27" t="n">
        <x:v>290</x:v>
      </x:c>
      <x:c r="K106" s="13" t="str">
        <x:v>首奖一次；可补雨后云海图页</x:v>
      </x:c>
      <x:c r="L106" s="13" t="str">
        <x:v>玩家首次完整记录；美术、任务步骤、角色联系与奖励均为原创游戏设计。</x:v>
      </x:c>
      <x:c r="M106" s="13" t="str">
        <x:v>真实对象；调查故事原创</x:v>
      </x:c>
      <x:c r="N106" s="13" t="str">
        <x:v>游戏地图近似布点；内陆点从所列最近港组织陆路远征，外海点允许设置临时锚地。</x:v>
      </x:c>
      <x:c r="O106" s="13" t="str">
        <x:v>EX22</x:v>
      </x:c>
    </x:row>
    <x:row r="107" ht="42" customHeight="1">
      <x:c r="A107" s="15" t="str">
        <x:v>E102</x:v>
      </x:c>
      <x:c r="B107" s="15" t="str">
        <x:v>白虹落入林海</x:v>
      </x:c>
      <x:c r="C107" s="15" t="str">
        <x:v>自然奇观</x:v>
      </x:c>
      <x:c r="D107" s="15" t="str">
        <x:v>R11</x:v>
      </x:c>
      <x:c r="E107" s="15" t="str">
        <x:v>蒙得维的亚</x:v>
      </x:c>
      <x:c r="F107" s="29" t="n">
        <x:v>-25.695</x:v>
      </x:c>
      <x:c r="G107" s="29" t="n">
        <x:v>-54.437</x:v>
      </x:c>
      <x:c r="H107" s="15" t="str">
        <x:v>学识5；C065或河流向导；河道丰水期；从港组织内陆远征</x:v>
      </x:c>
      <x:c r="I107" s="30" t="n">
        <x:v>5600</x:v>
      </x:c>
      <x:c r="J107" s="30" t="n">
        <x:v>280</x:v>
      </x:c>
      <x:c r="K107" s="15" t="str">
        <x:v>首奖一次；水位变化带来新的图页</x:v>
      </x:c>
      <x:c r="L107" s="15" t="str">
        <x:v>玩家首次完整记录；美术、任务步骤、角色联系与奖励均为原创游戏设计。</x:v>
      </x:c>
      <x:c r="M107" s="15" t="str">
        <x:v>真实对象；调查故事原创</x:v>
      </x:c>
      <x:c r="N107" s="15" t="str">
        <x:v>游戏地图近似布点；内陆点从所列最近港组织陆路远征，外海点允许设置临时锚地。</x:v>
      </x:c>
      <x:c r="O107" s="15" t="str">
        <x:v>EX23</x:v>
      </x:c>
    </x:row>
    <x:row r="108" ht="42" customHeight="1">
      <x:c r="A108" s="13" t="str">
        <x:v>E103</x:v>
      </x:c>
      <x:c r="B108" s="13" t="str">
        <x:v>群岛各自的喙</x:v>
      </x:c>
      <x:c r="C108" s="13" t="str">
        <x:v>生态观察</x:v>
      </x:c>
      <x:c r="D108" s="13" t="str">
        <x:v>R11</x:v>
      </x:c>
      <x:c r="E108" s="13" t="str">
        <x:v>卡亚俄</x:v>
      </x:c>
      <x:c r="F108" s="21" t="n">
        <x:v>-0.75</x:v>
      </x:c>
      <x:c r="G108" s="21" t="n">
        <x:v>-90.31</x:v>
      </x:c>
      <x:c r="H108" s="13" t="str">
        <x:v>学识5；C063或当地观察向导；素描工具</x:v>
      </x:c>
      <x:c r="I108" s="27" t="n">
        <x:v>5700</x:v>
      </x:c>
      <x:c r="J108" s="27" t="n">
        <x:v>290</x:v>
      </x:c>
      <x:c r="K108" s="13" t="str">
        <x:v>首奖一次；新航季可补行为记录</x:v>
      </x:c>
      <x:c r="L108" s="13" t="str">
        <x:v>玩家首次完整记录；美术、任务步骤、角色联系与奖励均为原创游戏设计。</x:v>
      </x:c>
      <x:c r="M108" s="13" t="str">
        <x:v>真实对象；调查故事原创</x:v>
      </x:c>
      <x:c r="N108" s="13" t="str">
        <x:v>游戏地图近似布点；内陆点从所列最近港组织陆路远征，外海点允许设置临时锚地。</x:v>
      </x:c>
      <x:c r="O108" s="13" t="str">
        <x:v>EX21</x:v>
      </x:c>
    </x:row>
    <x:row r="109" ht="42" customHeight="1">
      <x:c r="A109" s="15" t="str">
        <x:v>E104</x:v>
      </x:c>
      <x:c r="B109" s="15" t="str">
        <x:v>两种水色的航道</x:v>
      </x:c>
      <x:c r="C109" s="15" t="str">
        <x:v>航海技术</x:v>
      </x:c>
      <x:c r="D109" s="15" t="str">
        <x:v>R11</x:v>
      </x:c>
      <x:c r="E109" s="15" t="str">
        <x:v>贝伦</x:v>
      </x:c>
      <x:c r="F109" s="29" t="n">
        <x:v>-0.3</x:v>
      </x:c>
      <x:c r="G109" s="29" t="n">
        <x:v>-48.35</x:v>
      </x:c>
      <x:c r="H109" s="15" t="str">
        <x:v>航海5；C063或河口舵工；浅水艇</x:v>
      </x:c>
      <x:c r="I109" s="30" t="n">
        <x:v>4400</x:v>
      </x:c>
      <x:c r="J109" s="30" t="n">
        <x:v>230</x:v>
      </x:c>
      <x:c r="K109" s="15" t="str">
        <x:v>首奖一次；丰枯水期可补资料</x:v>
      </x:c>
      <x:c r="L109" s="15" t="str">
        <x:v>玩家首次完整记录；美术、任务步骤、角色联系与奖励均为原创游戏设计。</x:v>
      </x:c>
      <x:c r="M109" s="15" t="str">
        <x:v>现实启发的原创任务</x:v>
      </x:c>
      <x:c r="N109" s="15" t="str">
        <x:v>游戏地图近似布点；内陆点从所列最近港组织陆路远征，外海点允许设置临时锚地。</x:v>
      </x:c>
      <x:c r="O109" s="15" t="str">
        <x:v>EX26；EX28</x:v>
      </x:c>
    </x:row>
    <x:row r="110" ht="42" customHeight="1">
      <x:c r="A110" s="13" t="str">
        <x:v>E105</x:v>
      </x:c>
      <x:c r="B110" s="13" t="str">
        <x:v>红木的第七根弦</x:v>
      </x:c>
      <x:c r="C110" s="13" t="str">
        <x:v>艺术工艺</x:v>
      </x:c>
      <x:c r="D110" s="13" t="str">
        <x:v>R11</x:v>
      </x:c>
      <x:c r="E110" s="13" t="str">
        <x:v>萨尔瓦多</x:v>
      </x:c>
      <x:c r="F110" s="21" t="n">
        <x:v>-12.97</x:v>
      </x:c>
      <x:c r="G110" s="21" t="n">
        <x:v>-38.5</x:v>
      </x:c>
      <x:c r="H110" s="13" t="str">
        <x:v>学识4；C062或当地制琴匠；带两种木材样板</x:v>
      </x:c>
      <x:c r="I110" s="27" t="n">
        <x:v>4200</x:v>
      </x:c>
      <x:c r="J110" s="27" t="n">
        <x:v>210</x:v>
      </x:c>
      <x:c r="K110" s="13" t="str">
        <x:v>首奖一次；可接受不同音色的小批订单</x:v>
      </x:c>
      <x:c r="L110" s="13" t="str">
        <x:v>玩家首次完整记录；美术、任务步骤、角色联系与奖励均为原创游戏设计。</x:v>
      </x:c>
      <x:c r="M110" s="13" t="str">
        <x:v>现实启发的原创任务</x:v>
      </x:c>
      <x:c r="N110" s="13" t="str">
        <x:v>游戏地图近似布点；内陆点从所列最近港组织陆路远征，外海点允许设置临时锚地。</x:v>
      </x:c>
      <x:c r="O110" s="13" t="str"/>
    </x:row>
    <x:row r="111" ht="42" customHeight="1">
      <x:c r="A111" s="15" t="str">
        <x:v>E106</x:v>
      </x:c>
      <x:c r="B111" s="15" t="str">
        <x:v>南十字落进草原</x:v>
      </x:c>
      <x:c r="C111" s="15" t="str">
        <x:v>天文观测</x:v>
      </x:c>
      <x:c r="D111" s="15" t="str">
        <x:v>R11</x:v>
      </x:c>
      <x:c r="E111" s="15" t="str">
        <x:v>布宜诺斯艾利斯</x:v>
      </x:c>
      <x:c r="F111" s="29" t="n">
        <x:v>-35.01</x:v>
      </x:c>
      <x:c r="G111" s="29" t="n">
        <x:v>-57.72</x:v>
      </x:c>
      <x:c r="H111" s="15" t="str">
        <x:v>航海6或学识5；C065或南方领航员；晴夜</x:v>
      </x:c>
      <x:c r="I111" s="30" t="n">
        <x:v>5100</x:v>
      </x:c>
      <x:c r="J111" s="30" t="n">
        <x:v>280</x:v>
      </x:c>
      <x:c r="K111" s="15" t="str">
        <x:v>首奖一次；可补不同纬度观测页</x:v>
      </x:c>
      <x:c r="L111" s="15" t="str">
        <x:v>玩家首次完整记录；美术、任务步骤、角色联系与奖励均为原创游戏设计。</x:v>
      </x:c>
      <x:c r="M111" s="15" t="str">
        <x:v>现实启发的原创任务</x:v>
      </x:c>
      <x:c r="N111" s="15" t="str">
        <x:v>游戏地图近似布点；内陆点从所列最近港组织陆路远征，外海点允许设置临时锚地。</x:v>
      </x:c>
      <x:c r="O111" s="15" t="str">
        <x:v>EX30</x:v>
      </x:c>
    </x:row>
    <x:row r="112" ht="42" customHeight="1">
      <x:c r="A112" s="13" t="str">
        <x:v>E107</x:v>
      </x:c>
      <x:c r="B112" s="13" t="str">
        <x:v>雨线里的黄金船</x:v>
      </x:c>
      <x:c r="C112" s="13" t="str">
        <x:v>沉船记录</x:v>
      </x:c>
      <x:c r="D112" s="13" t="str">
        <x:v>R11</x:v>
      </x:c>
      <x:c r="E112" s="13" t="str">
        <x:v>里约热内卢</x:v>
      </x:c>
      <x:c r="F112" s="21" t="n">
        <x:v>-22.86</x:v>
      </x:c>
      <x:c r="G112" s="21" t="n">
        <x:v>-43.01</x:v>
      </x:c>
      <x:c r="H112" s="13" t="str">
        <x:v>航海6；打捞索具；C061或老装卸工的口述</x:v>
      </x:c>
      <x:c r="I112" s="27" t="n">
        <x:v>5300</x:v>
      </x:c>
      <x:c r="J112" s="27" t="n">
        <x:v>260</x:v>
      </x:c>
      <x:c r="K112" s="13" t="str">
        <x:v>首奖一次；复访可观看重绘长画</x:v>
      </x:c>
      <x:c r="L112" s="13" t="str">
        <x:v>玩家首次完整记录；美术、任务步骤、角色联系与奖励均为原创游戏设计。</x:v>
      </x:c>
      <x:c r="M112" s="13" t="str">
        <x:v>纯原创</x:v>
      </x:c>
      <x:c r="N112" s="13" t="str">
        <x:v>游戏地图近似布点；内陆点从所列最近港组织陆路远征，外海点允许设置临时锚地。</x:v>
      </x:c>
      <x:c r="O112" s="13" t="str"/>
    </x:row>
    <x:row r="113" ht="42" customHeight="1">
      <x:c r="A113" s="15" t="str">
        <x:v>E108</x:v>
      </x:c>
      <x:c r="B113" s="15" t="str">
        <x:v>向山上行走的海雾</x:v>
      </x:c>
      <x:c r="C113" s="15" t="str">
        <x:v>自然奇观</x:v>
      </x:c>
      <x:c r="D113" s="15" t="str">
        <x:v>R11</x:v>
      </x:c>
      <x:c r="E113" s="15" t="str">
        <x:v>瓦尔帕莱索</x:v>
      </x:c>
      <x:c r="F113" s="29" t="n">
        <x:v>-33.1</x:v>
      </x:c>
      <x:c r="G113" s="29" t="n">
        <x:v>-71.7</x:v>
      </x:c>
      <x:c r="H113" s="15" t="str">
        <x:v>学识4；C066或海岸气象观察者；清晨</x:v>
      </x:c>
      <x:c r="I113" s="30" t="n">
        <x:v>4300</x:v>
      </x:c>
      <x:c r="J113" s="30" t="n">
        <x:v>220</x:v>
      </x:c>
      <x:c r="K113" s="15" t="str">
        <x:v>首奖一次；不同季节可补云雾图</x:v>
      </x:c>
      <x:c r="L113" s="15" t="str">
        <x:v>玩家首次完整记录；美术、任务步骤、角色联系与奖励均为原创游戏设计。</x:v>
      </x:c>
      <x:c r="M113" s="15" t="str">
        <x:v>现实启发的原创任务</x:v>
      </x:c>
      <x:c r="N113" s="15" t="str">
        <x:v>游戏地图近似布点；内陆点从所列最近港组织陆路远征，外海点允许设置临时锚地。</x:v>
      </x:c>
      <x:c r="O113" s="15" t="str">
        <x:v>EX28</x:v>
      </x:c>
    </x:row>
    <x:row r="114" ht="42" customHeight="1">
      <x:c r="A114" s="13" t="str">
        <x:v>E109</x:v>
      </x:c>
      <x:c r="B114" s="13" t="str">
        <x:v>银盏里藏着的海</x:v>
      </x:c>
      <x:c r="C114" s="13" t="str">
        <x:v>地方传说</x:v>
      </x:c>
      <x:c r="D114" s="13" t="str">
        <x:v>R11</x:v>
      </x:c>
      <x:c r="E114" s="13" t="str">
        <x:v>卡亚俄</x:v>
      </x:c>
      <x:c r="F114" s="21" t="n">
        <x:v>-12.05</x:v>
      </x:c>
      <x:c r="G114" s="21" t="n">
        <x:v>-77.13</x:v>
      </x:c>
      <x:c r="H114" s="13" t="str">
        <x:v>学识4；C060或当地银匠；一只旧银盏</x:v>
      </x:c>
      <x:c r="I114" s="27" t="n">
        <x:v>3900</x:v>
      </x:c>
      <x:c r="J114" s="27" t="n">
        <x:v>210</x:v>
      </x:c>
      <x:c r="K114" s="13" t="str">
        <x:v>首奖一次；伙伴组合改变杯侧文字</x:v>
      </x:c>
      <x:c r="L114" s="13" t="str">
        <x:v>玩家首次完整记录；美术、任务步骤、角色联系与奖励均为原创游戏设计。</x:v>
      </x:c>
      <x:c r="M114" s="13" t="str">
        <x:v>纯原创</x:v>
      </x:c>
      <x:c r="N114" s="13" t="str">
        <x:v>游戏地图近似布点；内陆点从所列最近港组织陆路远征，外海点允许设置临时锚地。</x:v>
      </x:c>
      <x:c r="O114" s="13" t="str"/>
    </x:row>
    <x:row r="115" ht="42" customHeight="1">
      <x:c r="A115" s="15" t="str">
        <x:v>E110</x:v>
      </x:c>
      <x:c r="B115" s="15" t="str">
        <x:v>翡翠的第二片海</x:v>
      </x:c>
      <x:c r="C115" s="15" t="str">
        <x:v>艺术工艺</x:v>
      </x:c>
      <x:c r="D115" s="15" t="str">
        <x:v>R11</x:v>
      </x:c>
      <x:c r="E115" s="15" t="str">
        <x:v>卡塔赫纳</x:v>
      </x:c>
      <x:c r="F115" s="29" t="n">
        <x:v>10.4</x:v>
      </x:c>
      <x:c r="G115" s="29" t="n">
        <x:v>-75.48</x:v>
      </x:c>
      <x:c r="H115" s="15" t="str">
        <x:v>学识5；C061或宝石匠；带G078宝石原石样件</x:v>
      </x:c>
      <x:c r="I115" s="30" t="n">
        <x:v>4700</x:v>
      </x:c>
      <x:c r="J115" s="30" t="n">
        <x:v>230</x:v>
      </x:c>
      <x:c r="K115" s="15" t="str">
        <x:v>首奖一次；可复做不同原石设计单</x:v>
      </x:c>
      <x:c r="L115" s="15" t="str">
        <x:v>玩家首次完整记录；美术、任务步骤、角色联系与奖励均为原创游戏设计。</x:v>
      </x:c>
      <x:c r="M115" s="15" t="str">
        <x:v>现实启发的原创任务</x:v>
      </x:c>
      <x:c r="N115" s="15" t="str">
        <x:v>游戏地图近似布点；内陆点从所列最近港组织陆路远征，外海点允许设置临时锚地。</x:v>
      </x:c>
      <x:c r="O115" s="15" t="str"/>
    </x:row>
    <x:row r="116" ht="42" customHeight="1">
      <x:c r="A116" s="13" t="str">
        <x:v>E111</x:v>
      </x:c>
      <x:c r="B116" s="13" t="str">
        <x:v>海中花园</x:v>
      </x:c>
      <x:c r="C116" s="13" t="str">
        <x:v>生态观察</x:v>
      </x:c>
      <x:c r="D116" s="13" t="str">
        <x:v>R12</x:v>
      </x:c>
      <x:c r="E116" s="13" t="str">
        <x:v>杰克逊湾</x:v>
      </x:c>
      <x:c r="F116" s="21" t="n">
        <x:v>-18.3</x:v>
      </x:c>
      <x:c r="G116" s="21" t="n">
        <x:v>147.7</x:v>
      </x:c>
      <x:c r="H116" s="13" t="str">
        <x:v>学识6；当地领航员；浅艇；日光良好时</x:v>
      </x:c>
      <x:c r="I116" s="27" t="n">
        <x:v>5900</x:v>
      </x:c>
      <x:c r="J116" s="27" t="n">
        <x:v>300</x:v>
      </x:c>
      <x:c r="K116" s="13" t="str">
        <x:v>首奖一次；不同礁段可补独立图页</x:v>
      </x:c>
      <x:c r="L116" s="13" t="str">
        <x:v>玩家首次完整记录；美术、任务步骤、角色联系与奖励均为原创游戏设计。</x:v>
      </x:c>
      <x:c r="M116" s="13" t="str">
        <x:v>真实对象；调查故事原创</x:v>
      </x:c>
      <x:c r="N116" s="13" t="str">
        <x:v>游戏地图近似布点；内陆点从所列最近港组织陆路远征，外海点允许设置临时锚地。</x:v>
      </x:c>
      <x:c r="O116" s="13" t="str">
        <x:v>EX25</x:v>
      </x:c>
    </x:row>
    <x:row r="117" ht="42" customHeight="1">
      <x:c r="A117" s="15" t="str">
        <x:v>E112</x:v>
      </x:c>
      <x:c r="B117" s="15" t="str">
        <x:v>石像看向的海</x:v>
      </x:c>
      <x:c r="C117" s="15" t="str">
        <x:v>历史遗址</x:v>
      </x:c>
      <x:c r="D117" s="15" t="str">
        <x:v>R12</x:v>
      </x:c>
      <x:c r="E117" s="15" t="str">
        <x:v>汉加罗阿</x:v>
      </x:c>
      <x:c r="F117" s="29" t="n">
        <x:v>-27.125</x:v>
      </x:c>
      <x:c r="G117" s="29" t="n">
        <x:v>-109.285</x:v>
      </x:c>
      <x:c r="H117" s="15" t="str">
        <x:v>学识5；C072或拉帕努伊讲述者；绘图纸</x:v>
      </x:c>
      <x:c r="I117" s="30" t="n">
        <x:v>5700</x:v>
      </x:c>
      <x:c r="J117" s="30" t="n">
        <x:v>290</x:v>
      </x:c>
      <x:c r="K117" s="15" t="str">
        <x:v>首奖一次；可补节庆与日常生活两版</x:v>
      </x:c>
      <x:c r="L117" s="15" t="str">
        <x:v>玩家首次完整记录；美术、任务步骤、角色联系与奖励均为原创游戏设计。</x:v>
      </x:c>
      <x:c r="M117" s="15" t="str">
        <x:v>真实对象；调查故事原创</x:v>
      </x:c>
      <x:c r="N117" s="15" t="str">
        <x:v>游戏地图近似布点；内陆点从所列最近港组织陆路远征，外海点允许设置临时锚地。</x:v>
      </x:c>
      <x:c r="O117" s="15" t="str">
        <x:v>EX24</x:v>
      </x:c>
    </x:row>
    <x:row r="118" ht="42" customHeight="1">
      <x:c r="A118" s="13" t="str">
        <x:v>E113</x:v>
      </x:c>
      <x:c r="B118" s="13" t="str">
        <x:v>双湾的两次呼吸</x:v>
      </x:c>
      <x:c r="C118" s="13" t="str">
        <x:v>航海技术</x:v>
      </x:c>
      <x:c r="D118" s="13" t="str">
        <x:v>R12</x:v>
      </x:c>
      <x:c r="E118" s="13" t="str">
        <x:v>怀特马塔湾</x:v>
      </x:c>
      <x:c r="F118" s="21" t="n">
        <x:v>-36.81</x:v>
      </x:c>
      <x:c r="G118" s="21" t="n">
        <x:v>174.79</x:v>
      </x:c>
      <x:c r="H118" s="13" t="str">
        <x:v>航海6；C068或C070；测深绳；两次潮转</x:v>
      </x:c>
      <x:c r="I118" s="27" t="n">
        <x:v>4900</x:v>
      </x:c>
      <x:c r="J118" s="27" t="n">
        <x:v>260</x:v>
      </x:c>
      <x:c r="K118" s="13" t="str">
        <x:v>首奖一次；可用不同船型补试航记录</x:v>
      </x:c>
      <x:c r="L118" s="13" t="str">
        <x:v>玩家首次完整记录；美术、任务步骤、角色联系与奖励均为原创游戏设计。</x:v>
      </x:c>
      <x:c r="M118" s="13" t="str">
        <x:v>现实启发的原创任务</x:v>
      </x:c>
      <x:c r="N118" s="13" t="str">
        <x:v>游戏地图近似布点；内陆点从所列最近港组织陆路远征，外海点允许设置临时锚地。</x:v>
      </x:c>
      <x:c r="O118" s="13" t="str">
        <x:v>EX26</x:v>
      </x:c>
    </x:row>
    <x:row r="119" ht="42" customHeight="1">
      <x:c r="A119" s="15" t="str">
        <x:v>E114</x:v>
      </x:c>
      <x:c r="B119" s="15" t="str">
        <x:v>能穿过海风的布</x:v>
      </x:c>
      <x:c r="C119" s="15" t="str">
        <x:v>艺术工艺</x:v>
      </x:c>
      <x:c r="D119" s="15" t="str">
        <x:v>R12</x:v>
      </x:c>
      <x:c r="E119" s="15" t="str">
        <x:v>马塔瓦伊湾</x:v>
      </x:c>
      <x:c r="F119" s="29" t="n">
        <x:v>-17.5</x:v>
      </x:c>
      <x:c r="G119" s="29" t="n">
        <x:v>-149.49</x:v>
      </x:c>
      <x:c r="H119" s="15" t="str">
        <x:v>学识4；C069或当地树皮布匠；植物材料样包</x:v>
      </x:c>
      <x:c r="I119" s="30" t="n">
        <x:v>4500</x:v>
      </x:c>
      <x:c r="J119" s="30" t="n">
        <x:v>240</x:v>
      </x:c>
      <x:c r="K119" s="15" t="str">
        <x:v>首奖一次；可随伙伴故事追加新边纹</x:v>
      </x:c>
      <x:c r="L119" s="15" t="str">
        <x:v>玩家首次完整记录；美术、任务步骤、角色联系与奖励均为原创游戏设计。</x:v>
      </x:c>
      <x:c r="M119" s="15" t="str">
        <x:v>现实启发的原创任务</x:v>
      </x:c>
      <x:c r="N119" s="15" t="str">
        <x:v>游戏地图近似布点；内陆点从所列最近港组织陆路远征，外海点允许设置临时锚地。</x:v>
      </x:c>
      <x:c r="O119" s="15" t="str">
        <x:v>EX29</x:v>
      </x:c>
    </x:row>
    <x:row r="120" ht="42" customHeight="1">
      <x:c r="A120" s="13" t="str">
        <x:v>E115</x:v>
      </x:c>
      <x:c r="B120" s="13" t="str">
        <x:v>没有指针的罗盘</x:v>
      </x:c>
      <x:c r="C120" s="13" t="str">
        <x:v>天文观测</x:v>
      </x:c>
      <x:c r="D120" s="13" t="str">
        <x:v>R12</x:v>
      </x:c>
      <x:c r="E120" s="13" t="str">
        <x:v>科乌港</x:v>
      </x:c>
      <x:c r="F120" s="21" t="n">
        <x:v>21.22</x:v>
      </x:c>
      <x:c r="G120" s="21" t="n">
        <x:v>-157.97</x:v>
      </x:c>
      <x:c r="H120" s="13" t="str">
        <x:v>航海7或学识6；C067或当地星航领航员；晴夜</x:v>
      </x:c>
      <x:c r="I120" s="27" t="n">
        <x:v>5600</x:v>
      </x:c>
      <x:c r="J120" s="27" t="n">
        <x:v>300</x:v>
      </x:c>
      <x:c r="K120" s="13" t="str">
        <x:v>首奖一次；不同海员可完成各自观测页</x:v>
      </x:c>
      <x:c r="L120" s="13" t="str">
        <x:v>玩家首次完整记录；美术、任务步骤、角色联系与奖励均为原创游戏设计。</x:v>
      </x:c>
      <x:c r="M120" s="13" t="str">
        <x:v>现实启发的原创任务</x:v>
      </x:c>
      <x:c r="N120" s="13" t="str">
        <x:v>游戏地图近似布点；内陆点从所列最近港组织陆路远征，外海点允许设置临时锚地。</x:v>
      </x:c>
      <x:c r="O120" s="13" t="str">
        <x:v>EX30</x:v>
      </x:c>
    </x:row>
    <x:row r="121" ht="42" customHeight="1">
      <x:c r="A121" s="15" t="str">
        <x:v>E116</x:v>
      </x:c>
      <x:c r="B121" s="15" t="str">
        <x:v>檀香鸟之庭</x:v>
      </x:c>
      <x:c r="C121" s="15" t="str">
        <x:v>地方传说</x:v>
      </x:c>
      <x:c r="D121" s="15" t="str">
        <x:v>R12</x:v>
      </x:c>
      <x:c r="E121" s="15" t="str">
        <x:v>帝力</x:v>
      </x:c>
      <x:c r="F121" s="29" t="n">
        <x:v>-8.55</x:v>
      </x:c>
      <x:c r="G121" s="29" t="n">
        <x:v>125.59</x:v>
      </x:c>
      <x:c r="H121" s="15" t="str">
        <x:v>学识3；C069或帝汶讲述者；G054檀香木样件</x:v>
      </x:c>
      <x:c r="I121" s="30" t="n">
        <x:v>3600</x:v>
      </x:c>
      <x:c r="J121" s="30" t="n">
        <x:v>200</x:v>
      </x:c>
      <x:c r="K121" s="15" t="str">
        <x:v>首奖一次；不同乐师演唱不同版本</x:v>
      </x:c>
      <x:c r="L121" s="15" t="str">
        <x:v>玩家首次完整记录；美术、任务步骤、角色联系与奖励均为原创游戏设计。</x:v>
      </x:c>
      <x:c r="M121" s="15" t="str">
        <x:v>纯原创</x:v>
      </x:c>
      <x:c r="N121" s="15" t="str">
        <x:v>游戏地图近似布点；内陆点从所列最近港组织陆路远征，外海点允许设置临时锚地。</x:v>
      </x:c>
      <x:c r="O121" s="15" t="str"/>
    </x:row>
    <x:row r="122" ht="42" customHeight="1">
      <x:c r="A122" s="13" t="str">
        <x:v>E117</x:v>
      </x:c>
      <x:c r="B122" s="13" t="str">
        <x:v>潮底倒扣的星船</x:v>
      </x:c>
      <x:c r="C122" s="13" t="str">
        <x:v>沉船记录</x:v>
      </x:c>
      <x:c r="D122" s="13" t="str">
        <x:v>R12</x:v>
      </x:c>
      <x:c r="E122" s="13" t="str">
        <x:v>古邦</x:v>
      </x:c>
      <x:c r="F122" s="21" t="n">
        <x:v>-10.09</x:v>
      </x:c>
      <x:c r="G122" s="21" t="n">
        <x:v>123.52</x:v>
      </x:c>
      <x:c r="H122" s="13" t="str">
        <x:v>航海6；打捞索具；C068或古邦船匠</x:v>
      </x:c>
      <x:c r="I122" s="27" t="n">
        <x:v>5200</x:v>
      </x:c>
      <x:c r="J122" s="27" t="n">
        <x:v>270</x:v>
      </x:c>
      <x:c r="K122" s="13" t="str">
        <x:v>首奖一次；模型完工后开启匠人夜谈</x:v>
      </x:c>
      <x:c r="L122" s="13" t="str">
        <x:v>玩家首次完整记录；美术、任务步骤、角色联系与奖励均为原创游戏设计。</x:v>
      </x:c>
      <x:c r="M122" s="13" t="str">
        <x:v>纯原创</x:v>
      </x:c>
      <x:c r="N122" s="13" t="str">
        <x:v>游戏地图近似布点；内陆点从所列最近港组织陆路远征，外海点允许设置临时锚地。</x:v>
      </x:c>
      <x:c r="O122" s="13" t="str"/>
    </x:row>
    <x:row r="123" ht="42" customHeight="1">
      <x:c r="A123" s="15" t="str">
        <x:v>E118</x:v>
      </x:c>
      <x:c r="B123" s="15" t="str">
        <x:v>飞帆与同一阵风</x:v>
      </x:c>
      <x:c r="C123" s="15" t="str">
        <x:v>航海技术</x:v>
      </x:c>
      <x:c r="D123" s="15" t="str">
        <x:v>R12</x:v>
      </x:c>
      <x:c r="E123" s="15" t="str">
        <x:v>哈加特纳</x:v>
      </x:c>
      <x:c r="F123" s="29" t="n">
        <x:v>13.42</x:v>
      </x:c>
      <x:c r="G123" s="29" t="n">
        <x:v>144.72</x:v>
      </x:c>
      <x:c r="H123" s="15" t="str">
        <x:v>航海6；C070或查莫罗领航员；轻舟试航</x:v>
      </x:c>
      <x:c r="I123" s="30" t="n">
        <x:v>4900</x:v>
      </x:c>
      <x:c r="J123" s="30" t="n">
        <x:v>260</x:v>
      </x:c>
      <x:c r="K123" s="15" t="str">
        <x:v>首奖一次；可重复记录航海动作图页</x:v>
      </x:c>
      <x:c r="L123" s="15" t="str">
        <x:v>玩家首次完整记录；美术、任务步骤、角色联系与奖励均为原创游戏设计。</x:v>
      </x:c>
      <x:c r="M123" s="15" t="str">
        <x:v>现实启发的原创任务</x:v>
      </x:c>
      <x:c r="N123" s="15" t="str">
        <x:v>游戏地图近似布点；内陆点从所列最近港组织陆路远征，外海点允许设置临时锚地。</x:v>
      </x:c>
      <x:c r="O123" s="15" t="str">
        <x:v>EX30</x:v>
      </x:c>
    </x:row>
    <x:row r="124" ht="42" customHeight="1">
      <x:c r="A124" s="13" t="str">
        <x:v>E119</x:v>
      </x:c>
      <x:c r="B124" s="13" t="str">
        <x:v>桉林里的笑声</x:v>
      </x:c>
      <x:c r="C124" s="13" t="str">
        <x:v>生态观察</x:v>
      </x:c>
      <x:c r="D124" s="13" t="str">
        <x:v>R12</x:v>
      </x:c>
      <x:c r="E124" s="13" t="str">
        <x:v>杰克逊湾</x:v>
      </x:c>
      <x:c r="F124" s="21" t="n">
        <x:v>-33.81</x:v>
      </x:c>
      <x:c r="G124" s="21" t="n">
        <x:v>151.18</x:v>
      </x:c>
      <x:c r="H124" s="13" t="str">
        <x:v>学识4；C063或当地林地讲述者；清晨</x:v>
      </x:c>
      <x:c r="I124" s="27" t="n">
        <x:v>4000</x:v>
      </x:c>
      <x:c r="J124" s="27" t="n">
        <x:v>220</x:v>
      </x:c>
      <x:c r="K124" s="13" t="str">
        <x:v>首奖一次；不同季节可补行为观察</x:v>
      </x:c>
      <x:c r="L124" s="13" t="str">
        <x:v>玩家首次完整记录；美术、任务步骤、角色联系与奖励均为原创游戏设计。</x:v>
      </x:c>
      <x:c r="M124" s="13" t="str">
        <x:v>现实启发的原创任务</x:v>
      </x:c>
      <x:c r="N124" s="13" t="str">
        <x:v>游戏地图近似布点；内陆点从所列最近港组织陆路远征，外海点允许设置临时锚地。</x:v>
      </x:c>
      <x:c r="O124" s="13" t="str"/>
    </x:row>
    <x:row r="125" ht="42" customHeight="1">
      <x:c r="A125" s="16" t="str">
        <x:v>E120</x:v>
      </x:c>
      <x:c r="B125" s="16" t="str">
        <x:v>白昼海·群星归航</x:v>
      </x:c>
      <x:c r="C125" s="16" t="str">
        <x:v>天文观测</x:v>
      </x:c>
      <x:c r="D125" s="16" t="str">
        <x:v>R12</x:v>
      </x:c>
      <x:c r="E125" s="16" t="str">
        <x:v>马塔瓦伊湾</x:v>
      </x:c>
      <x:c r="F125" s="31" t="n">
        <x:v>-12</x:v>
      </x:c>
      <x:c r="G125" s="31" t="n">
        <x:v>-153</x:v>
      </x:c>
      <x:c r="H125" s="16" t="str">
        <x:v>航海8或学识7；完成E069/E078/E084/E095/E106/E115六页星航记录；C007与C067，或她们交付的完整航图</x:v>
      </x:c>
      <x:c r="I125" s="32" t="n">
        <x:v>15000</x:v>
      </x:c>
      <x:c r="J125" s="32" t="n">
        <x:v>1000</x:v>
      </x:c>
      <x:c r="K125" s="16" t="str">
        <x:v>首奖一次；结局后可自由复访举行归航夜会</x:v>
      </x:c>
      <x:c r="L125" s="16" t="str">
        <x:v>玩家首次完整记录；美术、任务步骤、角色联系与奖励均为原创游戏设计。</x:v>
      </x:c>
      <x:c r="M125" s="16" t="str">
        <x:v>纯原创；以自然夜光海与多文化星航经验为创意基础</x:v>
      </x:c>
      <x:c r="N125" s="16" t="str">
        <x:v>游戏地图近似布点；内陆点从所列最近港组织陆路远征，外海点允许设置临时锚地。</x:v>
      </x:c>
      <x:c r="O125" s="16" t="str">
        <x:v>EX27；EX30</x:v>
      </x:c>
    </x:row>
    <x:row r="126">
      <x:c r="A126" s="2"/>
      <x:c r="B126" s="2"/>
      <x:c r="C126" s="2"/>
      <x:c r="D126" s="2"/>
      <x:c r="E126" s="2"/>
      <x:c r="F126" s="2"/>
      <x:c r="G126" s="2"/>
      <x:c r="H126" s="2"/>
      <x:c r="I126" s="2"/>
      <x:c r="J126" s="2"/>
      <x:c r="K126" s="2"/>
      <x:c r="L126" s="2"/>
      <x:c r="M126" s="2"/>
      <x:c r="N126" s="2"/>
      <x:c r="O126" s="2"/>
    </x:row>
  </x:sheetData>
  <x:pageMargins left="0.7" right="0.7" top="0.75" bottom="0.75" header="0.3" footer="0.3"/>
  <x:tableParts count="1">
    <x:tablePart xmlns:r="http://schemas.openxmlformats.org/officeDocument/2006/relationships" r:id="R839e50c3e9ae42ec"/>
  </x:tableParts>
</x:worksheet>
</file>

<file path=xl/worksheets/sheet30.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3" hidden="0" customWidth="1"/>
    <x:col min="2" max="2" width="36" hidden="0" customWidth="1"/>
    <x:col min="3" max="3" width="90" hidden="0" customWidth="1"/>
    <x:col min="4" max="4" width="104" hidden="0" customWidth="1"/>
    <x:col min="5" max="5" width="106" hidden="0" customWidth="1"/>
    <x:col min="6" max="6" width="89" hidden="0" customWidth="1"/>
  </x:cols>
  <x:sheetData>
    <x:row r="1">
      <x:c r="A1" s="2"/>
      <x:c r="B1" s="2"/>
      <x:c r="C1" s="2"/>
      <x:c r="D1" s="2"/>
      <x:c r="E1" s="2"/>
      <x:c r="F1" s="2"/>
    </x:row>
    <x:row r="2" ht="28" customHeight="1">
      <x:c r="A2" s="3" t="str">
        <x:v>探索线索、现场操作与发现奖励</x:v>
      </x:c>
      <x:c r="B2" s="2"/>
      <x:c r="C2" s="2"/>
      <x:c r="D2" s="2"/>
      <x:c r="E2" s="2"/>
      <x:c r="F2" s="2"/>
    </x:row>
    <x:row r="3">
      <x:c r="A3" s="2"/>
      <x:c r="B3" s="2"/>
      <x:c r="C3" s="2"/>
      <x:c r="D3" s="2"/>
      <x:c r="E3" s="2"/>
      <x:c r="F3" s="2"/>
    </x:row>
    <x:row r="4">
      <x:c r="A4" s="2"/>
      <x:c r="B4" s="2"/>
      <x:c r="C4" s="2"/>
      <x:c r="D4" s="2"/>
      <x:c r="E4" s="2"/>
      <x:c r="F4" s="2"/>
    </x:row>
    <x:row r="5" ht="34" customHeight="1">
      <x:c r="A5" s="10" t="str">
        <x:v>探索ID</x:v>
      </x:c>
      <x:c r="B5" s="10" t="str">
        <x:v>发现物</x:v>
      </x:c>
      <x:c r="C5" s="10" t="str">
        <x:v>线索来源</x:v>
      </x:c>
      <x:c r="D5" s="10" t="str">
        <x:v>现场步骤</x:v>
      </x:c>
      <x:c r="E5" s="10" t="str">
        <x:v>发现画面</x:v>
      </x:c>
      <x:c r="F5" s="10" t="str">
        <x:v>永久解锁</x:v>
      </x:c>
    </x:row>
    <x:row r="6" ht="31" customHeight="1">
      <x:c r="A6" s="12" t="str">
        <x:v>E001</x:v>
      </x:c>
      <x:c r="B6" s="12" t="str">
        <x:v>布吕根的双层仓路</x:v>
      </x:c>
      <x:c r="C6" s="12" t="str">
        <x:v>货物走后巷，人走前街，为何账本只记一条路</x:v>
      </x:c>
      <x:c r="D6" s="12" t="str">
        <x:v>听仓工讲动线→标出前屋与后仓→比较旧运货簿</x:v>
      </x:c>
      <x:c r="E6" s="12" t="str">
        <x:v>雨水沿彩色木仓檐角滴落，窄巷尽头同时看见山和帆</x:v>
      </x:c>
      <x:c r="F6" s="12" t="str">
        <x:v>白桦公共仓库图、C001海图序章</x:v>
      </x:c>
    </x:row>
    <x:row r="7" ht="31" customHeight="1">
      <x:c r="A7" s="15" t="str">
        <x:v>E002</x:v>
      </x:c>
      <x:c r="B7" s="15" t="str">
        <x:v>封在琥珀里的风</x:v>
      </x:c>
      <x:c r="C7" s="15" t="str">
        <x:v>暴风后岸边出现带羽状纹理的琥珀</x:v>
      </x:c>
      <x:c r="D7" s="15" t="str">
        <x:v>询问拾珀人→对照树脂纹与内含物→描绘形成顺序</x:v>
      </x:c>
      <x:c r="E7" s="15" t="str">
        <x:v>夕光穿过金色小石，细叶像仍在随风颤动</x:v>
      </x:c>
      <x:c r="F7" s="15" t="str">
        <x:v>琥珀品级鉴别、珠宝套组线索</x:v>
      </x:c>
    </x:row>
    <x:row r="8" ht="31" customHeight="1">
      <x:c r="A8" s="13" t="str">
        <x:v>E003</x:v>
      </x:c>
      <x:c r="B8" s="13" t="str">
        <x:v>摇摆甲板上的时针</x:v>
      </x:c>
      <x:c r="C8" s="13" t="str">
        <x:v>一个钟匠坚持时间不能随船摇来摇去</x:v>
      </x:c>
      <x:c r="D8" s="13" t="str">
        <x:v>观摩海钟构件→跨海记录误差→把测量表交回工坊</x:v>
      </x:c>
      <x:c r="E8" s="13" t="str">
        <x:v>齿轮反光像缩小的银河，钟声与舷外浪声错开又重合</x:v>
      </x:c>
      <x:c r="F8" s="13" t="str">
        <x:v>稳时悬架研究、C051远洋试验线</x:v>
      </x:c>
    </x:row>
    <x:row r="9" ht="31" customHeight="1">
      <x:c r="A9" s="15" t="str">
        <x:v>E004</x:v>
      </x:c>
      <x:c r="B9" s="15" t="str">
        <x:v>冰镜里的双北星</x:v>
      </x:c>
      <x:c r="C9" s="15" t="str">
        <x:v>渔民说这一湾在静夜有上下两座天空</x:v>
      </x:c>
      <x:c r="D9" s="15" t="str">
        <x:v>找避风水面→记录星位与倒影→用岸标区分真实方向</x:v>
      </x:c>
      <x:c r="E9" s="15" t="str">
        <x:v>黑水与天空缝成一体，船像停在两层星河之间</x:v>
      </x:c>
      <x:c r="F9" s="15" t="str">
        <x:v>无月夜基线测量、星图收藏页</x:v>
      </x:c>
    </x:row>
    <x:row r="10" ht="31" customHeight="1">
      <x:c r="A10" s="13" t="str">
        <x:v>E005</x:v>
      </x:c>
      <x:c r="B10" s="13" t="str">
        <x:v>归家号最后一钟</x:v>
      </x:c>
      <x:c r="C10" s="13" t="str">
        <x:v>旧钟被打捞上岸时还挂着没寄出的名字牌</x:v>
      </x:c>
      <x:c r="D10" s="13" t="str">
        <x:v>测旧航道→定位船体→记录钟牌并交还家属</x:v>
      </x:c>
      <x:c r="E10" s="13" t="str">
        <x:v>低潮下轮廓像一条安睡的木鲸，钟声在水面只响一次</x:v>
      </x:c>
      <x:c r="F10" s="13" t="str">
        <x:v>C001/C002事故证据、北海旧航线</x:v>
      </x:c>
    </x:row>
    <x:row r="11" ht="31" customHeight="1">
      <x:c r="A11" s="15" t="str">
        <x:v>E006</x:v>
      </x:c>
      <x:c r="B11" s="15" t="str">
        <x:v>帆骨鲸影</x:v>
      </x:c>
      <x:c r="C11" s="15" t="str">
        <x:v>远处一排海鸟总在深色背影前方起落</x:v>
      </x:c>
      <x:c r="D11" s="15" t="str">
        <x:v>跟随鸟群保持距离→记录三次浮上海面→描绘鲸与鸟的相互位置</x:v>
      </x:c>
      <x:c r="E11" s="15" t="str">
        <x:v>巨大的背脊划开银灰海面，玩家船帆的影子落在它身旁</x:v>
      </x:c>
      <x:c r="F11" s="15" t="str">
        <x:v>寒海生态图鉴、鲸影船首彩绘</x:v>
      </x:c>
    </x:row>
    <x:row r="12" ht="31" customHeight="1">
      <x:c r="A12" s="13" t="str">
        <x:v>E007</x:v>
      </x:c>
      <x:c r="B12" s="13" t="str">
        <x:v>七色商窗</x:v>
      </x:c>
      <x:c r="C12" s="13" t="str">
        <x:v>作坊师傅说好玻璃先要看它如何让灰天变亮</x:v>
      </x:c>
      <x:c r="D12" s="13" t="str">
        <x:v>访工坊→记录配色→为普通船舱设计一扇小窗</x:v>
      </x:c>
      <x:c r="E12" s="13" t="str">
        <x:v>阴天里七块小玻璃在木桌上投下彩色海面</x:v>
      </x:c>
      <x:c r="F12" s="13" t="str">
        <x:v>商船采光窗外观、玻璃工艺订单</x:v>
      </x:c>
    </x:row>
    <x:row r="13" ht="31" customHeight="1">
      <x:c r="A13" s="15" t="str">
        <x:v>E008</x:v>
      </x:c>
      <x:c r="B13" s="15" t="str">
        <x:v>里加的风琴锚</x:v>
      </x:c>
      <x:c r="C13" s="15" t="str">
        <x:v>涨潮时无人演奏的旧锚会发出低音</x:v>
      </x:c>
      <x:c r="D13" s="15" t="str">
        <x:v>记录潮位与声响→找到共振孔→在码头演示潮声曲</x:v>
      </x:c>
      <x:c r="E13" s="15" t="str">
        <x:v>空锚与礁孔把浪声织成风琴，传说仍保留一点未解释的余音</x:v>
      </x:c>
      <x:c r="F13" s="15" t="str">
        <x:v>潮声乐谱、船舱纪念锚</x:v>
      </x:c>
    </x:row>
    <x:row r="14" ht="31" customHeight="1">
      <x:c r="A14" s="13" t="str">
        <x:v>E009</x:v>
      </x:c>
      <x:c r="B14" s="13" t="str">
        <x:v>河口漂木的来信</x:v>
      </x:c>
      <x:c r="C14" s="13" t="str">
        <x:v>漂木上有从没在本地见过的细小附着生物</x:v>
      </x:c>
      <x:c r="D14" s="13" t="str">
        <x:v>收集漂木图样→查港口装货记录→逆推可能航路</x:v>
      </x:c>
      <x:c r="E14" s="13" t="str">
        <x:v>一段不起眼的木头在桌上连起远洋的细线</x:v>
      </x:c>
      <x:c r="F14" s="13" t="str">
        <x:v>C004图鉴线、漂流物方向提示</x:v>
      </x:c>
    </x:row>
    <x:row r="15" ht="31" customHeight="1">
      <x:c r="A15" s="15" t="str">
        <x:v>E010</x:v>
      </x:c>
      <x:c r="B15" s="15" t="str">
        <x:v>旧灯塔的逆写地图</x:v>
      </x:c>
      <x:c r="C15" s="15" t="str">
        <x:v>旧灯塔墙上的字只有从海上看才顺</x:v>
      </x:c>
      <x:c r="D15" s="15" t="str">
        <x:v>从陆海两面测绘→以镜片复核→复原进港标记</x:v>
      </x:c>
      <x:c r="E15" s="15" t="str">
        <x:v>潮湿墙面浮出镜写航路，晨光把最后一箭头照向群岛</x:v>
      </x:c>
      <x:c r="F15" s="15" t="str">
        <x:v>群岛对岸标导航、海图主线第一块边页</x:v>
      </x:c>
    </x:row>
    <x:row r="16" ht="31" customHeight="1">
      <x:c r="A16" s="13" t="str">
        <x:v>E011</x:v>
      </x:c>
      <x:c r="B16" s="13" t="str">
        <x:v>贝伦塔的出航窗</x:v>
      </x:c>
      <x:c r="C16" s="13" t="str">
        <x:v>窗框里的河口景象与旧航海誓词相连</x:v>
      </x:c>
      <x:c r="D16" s="13" t="str">
        <x:v>观察河口要地→临摹建筑装饰→对照原创誓词手稿</x:v>
      </x:c>
      <x:c r="E16" s="13" t="str">
        <x:v>奶白塔影立在蓝金河光里，小帆船从窗框中心穿过</x:v>
      </x:c>
      <x:c r="F16" s="13" t="str">
        <x:v>C007出航序章、河口庆典</x:v>
      </x:c>
    </x:row>
    <x:row r="17" ht="31" customHeight="1">
      <x:c r="A17" s="15" t="str">
        <x:v>E012</x:v>
      </x:c>
      <x:c r="B17" s="15" t="str">
        <x:v>杜罗河的坡地酒谱</x:v>
      </x:c>
      <x:c r="C17" s="15" t="str">
        <x:v>同一条河两岸酒香不同，酒商给不出同一个答案</x:v>
      </x:c>
      <x:c r="D17" s="15" t="str">
        <x:v>访坡地酒坊→比较容器与季节→做盲品记录</x:v>
      </x:c>
      <x:c r="E17" s="15" t="str">
        <x:v>梯田像层层绿浪，桶中倒影是将要离开的船</x:v>
      </x:c>
      <x:c r="F17" s="15" t="str">
        <x:v>葡萄酒产地品级、餐饮套组</x:v>
      </x:c>
    </x:row>
    <x:row r="18" ht="31" customHeight="1">
      <x:c r="A18" s="13" t="str">
        <x:v>E013</x:v>
      </x:c>
      <x:c r="B18" s="13" t="str">
        <x:v>太阳坠遗失的刻度</x:v>
      </x:c>
      <x:c r="C18" s="13" t="str">
        <x:v>残缺坠饰背面不是花纹，而是没有标完的角度</x:v>
      </x:c>
      <x:c r="D18" s="13" t="str">
        <x:v>对准日影→在第二纬度重复→查出缺失的是南天记录</x:v>
      </x:c>
      <x:c r="E18" s="13" t="str">
        <x:v>金色刻线在掌心突然拼成航海象限仪的一部分</x:v>
      </x:c>
      <x:c r="F18" s="13" t="str">
        <x:v>C007母亲海图线、跨赤道天文链</x:v>
      </x:c>
    </x:row>
    <x:row r="19" ht="31" customHeight="1">
      <x:c r="A19" s="15" t="str">
        <x:v>E014</x:v>
      </x:c>
      <x:c r="B19" s="15" t="str">
        <x:v>比斯开湾的两道浪</x:v>
      </x:c>
      <x:c r="C19" s="15" t="str">
        <x:v>老帆匠说海面上看得见今天与昨天的风</x:v>
      </x:c>
      <x:c r="D19" s="15" t="str">
        <x:v>记录两套波峰方向→改变航向对比横摇→绘出波浪叠加图</x:v>
      </x:c>
      <x:c r="E19" s="15" t="str">
        <x:v>深蓝海上两道银纹斜交，船像穿过缓慢移动的格子</x:v>
      </x:c>
      <x:c r="F19" s="15" t="str">
        <x:v>长涌与本地风浪图层、帆缆课堂</x:v>
      </x:c>
    </x:row>
    <x:row r="20" ht="31" customHeight="1">
      <x:c r="A20" s="13" t="str">
        <x:v>E015</x:v>
      </x:c>
      <x:c r="B20" s="13" t="str">
        <x:v>沉在葡萄酒里的名字</x:v>
      </x:c>
      <x:c r="C20" s="13" t="str">
        <x:v>一批酒桶的木牌来自一艘货单上不存在的船</x:v>
      </x:c>
      <x:c r="D20" s="13" t="str">
        <x:v>找桶印→测旧沙洲→向码头档案员复核船员工资</x:v>
      </x:c>
      <x:c r="E20" s="13" t="str">
        <x:v>泥沙里露出的不是宝箱，而是一整排刻着名字的桶底</x:v>
      </x:c>
      <x:c r="F20" s="13" t="str">
        <x:v>商约支线、旧酒桶工艺与货物追溯</x:v>
      </x:c>
    </x:row>
    <x:row r="21" ht="31" customHeight="1">
      <x:c r="A21" s="15" t="str">
        <x:v>E016</x:v>
      </x:c>
      <x:c r="B21" s="15" t="str">
        <x:v>圣马洛的消失堤路</x:v>
      </x:c>
      <x:c r="C21" s="15" t="str">
        <x:v>一天只有两次，旧岸标可以步行接近</x:v>
      </x:c>
      <x:c r="D21" s="15" t="str">
        <x:v>记录露出时刻→测高差→把堤路与入港浅滩标在同一表</x:v>
      </x:c>
      <x:c r="E21" s="15" t="str">
        <x:v>灰金沙面缓缓消失，堤路尽头的灯重新成为一座岛</x:v>
      </x:c>
      <x:c r="F21" s="15" t="str">
        <x:v>大潮港口时刻表、浅滩捷径</x:v>
      </x:c>
    </x:row>
    <x:row r="22" ht="31" customHeight="1">
      <x:c r="A22" s="13" t="str">
        <x:v>E017</x:v>
      </x:c>
      <x:c r="B22" s="13" t="str">
        <x:v>白帆海燕的折返</x:v>
      </x:c>
      <x:c r="C22" s="13" t="str">
        <x:v>一群海鸟在岬角转向，却没有向最近陆地飞去</x:v>
      </x:c>
      <x:c r="D22" s="13" t="str">
        <x:v>记录风向→跟踪可见区内折返点→观察海面食物线</x:v>
      </x:c>
      <x:c r="E22" s="13" t="str">
        <x:v>细白鸟翼在暗海上划出箭头，远处风云开始转明</x:v>
      </x:c>
      <x:c r="F22" s="13" t="str">
        <x:v>海鸟觅食观测、C012旧航路线索</x:v>
      </x:c>
    </x:row>
    <x:row r="23" ht="31" customHeight="1">
      <x:c r="A23" s="15" t="str">
        <x:v>E018</x:v>
      </x:c>
      <x:c r="B23" s="15" t="str">
        <x:v>红帆剧团的双底舞台</x:v>
      </x:c>
      <x:c r="C23" s="15" t="str">
        <x:v>剧团旧舞台下有一层从未打开过的船用构件</x:v>
      </x:c>
      <x:c r="D23" s="15" t="str">
        <x:v>修舞台→看懂折叠结构→把陆上舞台改成船上演出架</x:v>
      </x:c>
      <x:c r="E23" s="15" t="str">
        <x:v>木板一层层展开，纸灯与帆影变成同一场戏</x:v>
      </x:c>
      <x:c r="F23" s="15" t="str">
        <x:v>流动剧场舱、C008/C020巡演任务</x:v>
      </x:c>
    </x:row>
    <x:row r="24" ht="31" customHeight="1">
      <x:c r="A24" s="13" t="str">
        <x:v>E019</x:v>
      </x:c>
      <x:c r="B24" s="13" t="str">
        <x:v>海上圣火的真名</x:v>
      </x:c>
      <x:c r="C24" s="13" t="str">
        <x:v>水手说桅杆顶的蓝火会给船改名</x:v>
      </x:c>
      <x:c r="D24" s="13" t="str">
        <x:v>收集三份目击叙述→记录天气与金属接点→在港内讨论解释</x:v>
      </x:c>
      <x:c r="E24" s="13" t="str">
        <x:v>雨刚停，桅索上残留蓝紫光，船员从恐惧变成屏息欣赏</x:v>
      </x:c>
      <x:c r="F24" s="13" t="str">
        <x:v>雷雨天候故事、蓝焰船首外观</x:v>
      </x:c>
    </x:row>
    <x:row r="25" ht="31" customHeight="1">
      <x:c r="A25" s="15" t="str">
        <x:v>E020</x:v>
      </x:c>
      <x:c r="B25" s="15" t="str">
        <x:v>南特彩焰试航札</x:v>
      </x:c>
      <x:c r="C25" s="15" t="str">
        <x:v>同一颜色在海雾里看起来竟不一样</x:v>
      </x:c>
      <x:c r="D25" s="15" t="str">
        <x:v>对岸布置观察点→更换时段与背景→建立颜色加节拍组合</x:v>
      </x:c>
      <x:c r="E25" s="15" t="str">
        <x:v>三点烟光越过灰白河雾，最后同时回应出航信号</x:v>
      </x:c>
      <x:c r="F25" s="15" t="str">
        <x:v>C011信号开发、彩焰配件试验单</x:v>
      </x:c>
    </x:row>
    <x:row r="26" ht="31" customHeight="1">
      <x:c r="A26" s="13" t="str">
        <x:v>E021</x:v>
      </x:c>
      <x:c r="B26" s="13" t="str">
        <x:v>威尼斯潟湖的木根城</x:v>
      </x:c>
      <x:c r="C26" s="13" t="str">
        <x:v>这座城的故事不只在石头上，也在水下的木头里</x:v>
      </x:c>
      <x:c r="D26" s="13" t="str">
        <x:v>记录潟湖动线→观察建筑与水的边界→访修复工坊</x:v>
      </x:c>
      <x:c r="E26" s="13" t="str">
        <x:v>金色窗灯与蓝绿水道交错，城市像把根伸进海里的森林</x:v>
      </x:c>
      <x:c r="F26" s="13" t="str">
        <x:v>潟湖公共工程、F05工艺展入口</x:v>
      </x:c>
    </x:row>
    <x:row r="27" ht="31" customHeight="1">
      <x:c r="A27" s="15" t="str">
        <x:v>E022</x:v>
      </x:c>
      <x:c r="B27" s="15" t="str">
        <x:v>迦太基旧港的圆与方</x:v>
      </x:c>
      <x:c r="C27" s="15" t="str">
        <x:v>一张古图把商人与军船分画在不同形状里</x:v>
      </x:c>
      <x:c r="D27" s="15" t="str">
        <x:v>步测港池边缘→对照遗迹平面→记录古今用途</x:v>
      </x:c>
      <x:c r="E27" s="15" t="str">
        <x:v>芦苇与水光中，圆形轮廓缓缓被玩家的墨线补全</x:v>
      </x:c>
      <x:c r="F27" s="15" t="str">
        <x:v>古港调度图、港口泊位研究</x:v>
      </x:c>
    </x:row>
    <x:row r="28" ht="31" customHeight="1">
      <x:c r="A28" s="13" t="str">
        <x:v>E023</x:v>
      </x:c>
      <x:c r="B28" s="13" t="str">
        <x:v>亚历山大的迟到水钟</x:v>
      </x:c>
      <x:c r="C28" s="13" t="str">
        <x:v>港钟每天慢一刻，只有满潮那天刚好</x:v>
      </x:c>
      <x:c r="D28" s="13" t="str">
        <x:v>记录日影与潮时→检查进水槽→重订港口报时法</x:v>
      </x:c>
      <x:c r="E28" s="13" t="str">
        <x:v>水滴落下，影针与岸上钟声第一次指向同一时刻</x:v>
      </x:c>
      <x:c r="F28" s="13" t="str">
        <x:v>水钟潮汐历、C017招募条件线索</x:v>
      </x:c>
    </x:row>
    <x:row r="29" ht="31" customHeight="1">
      <x:c r="A29" s="15" t="str">
        <x:v>E024</x:v>
      </x:c>
      <x:c r="B29" s="15" t="str">
        <x:v>克里特的海风玫瑰</x:v>
      </x:c>
      <x:c r="C29" s="15" t="str">
        <x:v>旧地砖上的花瓣数量与风向有关</x:v>
      </x:c>
      <x:c r="D29" s="15" t="str">
        <x:v>拓印花纹→夜观对应方向→复原季节风名对照</x:v>
      </x:c>
      <x:c r="E29" s="15" t="str">
        <x:v>残瓦间亮起星盘的铜光，海面与天穹各有一朵玫瑰</x:v>
      </x:c>
      <x:c r="F29" s="15" t="str">
        <x:v>地中海季风玫瑰图、C014旁支</x:v>
      </x:c>
    </x:row>
    <x:row r="30" ht="31" customHeight="1">
      <x:c r="A30" s="13" t="str">
        <x:v>E025</x:v>
      </x:c>
      <x:c r="B30" s="13" t="str">
        <x:v>月铜钟的第二个声音</x:v>
      </x:c>
      <x:c r="C30" s="13" t="str">
        <x:v>匠师说裂纹先被耳朵听见，再被眼睛发现</x:v>
      </x:c>
      <x:c r="D30" s="13" t="str">
        <x:v>比较钟声→观察金属断面→制作原理演示件</x:v>
      </x:c>
      <x:c r="E30" s="13" t="str">
        <x:v>一口大钟沉默，小铜片却回荡出清亮长音</x:v>
      </x:c>
      <x:c r="F30" s="13" t="str">
        <x:v>月铜合金工坊、C015个人线</x:v>
      </x:c>
    </x:row>
    <x:row r="31" ht="31" customHeight="1">
      <x:c r="A31" s="15" t="str">
        <x:v>E026</x:v>
      </x:c>
      <x:c r="B31" s="15" t="str">
        <x:v>银桨新娘号的空箱</x:v>
      </x:c>
      <x:c r="C31" s="15" t="str">
        <x:v>沉船传说装着婚礼金银，幸存货单却只写木箱</x:v>
      </x:c>
      <x:c r="D31" s="15" t="str">
        <x:v>找到船位→核对箱号→把嫁妆书信交给后人</x:v>
      </x:c>
      <x:c r="E31" s="15" t="str">
        <x:v>箱中没有黄金，只有包好的一架小提琴与整套木工工具</x:v>
      </x:c>
      <x:c r="F31" s="15" t="str">
        <x:v>平民远航展、手工提琴乐谱</x:v>
      </x:c>
    </x:row>
    <x:row r="32" ht="31" customHeight="1">
      <x:c r="A32" s="13" t="str">
        <x:v>E027</x:v>
      </x:c>
      <x:c r="B32" s="13" t="str">
        <x:v>红枝海园</x:v>
      </x:c>
      <x:c r="C32" s="13" t="str">
        <x:v>渔网带上一截红枝，像树却不是树</x:v>
      </x:c>
      <x:c r="D32" s="13" t="str">
        <x:v>观察海底地形→绘生物形态→记录深浅水差异</x:v>
      </x:c>
      <x:c r="E32" s="13" t="str">
        <x:v>蓝暗海底浮出一片朱红，像尚未熄灭的无声篝火</x:v>
      </x:c>
      <x:c r="F32" s="13" t="str">
        <x:v>海底生态页、珊瑚色装饰配方</x:v>
      </x:c>
    </x:row>
    <x:row r="33" ht="31" customHeight="1">
      <x:c r="A33" s="15" t="str">
        <x:v>E028</x:v>
      </x:c>
      <x:c r="B33" s="15" t="str">
        <x:v>拉古萨七家的同一扇门</x:v>
      </x:c>
      <x:c r="C33" s="15" t="str">
        <x:v>七家作坊都说自己做了港口那扇大门</x:v>
      </x:c>
      <x:c r="D33" s="15" t="str">
        <x:v>分别访铰链、木工、镶嵌与雕刻匠→拼工序图→重写作品标签</x:v>
      </x:c>
      <x:c r="E33" s="15" t="str">
        <x:v>一道门在纸上拆成七种手艺，最后又回到街口阳光里</x:v>
      </x:c>
      <x:c r="F33" s="15" t="str">
        <x:v>跨工坊署名订单、C013展会素材</x:v>
      </x:c>
    </x:row>
    <x:row r="34" ht="31" customHeight="1">
      <x:c r="A34" s="13" t="str">
        <x:v>E029</x:v>
      </x:c>
      <x:c r="B34" s="13" t="str">
        <x:v>会倒走的船影</x:v>
      </x:c>
      <x:c r="C34" s="13" t="str">
        <x:v>海角守兵看见一艘船的影子逆着本人走</x:v>
      </x:c>
      <x:c r="D34" s="13" t="str">
        <x:v>比较观察高度→记录雾与光角→驶近验证真实航向</x:v>
      </x:c>
      <x:c r="E34" s="13" t="str">
        <x:v>一排帆影悬在橙紫海面，靠近后忽然还原成普通归船</x:v>
      </x:c>
      <x:c r="F34" s="13" t="str">
        <x:v>海上幻景事件、瞭望判断训练</x:v>
      </x:c>
    </x:row>
    <x:row r="35" ht="31" customHeight="1">
      <x:c r="A35" s="15" t="str">
        <x:v>E030</x:v>
      </x:c>
      <x:c r="B35" s="15" t="str">
        <x:v>黑海的漂流种袋</x:v>
      </x:c>
      <x:c r="C35" s="15" t="str">
        <x:v>一只种袋漂过很远，却仍能在岸边发芽</x:v>
      </x:c>
      <x:c r="D35" s="15" t="str">
        <x:v>辨织袋来源→查货单→记录种子萌发环境</x:v>
      </x:c>
      <x:c r="E35" s="15" t="str">
        <x:v>新芽把破布轻轻顶起，背景是空阔的黑海与一艘远去的船</x:v>
      </x:c>
      <x:c r="F35" s="15" t="str">
        <x:v>漂流生态跨区链、船上园圃线索</x:v>
      </x:c>
    </x:row>
    <x:row r="36" ht="31" customHeight="1">
      <x:c r="A36" s="13" t="str">
        <x:v>E031</x:v>
      </x:c>
      <x:c r="B36" s="13" t="str">
        <x:v>马德拉云雾桂林</x:v>
      </x:c>
      <x:c r="C36" s="13" t="str">
        <x:v>海员说山里的树会从云里接水</x:v>
      </x:c>
      <x:c r="D36" s="13" t="str">
        <x:v>沿林路记录湿度→观察叶面水滴→绘林冠剖面</x:v>
      </x:c>
      <x:c r="E36" s="13" t="str">
        <x:v>粗枝披着苔藓，云像白色帆布挂在绿色树冠间</x:v>
      </x:c>
      <x:c r="F36" s="13" t="str">
        <x:v>云雾林图鉴、淡水集露装具灵感</x:v>
      </x:c>
    </x:row>
    <x:row r="37" ht="31" customHeight="1">
      <x:c r="A37" s="15" t="str">
        <x:v>E032</x:v>
      </x:c>
      <x:c r="B37" s="15" t="str">
        <x:v>阿尔金湾的白翼潮汐</x:v>
      </x:c>
      <x:c r="C37" s="15" t="str">
        <x:v>沙洲显露时，鸟群像潮水般改换位置</x:v>
      </x:c>
      <x:c r="D37" s="15" t="str">
        <x:v>记录露滩范围→绘鸟群活动→与当地航道经验对照</x:v>
      </x:c>
      <x:c r="E37" s="15" t="str">
        <x:v>灰蓝海湾铺开细亮沙纹，白翼在水陆之间聚散</x:v>
      </x:c>
      <x:c r="F37" s="15" t="str">
        <x:v>潮滩生态页、阿尔金浅航道</x:v>
      </x:c>
    </x:row>
    <x:row r="38" ht="31" customHeight="1">
      <x:c r="A38" s="13" t="str">
        <x:v>E033</x:v>
      </x:c>
      <x:c r="B38" s="13" t="str">
        <x:v>里贝拉格兰德的河海街</x:v>
      </x:c>
      <x:c r="C38" s="13" t="str">
        <x:v>旧街一端向河谷，一端向大西洋</x:v>
      </x:c>
      <x:c r="D38" s="13" t="str">
        <x:v>沿街记录建筑→比对旧地块→听不同家庭讲用途变化</x:v>
      </x:c>
      <x:c r="E38" s="13" t="str">
        <x:v>石街穿过树荫，远洋桅杆在尽头与家门同框</x:v>
      </x:c>
      <x:c r="F38" s="13" t="str">
        <x:v>F08邮路序章、河海城市图册</x:v>
      </x:c>
    </x:row>
    <x:row r="39" ht="31" customHeight="1">
      <x:c r="A39" s="15" t="str">
        <x:v>E034</x:v>
      </x:c>
      <x:c r="B39" s="15" t="str">
        <x:v>穿过云洞的纬线</x:v>
      </x:c>
      <x:c r="C39" s="15" t="str">
        <x:v>岛顶短短一刻晴空，足够修正错了一夜的航向</x:v>
      </x:c>
      <x:c r="D39" s="15" t="str">
        <x:v>选定观测窗→记录太阳高度→与海边观测对照</x:v>
      </x:c>
      <x:c r="E39" s="15" t="str">
        <x:v>云突然开了一道金缝，铜仪边沿亮起，整片海像被重新摆正</x:v>
      </x:c>
      <x:c r="F39" s="15" t="str">
        <x:v>高低观测基线、亚速尔返航线索</x:v>
      </x:c>
    </x:row>
    <x:row r="40" ht="31" customHeight="1">
      <x:c r="A40" s="13" t="str">
        <x:v>E035</x:v>
      </x:c>
      <x:c r="B40" s="13" t="str">
        <x:v>埃尔米纳公秤的缺角</x:v>
      </x:c>
      <x:c r="C40" s="13" t="str">
        <x:v>同一枚缺角砝码在三本旧账上有三个重量</x:v>
      </x:c>
      <x:c r="D40" s="13" t="str">
        <x:v>比样品→核磨损→查旧单位并建立换算表</x:v>
      </x:c>
      <x:c r="E40" s="13" t="str">
        <x:v>金屑在黑布上闪动，真正值钱的是最后写清楚的一个数字</x:v>
      </x:c>
      <x:c r="F40" s="13" t="str">
        <x:v>C021公秤线、黄金品级订单</x:v>
      </x:c>
    </x:row>
    <x:row r="41" ht="31" customHeight="1">
      <x:c r="A41" s="15" t="str">
        <x:v>E036</x:v>
      </x:c>
      <x:c r="B41" s="15" t="str">
        <x:v>信风邮舟·蓝隼号</x:v>
      </x:c>
      <x:c r="C41" s="15" t="str">
        <x:v>旧信封邮戳停在同一天，收件人却分布七个港</x:v>
      </x:c>
      <x:c r="D41" s="15" t="str">
        <x:v>找漂来木牌→定沉船位置→分拣可辨认信件</x:v>
      </x:c>
      <x:c r="E41" s="15" t="str">
        <x:v>珊瑚与木肋之间，一只蓝色邮袋仍压在陶罐下面</x:v>
      </x:c>
      <x:c r="F41" s="15" t="str">
        <x:v>跨洋家书链、C022信使任务</x:v>
      </x:c>
    </x:row>
    <x:row r="42" ht="31" customHeight="1">
      <x:c r="A42" s="13" t="str">
        <x:v>E037</x:v>
      </x:c>
      <x:c r="B42" s="13" t="str">
        <x:v>盐月沙镜</x:v>
      </x:c>
      <x:c r="C42" s="13" t="str">
        <x:v>盐工说沙地也能借来海的颜色</x:v>
      </x:c>
      <x:c r="D42" s="13" t="str">
        <x:v>观察盐晶层→记录夕照角度→画盐池与海面分界</x:v>
      </x:c>
      <x:c r="E42" s="13" t="str">
        <x:v>粉金色薄水倒映天空，船影似乎漂在沙漠上</x:v>
      </x:c>
      <x:c r="F42" s="13" t="str">
        <x:v>盐晶品级、沙镜港口摄影式构图页</x:v>
      </x:c>
    </x:row>
    <x:row r="43" ht="31" customHeight="1">
      <x:c r="A43" s="15" t="str">
        <x:v>E038</x:v>
      </x:c>
      <x:c r="B43" s="15" t="str">
        <x:v>海岸鼓上的归航密码</x:v>
      </x:c>
      <x:c r="C43" s="15" t="str">
        <x:v>一段迎船鼓点会随来船方向改变</x:v>
      </x:c>
      <x:c r="D43" s="15" t="str">
        <x:v>请乐手讲节拍→对照河道位置→把双向含义记入乐谱</x:v>
      </x:c>
      <x:c r="E43" s="15" t="str">
        <x:v>日落码头上鼓声互答，船员第一次听懂了最后的归家句</x:v>
      </x:c>
      <x:c r="F43" s="15" t="str">
        <x:v>劳动号子谱、信号节拍参考</x:v>
      </x:c>
    </x:row>
    <x:row r="44" ht="31" customHeight="1">
      <x:c r="A44" s="13" t="str">
        <x:v>E039</x:v>
      </x:c>
      <x:c r="B44" s="13" t="str">
        <x:v>圣多美的两种黎明</x:v>
      </x:c>
      <x:c r="C44" s="13" t="str">
        <x:v>园圃里有些花在别人醒来前已经谢了</x:v>
      </x:c>
      <x:c r="D44" s="13" t="str">
        <x:v>分别记录晨昏开放→观察访花者→绘时间花历</x:v>
      </x:c>
      <x:c r="E44" s="13" t="str">
        <x:v>热带花园在同一天展开两套颜色，远处船铃替花报时</x:v>
      </x:c>
      <x:c r="F44" s="13" t="str">
        <x:v>日夜植物历、C063生态链前置</x:v>
      </x:c>
    </x:row>
    <x:row r="45" ht="31" customHeight="1">
      <x:c r="A45" s="15" t="str">
        <x:v>E040</x:v>
      </x:c>
      <x:c r="B45" s="15" t="str">
        <x:v>不肯沉没的第八岛</x:v>
      </x:c>
      <x:c r="C45" s="15" t="str">
        <x:v>每个酒馆都把看见的岛画在不同方向</x:v>
      </x:c>
      <x:c r="D45" s="15" t="str">
        <x:v>收集叙述时刻→对照云层与航向→找到共同目击海区</x:v>
      </x:c>
      <x:c r="E45" s="15" t="str">
        <x:v>暮色中巨大岛影升起，船驶近只剩云，海图边缘保留一笔问号</x:v>
      </x:c>
      <x:c r="F45" s="15" t="str">
        <x:v>远洋幻岛传说链、云岛船舱画</x:v>
      </x:c>
    </x:row>
    <x:row r="46" ht="31" customHeight="1">
      <x:c r="A46" s="13" t="str">
        <x:v>E041</x:v>
      </x:c>
      <x:c r="B46" s="13" t="str">
        <x:v>基尔瓦的珊瑚庭</x:v>
      </x:c>
      <x:c r="C46" s="13" t="str">
        <x:v>一片瓷、一段珊瑚墙与一枚旧钱，来自不同的海</x:v>
      </x:c>
      <x:c r="D46" s="13" t="str">
        <x:v>记录建筑材料→比对海外器物图录→由本地学馆共同整理贸易线</x:v>
      </x:c>
      <x:c r="E46" s="13" t="str">
        <x:v>珊瑚石墙在浅金海光里发亮，三种器物的来路在纸上相遇</x:v>
      </x:c>
      <x:c r="F46" s="13" t="str">
        <x:v>C025个人线、F09学馆、古季风贸易调查</x:v>
      </x:c>
    </x:row>
    <x:row r="47" ht="31" customHeight="1">
      <x:c r="A47" s="15" t="str">
        <x:v>E042</x:v>
      </x:c>
      <x:c r="B47" s="15" t="str">
        <x:v>大津巴布韦石墙的海路</x:v>
      </x:c>
      <x:c r="C47" s="15" t="str">
        <x:v>海边学馆说内陆石城也能讲出远海故事</x:v>
      </x:c>
      <x:c r="D47" s="15" t="str">
        <x:v>从港组织陆行→记录石工与道路→对照工艺材料来源</x:v>
      </x:c>
      <x:c r="E47" s="15" t="str">
        <x:v>高耸曲墙像从山坡长出，远海不在眼前却在每段交换记录里</x:v>
      </x:c>
      <x:c r="F47" s="15" t="str">
        <x:v>内陆驿路派遣、山海工艺展、F09学术声望</x:v>
      </x:c>
    </x:row>
    <x:row r="48" ht="31" customHeight="1">
      <x:c r="A48" s="13" t="str">
        <x:v>E043</x:v>
      </x:c>
      <x:c r="B48" s="13" t="str">
        <x:v>树影储水册</x:v>
      </x:c>
      <x:c r="C48" s="13" t="str">
        <x:v>村边高大的树在最干的日子仍投下浓荫</x:v>
      </x:c>
      <x:c r="D48" s="13" t="str">
        <x:v>观察树干与叶期→记录季节故事→对比幼苗环境</x:v>
      </x:c>
      <x:c r="E48" s="13" t="str">
        <x:v>巨大树影盖住半个画面，人物坐在根旁，小得像标在图上的句点</x:v>
      </x:c>
      <x:c r="F48" s="13" t="str">
        <x:v>C029植物图册、旱季园圃合作</x:v>
      </x:c>
    </x:row>
    <x:row r="49" ht="31" customHeight="1">
      <x:c r="A49" s="15" t="str">
        <x:v>E044</x:v>
      </x:c>
      <x:c r="B49" s="15" t="str">
        <x:v>南岬第一次看见的星</x:v>
      </x:c>
      <x:c r="C49" s="15" t="str">
        <x:v>熟悉的北天标记离开地平线，谁也不能照旧找路</x:v>
      </x:c>
      <x:c r="D49" s="15" t="str">
        <x:v>测地平高度→记录南天星群→请本地领航者解释方法</x:v>
      </x:c>
      <x:c r="E49" s="15" t="str">
        <x:v>海岬在黑蓝天幕下沉默，新的星群像为地图续上另一页</x:v>
      </x:c>
      <x:c r="F49" s="15" t="str">
        <x:v>跨赤道天文页、南天导航入门</x:v>
      </x:c>
    </x:row>
    <x:row r="50" ht="31" customHeight="1">
      <x:c r="A50" s="13" t="str">
        <x:v>E045</x:v>
      </x:c>
      <x:c r="B50" s="13" t="str">
        <x:v>一千针的船</x:v>
      </x:c>
      <x:c r="C50" s="13" t="str">
        <x:v>修船师说最重要的不是缝死，而是让船能一起弯曲</x:v>
      </x:c>
      <x:c r="D50" s="13" t="str">
        <x:v>观察索结→记录木板活动→协作修复小舟并试航</x:v>
      </x:c>
      <x:c r="E50" s="13" t="str">
        <x:v>退潮沙滩上，一条细绳把数十块木板连成轻柔的弧</x:v>
      </x:c>
      <x:c r="F50" s="13" t="str">
        <x:v>C028柔骨修船术、缝合接合技术</x:v>
      </x:c>
    </x:row>
    <x:row r="51" ht="31" customHeight="1">
      <x:c r="A51" s="15" t="str">
        <x:v>E046</x:v>
      </x:c>
      <x:c r="B51" s="15" t="str">
        <x:v>陶碗铺成的沉船路</x:v>
      </x:c>
      <x:c r="C51" s="15" t="str">
        <x:v>潮后浅海有一串零散陶片，方向正好逆流</x:v>
      </x:c>
      <x:c r="D51" s="15" t="str">
        <x:v>标出散落位置→判断漂移过程→查明原船出航港</x:v>
      </x:c>
      <x:c r="E51" s="15" t="str">
        <x:v>浅绿海底躺着一列碎碗，仿佛某人还在摆一桌漫长的晚餐</x:v>
      </x:c>
      <x:c r="F51" s="15" t="str">
        <x:v>跨海瓷器考古链、C025/C045共同展</x:v>
      </x:c>
    </x:row>
    <x:row r="52" ht="31" customHeight="1">
      <x:c r="A52" s="13" t="str">
        <x:v>E047</x:v>
      </x:c>
      <x:c r="B52" s="13" t="str">
        <x:v>海上的蓝色花期</x:v>
      </x:c>
      <x:c r="C52" s="13" t="str">
        <x:v>渔民说桨划进黑水，会开出一串蓝花</x:v>
      </x:c>
      <x:c r="D52" s="13" t="str">
        <x:v>夜间低速观察→对照静水与扰动→绘记录而不推定固定成因</x:v>
      </x:c>
      <x:c r="E52" s="13" t="str">
        <x:v>每次划桨都留下短暂星光，舰船像从银河另一面驶过</x:v>
      </x:c>
      <x:c r="F52" s="13" t="str">
        <x:v>生物发光观察页、夜航甲板灯景</x:v>
      </x:c>
    </x:row>
    <x:row r="53" ht="31" customHeight="1">
      <x:c r="A53" s="15" t="str">
        <x:v>E048</x:v>
      </x:c>
      <x:c r="B53" s="15" t="str">
        <x:v>蒙巴萨木门的六种海</x:v>
      </x:c>
      <x:c r="C53" s="15" t="str">
        <x:v>一扇门的材料与纹样让六名工匠说起六段旅程</x:v>
      </x:c>
      <x:c r="D53" s="15" t="str">
        <x:v>听木匠讲材料→记录雕刻步骤→与跨港图录比较</x:v>
      </x:c>
      <x:c r="E53" s="15" t="str">
        <x:v>深色木门上铜钉像星，六种来路汇成每天被推开的同一扇门</x:v>
      </x:c>
      <x:c r="F53" s="15" t="str">
        <x:v>雕花船舱门、木工工艺套组</x:v>
      </x:c>
    </x:row>
    <x:row r="54" ht="31" customHeight="1">
      <x:c r="A54" s="13" t="str">
        <x:v>E049</x:v>
      </x:c>
      <x:c r="B54" s="13" t="str">
        <x:v>岬角没有主人的灯</x:v>
      </x:c>
      <x:c r="C54" s="13" t="str">
        <x:v>没有灯塔的海崖，在坏天气总有人看见灯</x:v>
      </x:c>
      <x:c r="D54" s="13" t="str">
        <x:v>核对目击方向→登岸查旧守望棚→在海上重现不同光源</x:v>
      </x:c>
      <x:c r="E54" s="13" t="str">
        <x:v>一道暖光在巨浪后出现，来源终于清楚，却仍像有人在等</x:v>
      </x:c>
      <x:c r="F54" s="13" t="str">
        <x:v>C030灯塔线、岬灯救援旗外观</x:v>
      </x:c>
    </x:row>
    <x:row r="55" ht="31" customHeight="1">
      <x:c r="A55" s="15" t="str">
        <x:v>E050</x:v>
      </x:c>
      <x:c r="B55" s="15" t="str">
        <x:v>索法拉的潮沙地图</x:v>
      </x:c>
      <x:c r="C55" s="15" t="str">
        <x:v>昨日能过船的浅道，今天只剩一条明亮水线</x:v>
      </x:c>
      <x:c r="D55" s="15" t="str">
        <x:v>测河口三时段→对比沙洲边缘→把可用窗口交回引航站</x:v>
      </x:c>
      <x:c r="E55" s="15" t="str">
        <x:v>潮水在金色沙面写字，地图跟着每条细水线改变</x:v>
      </x:c>
      <x:c r="F55" s="15" t="str">
        <x:v>季节河口图、近岸运输新航段</x:v>
      </x:c>
    </x:row>
    <x:row r="56" ht="31" customHeight="1">
      <x:c r="A56" s="13" t="str">
        <x:v>E051</x:v>
      </x:c>
      <x:c r="B56" s="13" t="str">
        <x:v>索科特拉的伞形树海</x:v>
      </x:c>
      <x:c r="C56" s="13" t="str">
        <x:v>岛上的树冠像翻过来的伞，港口的画没人画得一样</x:v>
      </x:c>
      <x:c r="D56" s="13" t="str">
        <x:v>沿高地观察→绘不同生境→访当地园圃记录用材故事</x:v>
      </x:c>
      <x:c r="E56" s="13" t="str">
        <x:v>伞形树冠在赭色山坡层层撑开，远海亮得像一整块蓝玻璃</x:v>
      </x:c>
      <x:c r="F56" s="13" t="str">
        <x:v>岛屿特有生态图册、园圃观察任务</x:v>
      </x:c>
    </x:row>
    <x:row r="57" ht="31" customHeight="1">
      <x:c r="A57" s="15" t="str">
        <x:v>E052</x:v>
      </x:c>
      <x:c r="B57" s="15" t="str">
        <x:v>佩特拉的石中水脉</x:v>
      </x:c>
      <x:c r="C57" s="15" t="str">
        <x:v>沙海商队说巨石里的城先学会留住雨水</x:v>
      </x:c>
      <x:c r="D57" s="15" t="str">
        <x:v>从港赴内陆→记录水道与岩壁建筑→临摹水路关系</x:v>
      </x:c>
      <x:c r="E57" s="15" t="str">
        <x:v>狭谷尽头露出玫瑰色石面，细水槽把一座城的生命画在墙边</x:v>
      </x:c>
      <x:c r="F57" s="15" t="str">
        <x:v>岩槽集水技术灵感、红海驿路任务</x:v>
      </x:c>
    </x:row>
    <x:row r="58" ht="31" customHeight="1">
      <x:c r="A58" s="13" t="str">
        <x:v>E053</x:v>
      </x:c>
      <x:c r="B58" s="13" t="str">
        <x:v>珍珠从海床到掌心</x:v>
      </x:c>
      <x:c r="C58" s="13" t="str">
        <x:v>商人讲价格，潜水者讲潮时，家人讲等候</x:v>
      </x:c>
      <x:c r="D58" s="13" t="str">
        <x:v>记录采珠工具→听完整工作分工→比较成色与交易单位</x:v>
      </x:c>
      <x:c r="E58" s="13" t="str">
        <x:v>掌心的一颗珠映出舟、海与岸上等候的人，镜头最后停在共同署名的记录页</x:v>
      </x:c>
      <x:c r="F58" s="13" t="str">
        <x:v>珍珠品级图、F12汇兑故事、传统工艺订单</x:v>
      </x:c>
    </x:row>
    <x:row r="59" ht="31" customHeight="1">
      <x:c r="A59" s="15" t="str">
        <x:v>E054</x:v>
      </x:c>
      <x:c r="B59" s="15" t="str">
        <x:v>月砂不需要月亮</x:v>
      </x:c>
      <x:c r="C59" s="15" t="str">
        <x:v>学徒说月亮不在时，老师的路反而最清楚</x:v>
      </x:c>
      <x:c r="D59" s="15" t="str">
        <x:v>记录恒星升落→以岸标复测→在离岸航段验证</x:v>
      </x:c>
      <x:c r="E59" s="15" t="str">
        <x:v>黑色海面只有几道长涌，细亮星线从天边一直落到船首</x:v>
      </x:c>
      <x:c r="F59" s="15" t="str">
        <x:v>C033夜航表、F11星路公开课</x:v>
      </x:c>
    </x:row>
    <x:row r="60" ht="31" customHeight="1">
      <x:c r="A60" s="13" t="str">
        <x:v>E055</x:v>
      </x:c>
      <x:c r="B60" s="13" t="str">
        <x:v>折起来的半片天空</x:v>
      </x:c>
      <x:c r="C60" s="13" t="str">
        <x:v>一名工匠把庞大观测仪缩成能放进腰包的东西</x:v>
      </x:c>
      <x:c r="D60" s="13" t="str">
        <x:v>比较测角步骤→制作折叠试件→在摇晃船上记误差</x:v>
      </x:c>
      <x:c r="E60" s="13" t="str">
        <x:v>半圆铜片展开，细绳垂向海面，整个天空暂时装进口袋</x:v>
      </x:c>
      <x:c r="F60" s="13" t="str">
        <x:v>折叠测角具、C035精工合作</x:v>
      </x:c>
    </x:row>
    <x:row r="61" ht="31" customHeight="1">
      <x:c r="A61" s="15" t="str">
        <x:v>E056</x:v>
      </x:c>
      <x:c r="B61" s="15" t="str">
        <x:v>红印船的空白货单</x:v>
      </x:c>
      <x:c r="C61" s="15" t="str">
        <x:v>一艘货船留下的账本只有工资，没有货物</x:v>
      </x:c>
      <x:c r="D61" s="15" t="str">
        <x:v>定位浅沉船→找船主签印→把工资名单带给驿商会</x:v>
      </x:c>
      <x:c r="E61" s="15" t="str">
        <x:v>船舱里陶罐依旧整齐，最干燥的一角藏着准备寄回家的薄信封</x:v>
      </x:c>
      <x:c r="F61" s="15" t="str">
        <x:v>C036工资汇兑线、F12海员档案</x:v>
      </x:c>
    </x:row>
    <x:row r="62" ht="31" customHeight="1">
      <x:c r="A62" s="13" t="str">
        <x:v>E057</x:v>
      </x:c>
      <x:c r="B62" s="13" t="str">
        <x:v>六重香木门</x:v>
      </x:c>
      <x:c r="C62" s="13" t="str">
        <x:v>调香师让你闻六只空盒，里面已经没有香料</x:v>
      </x:c>
      <x:c r="D62" s="13" t="str">
        <x:v>记录木材留香→比较烘焙与封存→为远航设计分隔香匣</x:v>
      </x:c>
      <x:c r="E62" s="13" t="str">
        <x:v>六只小盒依次打开，画面用花、烟、雨和暖木的色块表现记忆</x:v>
      </x:c>
      <x:c r="F62" s="13" t="str">
        <x:v>香料分隔货匣、香木工艺套组、C034风味页</x:v>
      </x:c>
    </x:row>
    <x:row r="63" ht="31" customHeight="1">
      <x:c r="A63" s="15" t="str">
        <x:v>E058</x:v>
      </x:c>
      <x:c r="B63" s="15" t="str">
        <x:v>红海的青玻璃峡</x:v>
      </x:c>
      <x:c r="C63" s="15" t="str">
        <x:v>老引航人用不同蓝色为水下地形起名</x:v>
      </x:c>
      <x:c r="D63" s="15" t="str">
        <x:v>沿可航边缘观察→比较水色与测深→绘颜色航图</x:v>
      </x:c>
      <x:c r="E63" s="15" t="str">
        <x:v>船沿青绿与深蓝的断面漂过，水下地形像透明山脉</x:v>
      </x:c>
      <x:c r="F63" s="15" t="str">
        <x:v>水色测深训练、红海近岸航图</x:v>
      </x:c>
    </x:row>
    <x:row r="64" ht="31" customHeight="1">
      <x:c r="A64" s="13" t="str">
        <x:v>E059</x:v>
      </x:c>
      <x:c r="B64" s="13" t="str">
        <x:v>沙漠深井里的帆</x:v>
      </x:c>
      <x:c r="C64" s="13" t="str">
        <x:v>沙漠旅人说井底倒映着一艘不属于这里的船</x:v>
      </x:c>
      <x:c r="D64" s="13" t="str">
        <x:v>对照传说版本→观察井口构件→找到海员改造的提水装置</x:v>
      </x:c>
      <x:c r="E64" s="13" t="str">
        <x:v>月光下木梁和绳索投进井里，恰好拼成一艘完整帆船</x:v>
      </x:c>
      <x:c r="F64" s="13" t="str">
        <x:v>帆索提水装具、C019口述故事页</x:v>
      </x:c>
    </x:row>
    <x:row r="65" ht="31" customHeight="1">
      <x:c r="A65" s="15" t="str">
        <x:v>E060</x:v>
      </x:c>
      <x:c r="B65" s="15" t="str">
        <x:v>两道海风的握手</x:v>
      </x:c>
      <x:c r="C65" s="15" t="str">
        <x:v>同一天，相隔不远的两船记下相反风向</x:v>
      </x:c>
      <x:c r="D65" s="15" t="str">
        <x:v>布置两组观察→比较时段与地形→绘过海峡路线建议</x:v>
      </x:c>
      <x:c r="E65" s="15" t="str">
        <x:v>海峡两侧风旗朝不同方向展开，船在交界处轻轻转帆</x:v>
      </x:c>
      <x:c r="F65" s="15" t="str">
        <x:v>红海—印度洋过渡航图、C031望站任务</x:v>
      </x:c>
    </x:row>
    <x:row r="66" ht="31" customHeight="1">
      <x:c r="A66" s="13" t="str">
        <x:v>E061</x:v>
      </x:c>
      <x:c r="B66" s="13" t="str">
        <x:v>狮岩·悬空莲池</x:v>
      </x:c>
      <x:c r="C66" s="13" t="str">
        <x:v>一幅旧画把水池画在云上，船员以为画家夸大了高度</x:v>
      </x:c>
      <x:c r="D66" s="13" t="str">
        <x:v>在山脚按画中山脊定位→沿石阶描出城址层次→日落时完成峰顶水景长卷</x:v>
      </x:c>
      <x:c r="E66" s="13" t="str">
        <x:v>赤金岩壁直立于翠绿林海，山顶水面把一小片晚霞留在脚边</x:v>
      </x:c>
      <x:c r="F66" s="13" t="str">
        <x:v>C039帕德玛故事节点；狮岩图录订单；船长舱山海屏风</x:v>
      </x:c>
    </x:row>
    <x:row r="67" ht="31" customHeight="1">
      <x:c r="A67" s="15" t="str">
        <x:v>E062</x:v>
      </x:c>
      <x:c r="B67" s="15" t="str">
        <x:v>黑胡椒之环</x:v>
      </x:c>
      <x:c r="C67" s="15" t="str">
        <x:v>商人说同一座山的胡椒，迎雨坡和背雨坡有两种气味</x:v>
      </x:c>
      <x:c r="D67" s="15" t="str">
        <x:v>沿雨坡观察攀援藤与支架→记录三处果穗成熟差别→把风味笔记交给晒场配成比较礼包</x:v>
      </x:c>
      <x:c r="E67" s="15" t="str">
        <x:v>碧绿藤叶拱成隧道，黑亮果穗和雨珠在阳光缝隙里一起发光</x:v>
      </x:c>
      <x:c r="F67" s="15" t="str">
        <x:v>SP062黑日胡椒精选订单；C040远洋菜单添页</x:v>
      </x:c>
    </x:row>
    <x:row r="68" ht="31" customHeight="1">
      <x:c r="A68" s="13" t="str">
        <x:v>E063</x:v>
      </x:c>
      <x:c r="B68" s="13" t="str">
        <x:v>蓝星藏在河砂里</x:v>
      </x:c>
      <x:c r="C68" s="13" t="str">
        <x:v>一枚未经切磨的灰石在灯下出现细小星线，匠人要你先找水从哪里来</x:v>
      </x:c>
      <x:c r="D68" s="13" t="str">
        <x:v>追随河流记录不同砂层→与匠人比较石料透明度→用多角度光照绘出天然星光效果</x:v>
      </x:c>
      <x:c r="E68" s="13" t="str">
        <x:v>浅河铺着蜂蜜色砂砾，匠人掌中一粒蓝光像把夜空藏进水里</x:v>
      </x:c>
      <x:c r="F68" s="13" t="str">
        <x:v>科伦坡宝石原石精选货批；珠宝鉴赏对话</x:v>
      </x:c>
    </x:row>
    <x:row r="69" ht="31" customHeight="1">
      <x:c r="A69" s="15" t="str">
        <x:v>E064</x:v>
      </x:c>
      <x:c r="B69" s="15" t="str">
        <x:v>渔网向月亮倾斜</x:v>
      </x:c>
      <x:c r="C69" s="15" t="str">
        <x:v>同一副巨大渔网，清晨和夜晚的平衡石位置不一样</x:v>
      </x:c>
      <x:c r="D69" s="15" t="str">
        <x:v>在两次潮位记下平衡臂角度→乘小艇比较网口和主航道流速→绘成一张渔人与商船共用的潮时图</x:v>
      </x:c>
      <x:c r="E69" s="15" t="str">
        <x:v>黑色悬臂渔网倒映金绿潟湖，月光沿绳索爬到岸边木轮上</x:v>
      </x:c>
      <x:c r="F69" s="15" t="str">
        <x:v>柯钦潮窗航段；C042引航教学事件；潟湖渔业委托</x:v>
      </x:c>
    </x:row>
    <x:row r="70" ht="31" customHeight="1">
      <x:c r="A70" s="13" t="str">
        <x:v>E065</x:v>
      </x:c>
      <x:c r="B70" s="13" t="str">
        <x:v>会呼吸的印花</x:v>
      </x:c>
      <x:c r="C70" s="13" t="str">
        <x:v>漂洋过海的花纹缺了一层蓝，远方买家却更喜欢它的留白</x:v>
      </x:c>
      <x:c r="D70" s="13" t="str">
        <x:v>比对手绘与木印两种边缘→亲手安排染层和留白顺序→把三种布样带到码头让买家选择</x:v>
      </x:c>
      <x:c r="E70" s="13" t="str">
        <x:v>白棉长幅在院中起伏，靛蓝海鸟随着一阵风从纸样飞到布面</x:v>
      </x:c>
      <x:c r="F70" s="13" t="str">
        <x:v>SP060千雨银星印花棉合作订单；C037商路对话</x:v>
      </x:c>
    </x:row>
    <x:row r="71" ht="31" customHeight="1">
      <x:c r="A71" s="15" t="str">
        <x:v>E066</x:v>
      </x:c>
      <x:c r="B71" s="15" t="str">
        <x:v>沉默的双桅钟</x:v>
      </x:c>
      <x:c r="C71" s="15" t="str">
        <x:v>两份船册记着同名船，却把钟声写成完全不同的节拍</x:v>
      </x:c>
      <x:c r="D71" s="15" t="str">
        <x:v>在退潮岩湾寻找钟架位置→比对船体接缝与两份船册→让两位老船员共同补齐最后一班值夜记录</x:v>
      </x:c>
      <x:c r="E71" s="15" t="str">
        <x:v>海水从倾斜双桅间透出青光，空钟架晃动时只有细银鱼穿过</x:v>
      </x:c>
      <x:c r="F71" s="15" t="str">
        <x:v>双桅钟船室饰件；C038炮声节拍支线；船难家书后续</x:v>
      </x:c>
    </x:row>
    <x:row r="72" ht="31" customHeight="1">
      <x:c r="A72" s="13" t="str">
        <x:v>E067</x:v>
      </x:c>
      <x:c r="B72" s="13" t="str">
        <x:v>向水里迁徙的森林</x:v>
      </x:c>
      <x:c r="C72" s="13" t="str">
        <x:v>向导把树根画在水面上，说这张图每天要换两次</x:v>
      </x:c>
      <x:c r="D72" s="13" t="str">
        <x:v>低潮沿根系辨认陆缘→高潮乘小艇重访相同标记→把两幅画叠成潮汐森林图册</x:v>
      </x:c>
      <x:c r="E72" s="13" t="str">
        <x:v>树根像无数细腿站进褐金潮水，翠绿树冠下水道忽然向四面打开</x:v>
      </x:c>
      <x:c r="F72" s="13" t="str">
        <x:v>潮汐林地探索视野；C042教学章；红树林合作图录</x:v>
      </x:c>
    </x:row>
    <x:row r="73" ht="31" customHeight="1">
      <x:c r="A73" s="15" t="str">
        <x:v>E068</x:v>
      </x:c>
      <x:c r="B73" s="15" t="str">
        <x:v>双子风向碑</x:v>
      </x:c>
      <x:c r="C73" s="15" t="str">
        <x:v>海边两块石碑始终背对背，传说它们是一对等风的兄妹</x:v>
      </x:c>
      <x:c r="D73" s="15" t="str">
        <x:v>听两种相反版本的歌谣→在两个航季记录帆旗飘向→为两碑绘出各自等待的归航船</x:v>
      </x:c>
      <x:c r="E73" s="15" t="str">
        <x:v>白色沙岸上两块旧石隔风相望，一面披夕阳，一面被海蓝阴影抱住</x:v>
      </x:c>
      <x:c r="F73" s="15" t="str">
        <x:v>C041织风个人事件；季风双面帆旗；科罗曼德尔候风短篇</x:v>
      </x:c>
    </x:row>
    <x:row r="74" ht="31" customHeight="1">
      <x:c r="A74" s="13" t="str">
        <x:v>E069</x:v>
      </x:c>
      <x:c r="B74" s="13" t="str">
        <x:v>缝在帆里的星</x:v>
      </x:c>
      <x:c r="C74" s="13" t="str">
        <x:v>一卷旧帆布没有航线，只有边缘反复缝上的白点</x:v>
      </x:c>
      <x:c r="D74" s="13" t="str">
        <x:v>在港外固定时刻观察三组星位→用旧帆针脚比对升落方向→把偏差写成可在摇船上读取的星位尺</x:v>
      </x:c>
      <x:c r="E74" s="13" t="str">
        <x:v>深蓝帆沿的白针脚与低空星群重叠，水手抬手就像触到天幕边缘</x:v>
      </x:c>
      <x:c r="F74" s="13" t="str">
        <x:v>群星航图·孟加拉页；C041帆缆交流；E120前置记录之一</x:v>
      </x:c>
    </x:row>
    <x:row r="75" ht="31" customHeight="1">
      <x:c r="A75" s="15" t="str">
        <x:v>E070</x:v>
      </x:c>
      <x:c r="B75" s="15" t="str">
        <x:v>不凋的航帆花园</x:v>
      </x:c>
      <x:c r="C75" s="15" t="str">
        <x:v>画师答应为远航者画一座永不谢的花园，却一直空着中心一块</x:v>
      </x:c>
      <x:c r="D75" s="15" t="str">
        <x:v>在市集找齐画师见过的四种香料花形→把海员故乡植物加入边饰→在一张长布上完成共同的归航花园</x:v>
      </x:c>
      <x:c r="E75" s="15" t="str">
        <x:v>朱红花枝与孔雀蓝帆影铺满白布，船员围坐四角看见各自的故乡</x:v>
      </x:c>
      <x:c r="F75" s="15" t="str">
        <x:v>SP066孔雀海图布花园款；C040远洋菜单庆功夜</x:v>
      </x:c>
    </x:row>
    <x:row r="76" ht="31" customHeight="1">
      <x:c r="A76" s="13" t="str">
        <x:v>E071</x:v>
      </x:c>
      <x:c r="B76" s="13" t="str">
        <x:v>星屑湾·夜光海</x:v>
      </x:c>
      <x:c r="C76" s="13" t="str">
        <x:v>渔人的桨没有点灯，却在黑水上划出一道道蓝火</x:v>
      </x:c>
      <x:c r="D76" s="13" t="str">
        <x:v>黄昏记录水色与潮流交界→夜里从三处岸湾观察桨迹→对照白天样水完成夜光海图页</x:v>
      </x:c>
      <x:c r="E76" s="13" t="str">
        <x:v>墨蓝水面被船桨划开星屑，白帆底缘像悄悄点起一盏冰蓝灯</x:v>
      </x:c>
      <x:c r="F76" s="13" t="str">
        <x:v>夜光海观察图谱；C044天气册添页；E120光海线索</x:v>
      </x:c>
    </x:row>
    <x:row r="77" ht="31" customHeight="1">
      <x:c r="A77" s="15" t="str">
        <x:v>E072</x:v>
      </x:c>
      <x:c r="B77" s="15" t="str">
        <x:v>三种文字的仓门</x:v>
      </x:c>
      <x:c r="C77" s="15" t="str">
        <x:v>旧仓的三种门牌都写着回家，却指向不同的水道</x:v>
      </x:c>
      <x:c r="D77" s="15" t="str">
        <x:v>沿街记录仓门、渡口与旧商路→请三家后人分别讲解门牌称呼→画出共用街巷与各自家乡的双层地图</x:v>
      </x:c>
      <x:c r="E77" s="15" t="str">
        <x:v>赤墙、木檐与花砖压在同一条窄街上，三张门牌一起映入温暖雨水</x:v>
      </x:c>
      <x:c r="F77" s="15" t="str">
        <x:v>C043码头会话书章节；马六甲商会引荐；跨文化仓储装饰</x:v>
      </x:c>
    </x:row>
    <x:row r="78" ht="31" customHeight="1">
      <x:c r="A78" s="13" t="str">
        <x:v>E073</x:v>
      </x:c>
      <x:c r="B78" s="13" t="str">
        <x:v>绯冠之岛</x:v>
      </x:c>
      <x:c r="C78" s="13" t="str">
        <x:v>一颗果实裂开后像戴着红冠，孩子问为何两层都能卖</x:v>
      </x:c>
      <x:c r="D78" s="13" t="str">
        <x:v>观察果肉、花衣和种子的关系→跟随工坊分别晾晒两种香料→给港口绘一张孩子也看得懂的分级图</x:v>
      </x:c>
      <x:c r="E78" s="13" t="str">
        <x:v>绿荫下黄色果壳轻轻张开，一层绯红网衣托着褐色种子闪出暖光</x:v>
      </x:c>
      <x:c r="F78" s="13" t="str">
        <x:v>SP077绯冠花衣精选供货；C046种植者故事；香料图鉴页</x:v>
      </x:c>
    </x:row>
    <x:row r="79" ht="31" customHeight="1">
      <x:c r="A79" s="15" t="str">
        <x:v>E074</x:v>
      </x:c>
      <x:c r="B79" s="15" t="str">
        <x:v>火山的影子越过大海</x:v>
      </x:c>
      <x:c r="C79" s="15" t="str">
        <x:v>老船长说火山每天先用影子碰到邻岛，才肯让船出发</x:v>
      </x:c>
      <x:c r="D79" s="15" t="str">
        <x:v>在三个海上位置画出山锥轮廓→日出时记录影边扫过的岛线→把影线与旧岛际路线合成辨岛图</x:v>
      </x:c>
      <x:c r="E79" s="15" t="str">
        <x:v>火山长影铺进靛蓝海面，山顶金边缓缓亮起，远处小岛像浮在梦里</x:v>
      </x:c>
      <x:c r="F79" s="15" t="str">
        <x:v>特尔纳特外海辨岛图；C048火山后航路节点</x:v>
      </x:c>
    </x:row>
    <x:row r="80" ht="31" customHeight="1">
      <x:c r="A80" s="13" t="str">
        <x:v>E075</x:v>
      </x:c>
      <x:c r="B80" s="13" t="str">
        <x:v>消失的水街</x:v>
      </x:c>
      <x:c r="C80" s="13" t="str">
        <x:v>水村旧地址写着第七条街，船却只找得到六条</x:v>
      </x:c>
      <x:c r="D80" s="13" t="str">
        <x:v>在低潮辨认旧木桩排列→沿潮沟找到沉下的运木驳船→用驳船货签拼回曾经的水街模型</x:v>
      </x:c>
      <x:c r="E80" s="13" t="str">
        <x:v>清水下旧木桩排成幽蓝街巷，孩子的小舟从沉睡的门口上方滑过</x:v>
      </x:c>
      <x:c r="F80" s="13" t="str">
        <x:v>水宫折屏工坊故事；水上城市陈列模型；C045工艺对话</x:v>
      </x:c>
    </x:row>
    <x:row r="81" ht="31" customHeight="1">
      <x:c r="A81" s="15" t="str">
        <x:v>E076</x:v>
      </x:c>
      <x:c r="B81" s="15" t="str">
        <x:v>用浪声认岛</x:v>
      </x:c>
      <x:c r="C81" s="15" t="str">
        <x:v>领航员蒙住眼睛后仍能说出岛在左前方，但要求你先学会安静</x:v>
      </x:c>
      <x:c r="D81" s="15" t="str">
        <x:v>在三处岛外分别聆听拍浪节奏→观察同一涌浪经过岬角后的方向→绘成触觉纹线与声音节拍对应的领航页</x:v>
      </x:c>
      <x:c r="E81" s="15" t="str">
        <x:v>白帆静静收在桅旁，深蓝波脊从两座黑岛之间层层推向船身</x:v>
      </x:c>
      <x:c r="F81" s="15" t="str">
        <x:v>岛影涌浪航段；C048与C070技艺交流；双体船操舵故事</x:v>
      </x:c>
    </x:row>
    <x:row r="82" ht="31" customHeight="1">
      <x:c r="A82" s="13" t="str">
        <x:v>E077</x:v>
      </x:c>
      <x:c r="B82" s="13" t="str">
        <x:v>没有点亮的第七盏灯</x:v>
      </x:c>
      <x:c r="C82" s="13" t="str">
        <x:v>六盏灯已经画好，最后一盏却要等一种从未见过的海色</x:v>
      </x:c>
      <x:c r="D82" s="13" t="str">
        <x:v>沿河记录灯笼映水后的综合色→把晴天与雨夜两张色稿交给灯匠→邀请不同故乡的海员为第七盏共同选色</x:v>
      </x:c>
      <x:c r="E82" s="13" t="str">
        <x:v>赭黄河屋间六盏灯映出长长光带，最后一盏亮起时像新开了一条航路</x:v>
      </x:c>
      <x:c r="F82" s="13" t="str">
        <x:v>SP079五色丝灯罩特别版；C045工艺远销支线；灯海船室</x:v>
      </x:c>
    </x:row>
    <x:row r="83" ht="31" customHeight="1">
      <x:c r="A83" s="15" t="str">
        <x:v>E078</x:v>
      </x:c>
      <x:c r="B83" s="15" t="str">
        <x:v>三河倒星</x:v>
      </x:c>
      <x:c r="C83" s="15" t="str">
        <x:v>同一颗星在三条河里出现三次，图上的北方因此被画成三个方向</x:v>
      </x:c>
      <x:c r="D83" s="15" t="str">
        <x:v>在三河交汇处选定岸上固定参照→轮流记录星影与水流造成的位移→将固定星位和流动倒影画成分层观测页</x:v>
      </x:c>
      <x:c r="E83" s="15" t="str">
        <x:v>金塔倒影被三股缓流拉开，夜空的星点像银线缝住整座河城</x:v>
      </x:c>
      <x:c r="F83" s="15" t="str">
        <x:v>群星航图·三河页；E120前置记录之一；王城观星会</x:v>
      </x:c>
    </x:row>
    <x:row r="84" ht="31" customHeight="1">
      <x:c r="A84" s="13" t="str">
        <x:v>E079</x:v>
      </x:c>
      <x:c r="B84" s="13" t="str">
        <x:v>银帆钟声</x:v>
      </x:c>
      <x:c r="C84" s="13" t="str">
        <x:v>一艘满载银货的船只留下空账本，护卫队却被指为贪盗</x:v>
      </x:c>
      <x:c r="D84" s="13" t="str">
        <x:v>从两处炮痕判断交战方位→潜查沉舱里真正装载的瓷箱→把钟铭与港内货册交给仍在等船的人</x:v>
      </x:c>
      <x:c r="E84" s="13" t="str">
        <x:v>蓝绿湾底的碎瓷映出银色月光，断裂大帆桁静静指向远处港灯</x:v>
      </x:c>
      <x:c r="F84" s="13" t="str">
        <x:v>C047护卫队证词；跨太平洋丝银线支线；银帆纪念钟</x:v>
      </x:c>
    </x:row>
    <x:row r="85" ht="31" customHeight="1">
      <x:c r="A85" s="15" t="str">
        <x:v>E080</x:v>
      </x:c>
      <x:c r="B85" s="15" t="str">
        <x:v>夜渡金鹿</x:v>
      </x:c>
      <x:c r="C85" s="15" t="str">
        <x:v>穆西河上偶尔出现一头踏水金鹿，只在失约之人返乡时现身</x:v>
      </x:c>
      <x:c r="D85" s="15" t="str">
        <x:v>沿水市收集三个互相矛盾的鹿影故事→夜航寻找金线布与水面光点的对应→为等候归船的织工演出属于她的新结局</x:v>
      </x:c>
      <x:c r="E85" s="15" t="str">
        <x:v>深褐河面浮着细碎金光，一匹布在桥上展开时仿佛真有金鹿踏水</x:v>
      </x:c>
      <x:c r="F85" s="15" t="str">
        <x:v>SP073穆西金河织锦故事款；C046商馆关系；水市夜戏</x:v>
      </x:c>
    </x:row>
    <x:row r="86" ht="31" customHeight="1">
      <x:c r="A86" s="13" t="str">
        <x:v>E081</x:v>
      </x:c>
      <x:c r="B86" s="13" t="str">
        <x:v>严岛·潮色门廊</x:v>
      </x:c>
      <x:c r="C86" s="13" t="str">
        <x:v>画册里的朱红建筑有时浮在水上，有时连着沙地</x:v>
      </x:c>
      <x:c r="D86" s="13" t="str">
        <x:v>低潮描出建筑与海床的关系→高潮重绘同一视角→把山、海和回廊的变化排成双页长卷</x:v>
      </x:c>
      <x:c r="E86" s="13" t="str">
        <x:v>朱红回廊倒映在青蓝潮水中，远山深绿压住白帆，整座建筑像在呼吸</x:v>
      </x:c>
      <x:c r="F86" s="13" t="str">
        <x:v>严岛山海图录；C052故乡夜谈；潮汐观察收藏</x:v>
      </x:c>
    </x:row>
    <x:row r="87" ht="31" customHeight="1">
      <x:c r="A87" s="15" t="str">
        <x:v>E082</x:v>
      </x:c>
      <x:c r="B87" s="15" t="str">
        <x:v>石桥下的万国潮</x:v>
      </x:c>
      <x:c r="C87" s="15" t="str">
        <x:v>商人留下许多方言称呼，石桥却把所有脚步都送向同一个港口</x:v>
      </x:c>
      <x:c r="D87" s="15" t="str">
        <x:v>沿桥记录陆路货流与潮线→比对窑口、石码头和商馆的连接→完成一张把腹地也画进海图的商路长卷</x:v>
      </x:c>
      <x:c r="E87" s="15" t="str">
        <x:v>灰石长桥穿过金褐潮滩，远处燕尾屋脊与千重帆影在暮色里相接</x:v>
      </x:c>
      <x:c r="F87" s="15" t="str">
        <x:v>C050商约范本资料；泉州腹地转运支线；SP082工坊引荐</x:v>
      </x:c>
    </x:row>
    <x:row r="88" ht="31" customHeight="1">
      <x:c r="A88" s="13" t="str">
        <x:v>E083</x:v>
      </x:c>
      <x:c r="B88" s="13" t="str">
        <x:v>浮在水上的漆舟</x:v>
      </x:c>
      <x:c r="C88" s="13" t="str">
        <x:v>一只漆杯比木杯轻，匠人让你先看它尚未成形时的样子</x:v>
      </x:c>
      <x:c r="D88" s="13" t="str">
        <x:v>观察胎体与漆层的分工→比较三种薄壁器在水中的浮姿→与船匠共同做一件可随航陈列的轻型器物</x:v>
      </x:c>
      <x:c r="E88" s="13" t="str">
        <x:v>朱红与灰绿漆面映着榕叶影，一只轻杯漂在木盆里像一艘未出海的船</x:v>
      </x:c>
      <x:c r="F88" s="13" t="str">
        <x:v>SP083榕影漆杯工坊订单；轻型船室器具；C051工艺交流</x:v>
      </x:c>
    </x:row>
    <x:row r="89" ht="31" customHeight="1">
      <x:c r="A89" s="15" t="str">
        <x:v>E084</x:v>
      </x:c>
      <x:c r="B89" s="15" t="str">
        <x:v>星落镇海</x:v>
      </x:c>
      <x:c r="C89" s="15" t="str">
        <x:v>少年测绘师说船会摇，星不会；但倒影为什么摇得更厉害</x:v>
      </x:c>
      <x:c r="D89" s="15" t="str">
        <x:v>靠岸用水盘记录稳定星位→在轻浪船上比较悬挂架的不同姿态→把星位观测与摇摆节拍合成简易航时页</x:v>
      </x:c>
      <x:c r="E89" s="15" t="str">
        <x:v>铜环、水盘和低空星点叠成三层圆，蓝黑江口忽然显得无比辽阔</x:v>
      </x:c>
      <x:c r="F89" s="15" t="str">
        <x:v>C051简易航时器章节；群星航图·镇海页；E120前置记录之一</x:v>
      </x:c>
    </x:row>
    <x:row r="90" ht="31" customHeight="1">
      <x:c r="A90" s="13" t="str">
        <x:v>E085</x:v>
      </x:c>
      <x:c r="B90" s="13" t="str">
        <x:v>会唱歌的玄武岩</x:v>
      </x:c>
      <x:c r="C90" s="13" t="str">
        <x:v>不同洞段的滴水声像不同的乐器，向导把它们记成一首长歌</x:v>
      </x:c>
      <x:c r="D90" s="13" t="str">
        <x:v>沿熔岩通道绘出断面变化→记录滴水与回声的对应→把洞穴长卷和声音节拍交给船上乐师</x:v>
      </x:c>
      <x:c r="E90" s="13" t="str">
        <x:v>黑色熔岩壁泛着冷银水光，灯火照见石纹像凝固在半空中的浪</x:v>
      </x:c>
      <x:c r="F90" s="13" t="str">
        <x:v>济州熔岩图录；C054声光信号灵感；玄武石船室饰样</x:v>
      </x:c>
    </x:row>
    <x:row r="91" ht="31" customHeight="1">
      <x:c r="A91" s="15" t="str">
        <x:v>E086</x:v>
      </x:c>
      <x:c r="B91" s="15" t="str">
        <x:v>冷海昆布林</x:v>
      </x:c>
      <x:c r="C91" s="15" t="str">
        <x:v>一片宽叶能告诉渔人哪里藏着鱼，船员却只把它看作口粮</x:v>
      </x:c>
      <x:c r="D91" s="15" t="str">
        <x:v>乘小艇观察浅水藻林的层次→比较叶缘附着生物与鱼群分布→与晒场合作完成从海底到餐桌的图页</x:v>
      </x:c>
      <x:c r="E91" s="15" t="str">
        <x:v>透明冷海里长叶缓缓摆动，银色小鱼穿过绿光，岸边雪白海鸥忽然掠过</x:v>
      </x:c>
      <x:c r="F91" s="15" t="str">
        <x:v>SP094北灯昆布精选订单；北境远洋菜单；生态观察集</x:v>
      </x:c>
    </x:row>
    <x:row r="92" ht="31" customHeight="1">
      <x:c r="A92" s="13" t="str">
        <x:v>E087</x:v>
      </x:c>
      <x:c r="B92" s="13" t="str">
        <x:v>第十三张空帆</x:v>
      </x:c>
      <x:c r="C92" s="13" t="str">
        <x:v>十二张帆画满归航船，第十三张一直留白，故事说那是还没遇见的朋友</x:v>
      </x:c>
      <x:c r="D92" s="13" t="str">
        <x:v>逐张聆听十二艘船留下的口述→向海员征集尚未画过的故乡海色→在归港节把空帆交给孩子共同补完</x:v>
      </x:c>
      <x:c r="E92" s="13" t="str">
        <x:v>朱红屋顶下十二面彩帆迎风，最后一面白帆升起时全港灯火向它靠近</x:v>
      </x:c>
      <x:c r="F92" s="13" t="str">
        <x:v>C049海上停战约人物对话；十三帆纪念旗；那霸归港节</x:v>
      </x:c>
    </x:row>
    <x:row r="93" ht="31" customHeight="1">
      <x:c r="A93" s="15" t="str">
        <x:v>E088</x:v>
      </x:c>
      <x:c r="B93" s="15" t="str">
        <x:v>沉入湾底的玻璃月</x:v>
      </x:c>
      <x:c r="C93" s="15" t="str">
        <x:v>夜渔船偶尔看见湾底一轮淡月，却从未找到照它的灯</x:v>
      </x:c>
      <x:c r="D93" s="15" t="str">
        <x:v>以港灯反光排除水面光源→沿旧压载石找到沉船货舱→将破裂玻璃球拼成一只新的航海陈列灯</x:v>
      </x:c>
      <x:c r="E93" s="15" t="str">
        <x:v>海底碎玻璃围成淡青月环，鱼影穿过空舱时像云从月亮上慢慢移走</x:v>
      </x:c>
      <x:c r="F93" s="15" t="str">
        <x:v>SP089虹砂玻璃盏引荐；玻璃月船室灯；C051航时器支线</x:v>
      </x:c>
    </x:row>
    <x:row r="94" ht="31" customHeight="1">
      <x:c r="A94" s="13" t="str">
        <x:v>E089</x:v>
      </x:c>
      <x:c r="B94" s="13" t="str">
        <x:v>两种潮汐的缝</x:v>
      </x:c>
      <x:c r="C94" s="13" t="str">
        <x:v>同一条缆绳的两端向不同方向偏，老舵手说海在这里换口音</x:v>
      </x:c>
      <x:c r="D94" s="13" t="str">
        <x:v>沿岛间水道记下三处流向→在潮转时重访同一测点→设计颜色和绳结并用的换舵提示</x:v>
      </x:c>
      <x:c r="E94" s="13" t="str">
        <x:v>玄武岩岛影之间两股水色相接，细白泡沫沿一条看不见的缝向前流</x:v>
      </x:c>
      <x:c r="F94" s="13" t="str">
        <x:v>C054双通道旗语事件；安平—马公潮窗路线；航海技术页</x:v>
      </x:c>
    </x:row>
    <x:row r="95" ht="31" customHeight="1">
      <x:c r="A95" s="15" t="str">
        <x:v>E090</x:v>
      </x:c>
      <x:c r="B95" s="15" t="str">
        <x:v>三色云锦夜</x:v>
      </x:c>
      <x:c r="C95" s="15" t="str">
        <x:v>同一条金线在白日、烛下与月下露出三种颜色，织匠要画一片会变色的海</x:v>
      </x:c>
      <x:c r="D95" s="15" t="str">
        <x:v>比较三种光线下的织样→让海员各选一段海上记忆→把云、帆和星织成一张共同完成的锦卷</x:v>
      </x:c>
      <x:c r="E95" s="15" t="str">
        <x:v>墨蓝织机上金银细丝像银河流动，船员说出的海景一寸寸变成光</x:v>
      </x:c>
      <x:c r="F95" s="15" t="str">
        <x:v>SP085金陵星河云锦共同署名款；旗舰纪念挂锦</x:v>
      </x:c>
    </x:row>
    <x:row r="96" ht="31" customHeight="1">
      <x:c r="A96" s="13" t="str">
        <x:v>E091</x:v>
      </x:c>
      <x:c r="B96" s="13" t="str">
        <x:v>石阶上的日影</x:v>
      </x:c>
      <x:c r="C96" s="13" t="str">
        <x:v>旅行画里同一座石阶每次都少一层，画师把阴影也当成了台阶</x:v>
      </x:c>
      <x:c r="D96" s="13" t="str">
        <x:v>从当地记录理解建筑与场地关系→在不同时刻描出石阶和影线→将两者拆成可翻页的日影图册</x:v>
      </x:c>
      <x:c r="E96" s="13" t="str">
        <x:v>浅金石阶升在深绿林冠上，长影缓缓滑落，天空显得清澈得近乎寂静</x:v>
      </x:c>
      <x:c r="F96" s="13" t="str">
        <x:v>尤卡坦图录订单；C060度量与记录对话；日影收藏页</x:v>
      </x:c>
    </x:row>
    <x:row r="97" ht="31" customHeight="1">
      <x:c r="A97" s="15" t="str">
        <x:v>E092</x:v>
      </x:c>
      <x:c r="B97" s="15" t="str">
        <x:v>蓝洞回声</x:v>
      </x:c>
      <x:c r="C97" s="15" t="str">
        <x:v>浅青海面中央有一块深蓝，旧图却把它涂成一座小岛</x:v>
      </x:c>
      <x:c r="D97" s="15" t="str">
        <x:v>围绕蓝斑记录水色边界→比较浅滩和深水的测深结果→在午后斜光下绘成一张颜色即深度的航图</x:v>
      </x:c>
      <x:c r="E97" s="15" t="str">
        <x:v>乳青浅海中央嵌着一枚深蓝眼睛，白沙纹路像睫毛一样向外舒展</x:v>
      </x:c>
      <x:c r="F97" s="15" t="str">
        <x:v>巴哈马临时锚地；海色测深图；C058海岬更正支线</x:v>
      </x:c>
    </x:row>
    <x:row r="98" ht="31" customHeight="1">
      <x:c r="A98" s="13" t="str">
        <x:v>E093</x:v>
      </x:c>
      <x:c r="B98" s="13" t="str">
        <x:v>归来的鲸之影</x:v>
      </x:c>
      <x:c r="C98" s="13" t="str">
        <x:v>两代渔人给同一头鲸起了不同名字，只有尾纹还把故事连在一起</x:v>
      </x:c>
      <x:c r="D98" s="13" t="str">
        <x:v>在外海观察尾纹与呼吸节奏→与旧素描比较个体差异→把不同人的命名一并收入迁徙记录</x:v>
      </x:c>
      <x:c r="E98" s="13" t="str">
        <x:v>巨大的蓝灰鲸背从金色浪里升起，船与它的影子短暂并排，随后各自向海</x:v>
      </x:c>
      <x:c r="F98" s="13" t="str">
        <x:v>鲸群观察图谱；C058航海记忆；季节生态委托</x:v>
      </x:c>
    </x:row>
    <x:row r="99" ht="31" customHeight="1">
      <x:c r="A99" s="15" t="str">
        <x:v>E094</x:v>
      </x:c>
      <x:c r="B99" s="15" t="str">
        <x:v>大河写下的新海岸</x:v>
      </x:c>
      <x:c r="C99" s="15" t="str">
        <x:v>昨天的沙嘴今天成了水道，旧航图边上写满船员不同颜色的更正</x:v>
      </x:c>
      <x:c r="D99" s="15" t="str">
        <x:v>在涨落水期记录三处沙洲→沿漂木方向寻找主流支路→用可替换纸片做一张会更新的河口图</x:v>
      </x:c>
      <x:c r="E99" s="15" t="str">
        <x:v>褐金河水分成许多闪亮细路，新生沙洲上第一丛绿草像微小旗帜</x:v>
      </x:c>
      <x:c r="F99" s="15" t="str">
        <x:v>密西西比河口浅艇航段；活动沙洲图页；C058测绘故事</x:v>
      </x:c>
    </x:row>
    <x:row r="100" ht="31" customHeight="1">
      <x:c r="A100" s="13" t="str">
        <x:v>E095</x:v>
      </x:c>
      <x:c r="B100" s="13" t="str">
        <x:v>夜霜里的北极星</x:v>
      </x:c>
      <x:c r="C100" s="13" t="str">
        <x:v>一名老船长每次画北方都差一点，他怀疑自己记错了年轻时的天空</x:v>
      </x:c>
      <x:c r="D100" s="13" t="str">
        <x:v>靠岸记录北极星相对地平的位置→在同一夜比较三名观察者的读数→把误差与船摇分开编成便携观星表</x:v>
      </x:c>
      <x:c r="E100" s="13" t="str">
        <x:v>冷蓝港湾铺着细白霜气，远处北星挂在桅尖，呼出的白雾像一面小帆</x:v>
      </x:c>
      <x:c r="F100" s="13" t="str">
        <x:v>群星航图·北港页；E120前置记录之一；C058自我和解章</x:v>
      </x:c>
    </x:row>
    <x:row r="101" ht="31" customHeight="1">
      <x:c r="A101" s="15" t="str">
        <x:v>E096</x:v>
      </x:c>
      <x:c r="B101" s="15" t="str">
        <x:v>可可杯的第二道花纹</x:v>
      </x:c>
      <x:c r="C101" s="15" t="str">
        <x:v>甜点师只想要一只大杯子，陶匠却说好饮品还需要适合手掌的第二道弧线</x:v>
      </x:c>
      <x:c r="D101" s="15" t="str">
        <x:v>比较旧杯与新杯的握持角度→尝试不同纹边下的饮品展示→让船员为一套远洋可可杯共同取名</x:v>
      </x:c>
      <x:c r="E101" s="15" t="str">
        <x:v>深褐可可映着红金杯沿，杯把投下的弯影像一条把大家连在一起的航线</x:v>
      </x:c>
      <x:c r="F101" s="15" t="str">
        <x:v>C057远洋甜食章节；SP097可可花砖礼赠款；可可船餐</x:v>
      </x:c>
    </x:row>
    <x:row r="102" ht="31" customHeight="1">
      <x:c r="A102" s="13" t="str">
        <x:v>E097</x:v>
      </x:c>
      <x:c r="B102" s="13" t="str">
        <x:v>双堡潮钟</x:v>
      </x:c>
      <x:c r="C102" s="13" t="str">
        <x:v>湾口两堡钟声只差一瞬，浓雾里却能让舵手知道自己偏到了哪边</x:v>
      </x:c>
      <x:c r="D102" s="13" t="str">
        <x:v>在三个船位记录回声方向→比较潮流造成的船体横移→与当地工匠写出可听也可看的引航页</x:v>
      </x:c>
      <x:c r="E102" s="13" t="str">
        <x:v>蜜金堡墙隔着蓝绿海水对望，钟声来回穿过雾，白帆像从光里渐渐显形</x:v>
      </x:c>
      <x:c r="F102" s="13" t="str">
        <x:v>圣胡安雾港引航委托；C056护航事件；双堡纪念钟谱</x:v>
      </x:c>
    </x:row>
    <x:row r="103" ht="31" customHeight="1">
      <x:c r="A103" s="15" t="str">
        <x:v>E098</x:v>
      </x:c>
      <x:c r="B103" s="15" t="str">
        <x:v>活着的红色</x:v>
      </x:c>
      <x:c r="C103" s="15" t="str">
        <x:v>码头上最贵的一箱红色，看起来却只是一袋不起眼的小颗粒</x:v>
      </x:c>
      <x:c r="D103" s="15" t="str">
        <x:v>在作物园观察虫体与寄主的关系→记录处理前后颜色变化→把原料重量与成品色样写成商旅可读的分级页</x:v>
      </x:c>
      <x:c r="E103" s="15" t="str">
        <x:v>翠绿枝片上点着细白绒斑，陶碗里忽然漫开一片鲜艳得近乎发光的红</x:v>
      </x:c>
      <x:c r="F103" s="15" t="str">
        <x:v>G051胭脂虫红分级采购；SP101染绢盒订单；C060秤量支线</x:v>
      </x:c>
    </x:row>
    <x:row r="104" ht="31" customHeight="1">
      <x:c r="A104" s="13" t="str">
        <x:v>E099</x:v>
      </x:c>
      <x:c r="B104" s="13" t="str">
        <x:v>月台下的宴会</x:v>
      </x:c>
      <x:c r="C104" s="13" t="str">
        <x:v>一封晚宴请柬迟到了二十年，收件人却说那艘船从未办过宴会</x:v>
      </x:c>
      <x:c r="D104" s="13" t="str">
        <x:v>在沉船厨房寻找名单上的食器→从舞鞋与乐谱辨认真正乘客→为尚在世的人重办那场没有发生的归港宴</x:v>
      </x:c>
      <x:c r="E104" s="13" t="str">
        <x:v>残破餐桌躺在浅蓝水下，月光穿过舱梁，鱼群像迟到的宾客围着空杯游动</x:v>
      </x:c>
      <x:c r="F104" s="13" t="str">
        <x:v>C055港湾共同体故事；月台宴船室陈设；C057庆功菜单</x:v>
      </x:c>
    </x:row>
    <x:row r="105" ht="31" customHeight="1">
      <x:c r="A105" s="15" t="str">
        <x:v>E100</x:v>
      </x:c>
      <x:c r="B105" s="15" t="str">
        <x:v>无风旗</x:v>
      </x:c>
      <x:c r="C105" s="15" t="str">
        <x:v>一面旧旗只在没有风的时候飘动，港里的人说它替胆小鬼道歉</x:v>
      </x:c>
      <x:c r="D105" s="15" t="str">
        <x:v>向三代旗匠询问缝法和旧船名→在雨后门廊观察热气与布边→把一封迟来的信缝进新旗的封边</x:v>
      </x:c>
      <x:c r="E105" s="15" t="str">
        <x:v>粉色门廊外旗角轻轻舒展，满港没有风，只有一封信在夕光里终于被打开</x:v>
      </x:c>
      <x:c r="F105" s="15" t="str">
        <x:v>C059未寄潮信件章；无风旗纪念外观；C012旧友后续</x:v>
      </x:c>
    </x:row>
    <x:row r="106" ht="31" customHeight="1">
      <x:c r="A106" s="13" t="str">
        <x:v>E101</x:v>
      </x:c>
      <x:c r="B106" s="13" t="str">
        <x:v>云阶之城</x:v>
      </x:c>
      <x:c r="C106" s="13" t="str">
        <x:v>海图把山地画成空白，向导却说粮食、石材和人早把道路织满了</x:v>
      </x:c>
      <x:c r="D106" s="13" t="str">
        <x:v>沿山径记录不同海拔的停歇点→描绘城址与山脊、梯田的相互位置→把归程也纳入港口到高地的完整行旅图</x:v>
      </x:c>
      <x:c r="E106" s="13" t="str">
        <x:v>云雾从石砌梯田间缓缓退开，苍绿山脊把整座城托在淡金晨光里</x:v>
      </x:c>
      <x:c r="F106" s="13" t="str">
        <x:v>C061山海网络章节；安第斯图录；高地学馆合作</x:v>
      </x:c>
    </x:row>
    <x:row r="107" ht="31" customHeight="1">
      <x:c r="A107" s="15" t="str">
        <x:v>E102</x:v>
      </x:c>
      <x:c r="B107" s="15" t="str">
        <x:v>白虹落入林海</x:v>
      </x:c>
      <x:c r="C107" s="15" t="str">
        <x:v>乐师说瀑布有许多声音，画家却只带回一整张白纸</x:v>
      </x:c>
      <x:c r="D107" s="15" t="str">
        <x:v>沿步行观景线区分多重水声→记录水雾和彩虹随日光的变化→把声音与色层交给乐师编成水幕长卷</x:v>
      </x:c>
      <x:c r="E107" s="15" t="str">
        <x:v>无数白色水帘从翠绿断崖坠落，虹光穿过飞雾，人物小得像一枚湿润的花瓣</x:v>
      </x:c>
      <x:c r="F107" s="15" t="str">
        <x:v>伊瓜苏声画图录；C065南方天空与雨弓篇；旗舰水幕挂画</x:v>
      </x:c>
    </x:row>
    <x:row r="108" ht="31" customHeight="1">
      <x:c r="A108" s="13" t="str">
        <x:v>E103</x:v>
      </x:c>
      <x:c r="B108" s="13" t="str">
        <x:v>群岛各自的喙</x:v>
      </x:c>
      <x:c r="C108" s="13" t="str">
        <x:v>同样大小的小鸟吃不同食物，少年画师总把它们画成同一张脸</x:v>
      </x:c>
      <x:c r="D108" s="13" t="str">
        <x:v>在两座岛分别观察取食方式→比较素描中的喙形与栖地→将观察差异做成不预写结论的群岛图谱</x:v>
      </x:c>
      <x:c r="E108" s="13" t="str">
        <x:v>黑色火山岸上不同小鸟跳进仙人掌阴影，远海蓝得像把天空压低了一层</x:v>
      </x:c>
      <x:c r="F108" s="13" t="str">
        <x:v>加拉帕戈斯生态图谱；C063共同观察计划；博物学展示页</x:v>
      </x:c>
    </x:row>
    <x:row r="109" ht="31" customHeight="1">
      <x:c r="A109" s="15" t="str">
        <x:v>E104</x:v>
      </x:c>
      <x:c r="B109" s="15" t="str">
        <x:v>两种水色的航道</x:v>
      </x:c>
      <x:c r="C109" s="15" t="str">
        <x:v>雨林大河进入海里后没有立刻消失，一条褐色路一直伸向蓝水深处</x:v>
      </x:c>
      <x:c r="D109" s="15" t="str">
        <x:v>在交汇处记录水色与漂物方向→对比涨落潮时边界移动→绘出给浅艇与大船分别使用的河口色图</x:v>
      </x:c>
      <x:c r="E109" s="15" t="str">
        <x:v>褐金河水像一条宽绸带铺进深蓝海面，白色泡沫在边缘写出细细弯字</x:v>
      </x:c>
      <x:c r="F109" s="15" t="str">
        <x:v>贝伦河海接驳航段；C063观察图谱；雨林物产委托</x:v>
      </x:c>
    </x:row>
    <x:row r="110" ht="31" customHeight="1">
      <x:c r="A110" s="13" t="str">
        <x:v>E105</x:v>
      </x:c>
      <x:c r="B110" s="13" t="str">
        <x:v>红木的第七根弦</x:v>
      </x:c>
      <x:c r="C110" s="13" t="str">
        <x:v>匠人说船和琴都要听木头，船员却只会敲它问结不结实</x:v>
      </x:c>
      <x:c r="D110" s="13" t="str">
        <x:v>比较三种木板在空箱上的回响→记录潮湿后声音与重量的变化→用边角木料做一只可在甲板演奏的乐匣</x:v>
      </x:c>
      <x:c r="E110" s="13" t="str">
        <x:v>深红木屑卷在金色光束里，新乐匣响起时，窗外桅杆也像跟着轻轻颤动</x:v>
      </x:c>
      <x:c r="F110" s="13" t="str">
        <x:v>SP107红木乐匣合作订单；C062选材章节；C069甲板音乐会</x:v>
      </x:c>
    </x:row>
    <x:row r="111" ht="31" customHeight="1">
      <x:c r="A111" s="15" t="str">
        <x:v>E106</x:v>
      </x:c>
      <x:c r="B111" s="15" t="str">
        <x:v>南十字落进草原</x:v>
      </x:c>
      <x:c r="C111" s="15" t="str">
        <x:v>北来的船员不断寻找熟悉的北星，草原少女却说南方从来不是缺了一半天空</x:v>
      </x:c>
      <x:c r="D111" s="15" t="str">
        <x:v>沿宽河口观察南方星群转动→将星图与地平山影、草原方向相配→用当地叙述写成一页全新的南天航图</x:v>
      </x:c>
      <x:c r="E111" s="15" t="str">
        <x:v>银灰大河与暗绿草原连成一条地平线，南方星群像细碎珠粒挂在低低天幕</x:v>
      </x:c>
      <x:c r="F111" s="15" t="str">
        <x:v>群星航图·南天页；E120前置记录之一；C065个人目标章节</x:v>
      </x:c>
    </x:row>
    <x:row r="112" ht="31" customHeight="1">
      <x:c r="A112" s="13" t="str">
        <x:v>E107</x:v>
      </x:c>
      <x:c r="B112" s="13" t="str">
        <x:v>雨线里的黄金船</x:v>
      </x:c>
      <x:c r="C112" s="13" t="str">
        <x:v>一艘被传满载黄金的船只留下植物图谱，账上的金色究竟是什么</x:v>
      </x:c>
      <x:c r="D112" s="13" t="str">
        <x:v>根据山峰雨线寻找失事湾口→辨认防水箱里保存的图谱和金叶画样→把藏宝传闻改写成画师最后一卷雨林长画</x:v>
      </x:c>
      <x:c r="E112" s="13" t="str">
        <x:v>翡翠山影间雨丝像金线垂落，沉舱中一片残存金叶仍把幽蓝水色照得温柔</x:v>
      </x:c>
      <x:c r="F112" s="13" t="str">
        <x:v>雨林金叶长画；C061与C063共同故事；SP108金羽工坊引荐</x:v>
      </x:c>
    </x:row>
    <x:row r="113" ht="31" customHeight="1">
      <x:c r="A113" s="15" t="str">
        <x:v>E108</x:v>
      </x:c>
      <x:c r="B113" s="15" t="str">
        <x:v>向山上行走的海雾</x:v>
      </x:c>
      <x:c r="C113" s="15" t="str">
        <x:v>干燥山坡一夜之间满是水珠，港里的孩子说海趁睡觉爬上了山</x:v>
      </x:c>
      <x:c r="D113" s="15" t="str">
        <x:v>从岸边到山坡比较温度与雾线→记录细绳与叶面凝露的位置→把海雾升散画成航海者可读的一日图</x:v>
      </x:c>
      <x:c r="E113" s="15" t="str">
        <x:v>冷白海雾沿赭色山坡缓缓攀升，彩屋屋顶一排排露出，像从云里醒来的船</x:v>
      </x:c>
      <x:c r="F113" s="15" t="str">
        <x:v>智利沿岸晨雾辨岸图；C066候风节律支线；海岸观察页</x:v>
      </x:c>
    </x:row>
    <x:row r="114" ht="31" customHeight="1">
      <x:c r="A114" s="13" t="str">
        <x:v>E109</x:v>
      </x:c>
      <x:c r="B114" s="13" t="str">
        <x:v>银盏里藏着的海</x:v>
      </x:c>
      <x:c r="C114" s="13" t="str">
        <x:v>杯底只有几道凹线，老人却能从中读出年轻时一整段航程</x:v>
      </x:c>
      <x:c r="D114" s="13" t="str">
        <x:v>逐一听取旧船友对凹线的不同解释→在海图上排出能连续相接的港口→请银匠把真实与想象各刻在新盏一侧</x:v>
      </x:c>
      <x:c r="E114" s="13" t="str">
        <x:v>薄银杯沿映着蓝海，凹纹里聚起一圈小小日光，像许多港灯终于连成了一条线</x:v>
      </x:c>
      <x:c r="F114" s="13" t="str">
        <x:v>SP112银山潮纹茶盏纪念款；跨太平洋老船友后续</x:v>
      </x:c>
    </x:row>
    <x:row r="115" ht="31" customHeight="1">
      <x:c r="A115" s="15" t="str">
        <x:v>E110</x:v>
      </x:c>
      <x:c r="B115" s="15" t="str">
        <x:v>翡翠的第二片海</x:v>
      </x:c>
      <x:c r="C115" s="15" t="str">
        <x:v>宝石商只说越绿越好，匠人却把最美的一块转向了阴影</x:v>
      </x:c>
      <x:c r="D115" s="15" t="str">
        <x:v>比较透射光与反射光中的石色→为不同内含纹样选择保留方式→把山脉与海湾两种曲线融进同一件首饰</x:v>
      </x:c>
      <x:c r="E115" s="15" t="str">
        <x:v>木窗的金色细光穿过绿石，里面像忽然出现另一片安静海湾，只有观看的人知道</x:v>
      </x:c>
      <x:c r="F115" s="15" t="str">
        <x:v>SP105翡翠潮簪工坊引荐；宝石图谱；C061山海美学对话</x:v>
      </x:c>
    </x:row>
    <x:row r="116" ht="31" customHeight="1">
      <x:c r="A116" s="13" t="str">
        <x:v>E111</x:v>
      </x:c>
      <x:c r="B116" s="13" t="str">
        <x:v>海中花园</x:v>
      </x:c>
      <x:c r="C116" s="13" t="str">
        <x:v>远海一整片浅色并非沙洲，每一块纹理里都有另一座小世界</x:v>
      </x:c>
      <x:c r="D116" s="13" t="str">
        <x:v>从外海辨认礁区水色层次→在浅艇上观察珊瑚与鱼群相互关系→绘成可放大翻看的海中花园长卷</x:v>
      </x:c>
      <x:c r="E116" s="13" t="str">
        <x:v>乳青海水下珊瑚像柔亮花园，成群小鱼在粉紫枝影中闪过，白浪围出远处边界</x:v>
      </x:c>
      <x:c r="F116" s="13" t="str">
        <x:v>大堡礁生态图谱；东澳外海探索航段；C064瞭望成长章</x:v>
      </x:c>
    </x:row>
    <x:row r="117" ht="31" customHeight="1">
      <x:c r="A117" s="15" t="str">
        <x:v>E112</x:v>
      </x:c>
      <x:c r="B117" s="15" t="str">
        <x:v>石像看向的海</x:v>
      </x:c>
      <x:c r="C117" s="15" t="str">
        <x:v>外来的画像只画石像正面，岛上的老人却问你为什么不画它身边的生活</x:v>
      </x:c>
      <x:c r="D117" s="15" t="str">
        <x:v>听取聚落、石像与土地相连的故事→从海岸和村落分别画同一组轮廓→完成把人物、菜园、石台与浪都纳入的长卷</x:v>
      </x:c>
      <x:c r="E117" s="15" t="str">
        <x:v>黑色石台前浪花如雪，沉静石像与远处劳作的人一起站在金绿草地和深蓝海之间</x:v>
      </x:c>
      <x:c r="F117" s="15" t="str">
        <x:v>C072刻潮个人章节；拉帕努伊全景图录；岛屿讲述会</x:v>
      </x:c>
    </x:row>
    <x:row r="118" ht="31" customHeight="1">
      <x:c r="A118" s="13" t="str">
        <x:v>E113</x:v>
      </x:c>
      <x:c r="B118" s="13" t="str">
        <x:v>双湾的两次呼吸</x:v>
      </x:c>
      <x:c r="C118" s="13" t="str">
        <x:v>两片海离得很近，却从不同时把水送到同一条岸边</x:v>
      </x:c>
      <x:c r="D118" s="13" t="str">
        <x:v>在两湾记录潮线与间隔→比较大舟在不同入湾角度下的横移→把潮时与船体重心写成共同试航页</x:v>
      </x:c>
      <x:c r="E118" s="13" t="str">
        <x:v>翠绿丘陵两侧各铺一片蓝海，白浪一前一后抵岸，像大地正在安静呼吸</x:v>
      </x:c>
      <x:c r="F118" s="13" t="str">
        <x:v>C068双体结构个人章节；双湾试航路线；岛际航技资料</x:v>
      </x:c>
    </x:row>
    <x:row r="119" ht="31" customHeight="1">
      <x:c r="A119" s="15" t="str">
        <x:v>E114</x:v>
      </x:c>
      <x:c r="B119" s="15" t="str">
        <x:v>能穿过海风的布</x:v>
      </x:c>
      <x:c r="C119" s="15" t="str">
        <x:v>一张布看不见织线，却能披在肩上，也能讲一整夜归航故事</x:v>
      </x:c>
      <x:c r="D119" s="15" t="str">
        <x:v>观察内皮经过敲展形成布面的过程→比较干湿两种状态的触感与纹理→让船员和留乡者共同设计一张归港长幅</x:v>
      </x:c>
      <x:c r="E119" s="15" t="str">
        <x:v>乳白布面铺在金色沙岸上，敲击声像远浪，深褐星纹在柔软纤维间一寸寸展开</x:v>
      </x:c>
      <x:c r="F119" s="15" t="str">
        <x:v>SP117晨星树皮绢合作款；C069归港节节点；船室故事长幅</x:v>
      </x:c>
    </x:row>
    <x:row r="120" ht="31" customHeight="1">
      <x:c r="A120" s="13" t="str">
        <x:v>E115</x:v>
      </x:c>
      <x:c r="B120" s="13" t="str">
        <x:v>没有指针的罗盘</x:v>
      </x:c>
      <x:c r="C120" s="13" t="str">
        <x:v>老师把罗盘放回箱里，说今晚先记住哪颗星从哪一道浪上升起</x:v>
      </x:c>
      <x:c r="D120" s="13" t="str">
        <x:v>在岸上记下星群升落方向→出海结合涌浪与归鸟复述方位→把身体记住的航线画成可供不同文化理解的图页</x:v>
      </x:c>
      <x:c r="E120" s="13" t="str">
        <x:v>深蓝夜空压近双体船的白帆，领航员手指、低空星光与银色波脊连成同一道弧</x:v>
      </x:c>
      <x:c r="F120" s="13" t="str">
        <x:v>群星航图·归星页；E120前置记录之一；C067旧友航图章节</x:v>
      </x:c>
    </x:row>
    <x:row r="121" ht="31" customHeight="1">
      <x:c r="A121" s="15" t="str">
        <x:v>E116</x:v>
      </x:c>
      <x:c r="B121" s="15" t="str">
        <x:v>檀香鸟之庭</x:v>
      </x:c>
      <x:c r="C121" s="15" t="str">
        <x:v>小孩说港外有一只闻得到却看不到的鸟，老匠人说那是未回乡的歌</x:v>
      </x:c>
      <x:c r="D121" s="15" t="str">
        <x:v>沿晚风寻找不同木香浓淡→从香绳编结里读出寄给远行者的记号→让乐师把等候者的歌送到即将启航的船</x:v>
      </x:c>
      <x:c r="E121" s="15" t="str">
        <x:v>暮金山风掠过小小檀香庭院，细绳上的木屑像羽毛，歌声从白帆之间缓缓远去</x:v>
      </x:c>
      <x:c r="F121" s="15" t="str">
        <x:v>SP113暮金檀香绳故事款；C069归港节征歌；帝力香具委托</x:v>
      </x:c>
    </x:row>
    <x:row r="122" ht="31" customHeight="1">
      <x:c r="A122" s="13" t="str">
        <x:v>E117</x:v>
      </x:c>
      <x:c r="B122" s="13" t="str">
        <x:v>潮底倒扣的星船</x:v>
      </x:c>
      <x:c r="C122" s="13" t="str">
        <x:v>潮退时露出的旧龙骨像一片夜空，钉孔却与任何已知帆图不同</x:v>
      </x:c>
      <x:c r="D122" s="13" t="str">
        <x:v>在低潮描绘船底结构与孔位→让当地与远方船匠分别解释受力方式→拼出曾尝试结合两种航海传统的实验船模型</x:v>
      </x:c>
      <x:c r="E122" s="13" t="str">
        <x:v>清澈潮水盖着一副浅褐骨架，孔眼里透出细光，像一艘把星空藏在腹内的船</x:v>
      </x:c>
      <x:c r="F122" s="13" t="str">
        <x:v>C068共同工坊章节；双体船舱室布置资料；星船模型收藏</x:v>
      </x:c>
    </x:row>
    <x:row r="123" ht="31" customHeight="1">
      <x:c r="A123" s="15" t="str">
        <x:v>E118</x:v>
      </x:c>
      <x:c r="B123" s="15" t="str">
        <x:v>飞帆与同一阵风</x:v>
      </x:c>
      <x:c r="C123" s="15" t="str">
        <x:v>同一阵风里，大船慢慢转身，小帆舟却像把前后位置交换了</x:v>
      </x:c>
      <x:c r="D123" s="15" t="str">
        <x:v>岸上观察帆、浮木与主船体的关系→在近海练习换舷时的船体姿态→把动作拆成可视图页与绳结口令</x:v>
      </x:c>
      <x:c r="E123" s="15" t="str">
        <x:v>细长飞帆舟掠过浅青礁湖，白色尾浪只留一笔，远处巨帆还在缓缓转向</x:v>
      </x:c>
      <x:c r="F123" s="15" t="str">
        <x:v>C070身体航海语言章节；C071绳结口令合作；轻舟试航挑战</x:v>
      </x:c>
    </x:row>
    <x:row r="124" ht="31" customHeight="1">
      <x:c r="A124" s="13" t="str">
        <x:v>E119</x:v>
      </x:c>
      <x:c r="B124" s="13" t="str">
        <x:v>桉林里的笑声</x:v>
      </x:c>
      <x:c r="C124" s="13" t="str">
        <x:v>每次天亮林子里都会响起像人一样的笑声，第一次来的人总以为谁在恶作剧</x:v>
      </x:c>
      <x:c r="D124" s="13" t="str">
        <x:v>沿海湾林缘安静辨认发声方向→观察鸟的停栖、叫声与觅食节奏→让海员把听见的声音各自画成图谱注脚</x:v>
      </x:c>
      <x:c r="E124" s="13" t="str">
        <x:v>银绿桉叶筛下斑驳晨光，一只翠鸟立在横枝上，笑声越过静湾叫醒整片帆影</x:v>
      </x:c>
      <x:c r="F124" s="13" t="str">
        <x:v>桉林鸟类观察页；C063跨洲图谱；杰克逊湾晨航短篇</x:v>
      </x:c>
    </x:row>
    <x:row r="125" ht="31" customHeight="1">
      <x:c r="A125" s="16" t="str">
        <x:v>E120</x:v>
      </x:c>
      <x:c r="B125" s="16" t="str">
        <x:v>白昼海·群星归航</x:v>
      </x:c>
      <x:c r="C125" s="16" t="str">
        <x:v>母亲的航图没有画终点，只在六种文字旁留下一句：让每一片海都能找到自己的星</x:v>
      </x:c>
      <x:c r="D125" s="16" t="str">
        <x:v>把六地观测页重叠确定航季与纬度→由不同传统的领航者共同走完最后一段→在乳白夜光海上补完母亲留下的归航页</x:v>
      </x:c>
      <x:c r="E125" s="16" t="str">
        <x:v>夜光海把帆底染成乳白，云隙星光与船尾银纹相接，所有人的故乡都在同一片天幕下</x:v>
      </x:c>
      <x:c r="F125" s="16" t="str">
        <x:v>白昼海主线终章；C007与C067结局节点；群星归航纪念图；终章全球巡航</x:v>
      </x:c>
    </x:row>
    <x:row r="126">
      <x:c r="A126" s="2"/>
      <x:c r="B126" s="2"/>
      <x:c r="C126" s="2"/>
      <x:c r="D126" s="2"/>
      <x:c r="E126" s="2"/>
      <x:c r="F126" s="2"/>
    </x:row>
  </x:sheetData>
  <x:pageMargins left="0.7" right="0.7" top="0.75" bottom="0.75" header="0.3" footer="0.3"/>
  <x:tableParts count="1">
    <x:tablePart xmlns:r="http://schemas.openxmlformats.org/officeDocument/2006/relationships" r:id="R8c885d25b6d8434f"/>
  </x:tableParts>
</x:worksheet>
</file>

<file path=xl/worksheets/sheet31.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17" hidden="0" customWidth="1"/>
    <x:col min="3" max="3" width="35" hidden="0" customWidth="1"/>
    <x:col min="4" max="4" width="94" hidden="0" customWidth="1"/>
    <x:col min="5" max="5" width="91" hidden="0" customWidth="1"/>
    <x:col min="6" max="6" width="91" hidden="0" customWidth="1"/>
    <x:col min="7" max="7" width="71" hidden="0" customWidth="1"/>
  </x:cols>
  <x:sheetData>
    <x:row r="1">
      <x:c r="A1" s="2"/>
      <x:c r="B1" s="2"/>
      <x:c r="C1" s="2"/>
      <x:c r="D1" s="2"/>
      <x:c r="E1" s="2"/>
      <x:c r="F1" s="2"/>
      <x:c r="G1" s="2"/>
    </x:row>
    <x:row r="2" ht="28" customHeight="1">
      <x:c r="A2" s="3" t="str">
        <x:v>十二条区域故事与不同的海洋未来</x:v>
      </x:c>
      <x:c r="B2" s="2"/>
      <x:c r="C2" s="2"/>
      <x:c r="D2" s="2"/>
      <x:c r="E2" s="2"/>
      <x:c r="F2" s="2"/>
      <x:c r="G2" s="2"/>
    </x:row>
    <x:row r="3">
      <x:c r="A3" s="2"/>
      <x:c r="B3" s="2"/>
      <x:c r="C3" s="2"/>
      <x:c r="D3" s="2"/>
      <x:c r="E3" s="2"/>
      <x:c r="F3" s="2"/>
      <x:c r="G3" s="2"/>
    </x:row>
    <x:row r="4">
      <x:c r="A4" s="2"/>
      <x:c r="B4" s="2"/>
      <x:c r="C4" s="2"/>
      <x:c r="D4" s="2"/>
      <x:c r="E4" s="2"/>
      <x:c r="F4" s="2"/>
      <x:c r="G4" s="2"/>
    </x:row>
    <x:row r="5" ht="34" customHeight="1">
      <x:c r="A5" s="10" t="str">
        <x:v>编号</x:v>
      </x:c>
      <x:c r="B5" s="10" t="str">
        <x:v>地区</x:v>
      </x:c>
      <x:c r="C5" s="10" t="str">
        <x:v>故事名</x:v>
      </x:c>
      <x:c r="D5" s="10" t="str">
        <x:v>起点与冲突</x:v>
      </x:c>
      <x:c r="E5" s="10" t="str">
        <x:v>主要行动</x:v>
      </x:c>
      <x:c r="F5" s="10" t="str">
        <x:v>结局差异</x:v>
      </x:c>
      <x:c r="G5" s="10" t="str">
        <x:v>游戏解锁</x:v>
      </x:c>
    </x:row>
    <x:row r="6" ht="31" customHeight="1">
      <x:c r="A6" s="12" t="str">
        <x:v>AR01</x:v>
      </x:c>
      <x:c r="B6" s="12" t="str">
        <x:v>R01</x:v>
      </x:c>
      <x:c r="C6" s="12" t="str">
        <x:v>雾钟与失约的运粮船</x:v>
      </x:c>
      <x:c r="D6" s="12" t="str">
        <x:v>商会钟声比粮船早到；一个老水手坚持船队没有沉没。</x:v>
      </x:c>
      <x:c r="E6" s="12" t="str">
        <x:v>查船单，借灯塔信号穿雾，救出被藏在支港的粮船。</x:v>
      </x:c>
      <x:c r="F6" s="12" t="str">
        <x:v>公开调度记录建立港间互保，或把航路交给一家商会。</x:v>
      </x:c>
      <x:c r="G6" s="12" t="str">
        <x:v>北海全天候航路资料与仓库合作</x:v>
      </x:c>
    </x:row>
    <x:row r="7" ht="31" customHeight="1">
      <x:c r="A7" s="15" t="str">
        <x:v>AR02</x:v>
      </x:c>
      <x:c r="B7" s="15" t="str">
        <x:v>R02</x:v>
      </x:c>
      <x:c r="C7" s="15" t="str">
        <x:v>蓝瓷上的错误海岸</x:v>
      </x:c>
      <x:c r="D7" s="15" t="str">
        <x:v>一块家传瓷砖画着不存在的海角，海图商愿意重金收买。</x:v>
      </x:c>
      <x:c r="E7" s="15" t="str">
        <x:v>追访瓷窑、校对旧日志，率小队绕过暴风外礁。</x:v>
      </x:c>
      <x:c r="F7" s="15" t="str">
        <x:v>把家族声名换回公开海图，或保留一次独家先航窗口。</x:v>
      </x:c>
      <x:c r="G7" s="15" t="str">
        <x:v>远洋起航资格与瓷器品牌路线</x:v>
      </x:c>
    </x:row>
    <x:row r="8" ht="31" customHeight="1">
      <x:c r="A8" s="13" t="str">
        <x:v>AR03</x:v>
      </x:c>
      <x:c r="B8" s="13" t="str">
        <x:v>R03</x:v>
      </x:c>
      <x:c r="C8" s="13" t="str">
        <x:v>沉钟议会</x:v>
      </x:c>
      <x:c r="D8" s="13" t="str">
        <x:v>运河底的钟记着被删去的航海事故；三城对修复费用争执。</x:v>
      </x:c>
      <x:c r="E8" s="13" t="str">
        <x:v>潜水找铭文，运来铜材，护送三城代表会谈。</x:v>
      </x:c>
      <x:c r="F8" s="13" t="str">
        <x:v>三港共建航标、由单一城市经营，或交给航海学院。</x:v>
      </x:c>
      <x:c r="G8" s="13" t="str">
        <x:v>夜间近岸导航工艺与城市联合订单</x:v>
      </x:c>
    </x:row>
    <x:row r="9" ht="31" customHeight="1">
      <x:c r="A9" s="15" t="str">
        <x:v>AR04</x:v>
      </x:c>
      <x:c r="B9" s="15" t="str">
        <x:v>R04</x:v>
      </x:c>
      <x:c r="C9" s="15" t="str">
        <x:v>靛色归航</x:v>
      </x:c>
      <x:c r="D9" s="15" t="str">
        <x:v>染坊女工的货被中间商压价；新河道掌握在无人愿意听取的老领航人手里。</x:v>
      </x:c>
      <x:c r="E9" s="15" t="str">
        <x:v>运送织机工具，听取地方报价，乘浅水船测绘河口。</x:v>
      </x:c>
      <x:c r="F9" s="15" t="str">
        <x:v>地方工坊自营品牌、区域合作、或外来商团长约。</x:v>
      </x:c>
      <x:c r="G9" s="15" t="str">
        <x:v>靛布特产链和河口船改造</x:v>
      </x:c>
    </x:row>
    <x:row r="10" ht="31" customHeight="1">
      <x:c r="A10" s="13" t="str">
        <x:v>AR05</x:v>
      </x:c>
      <x:c r="B10" s="13" t="str">
        <x:v>R05</x:v>
      </x:c>
      <x:c r="C10" s="13" t="str">
        <x:v>季风寄来的信</x:v>
      </x:c>
      <x:c r="D10" s="13" t="str">
        <x:v>一封信在不同港口被续写，写信人追随几十年前的风季约定。</x:v>
      </x:c>
      <x:c r="E10" s="13" t="str">
        <x:v>串联雕门工匠、观星者与船长，修复三处旧引航标。</x:v>
      </x:c>
      <x:c r="F10" s="13" t="str">
        <x:v>让季风共同体共享路线，或成立跨洋邮船事业。</x:v>
      </x:c>
      <x:c r="G10" s="13" t="str">
        <x:v>更可靠的季风情报与专门快船</x:v>
      </x:c>
    </x:row>
    <x:row r="11" ht="31" customHeight="1">
      <x:c r="A11" s="15" t="str">
        <x:v>AR06</x:v>
      </x:c>
      <x:c r="B11" s="15" t="str">
        <x:v>R06</x:v>
      </x:c>
      <x:c r="C11" s="15" t="str">
        <x:v>夜航者的星盘</x:v>
      </x:c>
      <x:c r="D11" s="15" t="str">
        <x:v>一台失去刻度的星盘引来学派与权贵争夺；真正的知识在口传歌谣里。</x:v>
      </x:c>
      <x:c r="E11" s="15" t="str">
        <x:v>随向导辨星，访问书库，在无岸可见的海上完成观测。</x:v>
      </x:c>
      <x:c r="F11" s="15" t="str">
        <x:v>公开抄本、巡回讲授或建造地区观测所。</x:v>
      </x:c>
      <x:c r="G11" s="15" t="str">
        <x:v>夜航导航技术与学术声望</x:v>
      </x:c>
    </x:row>
    <x:row r="12" ht="31" customHeight="1">
      <x:c r="A12" s="13" t="str">
        <x:v>AR07</x:v>
      </x:c>
      <x:c r="B12" s="13" t="str">
        <x:v>R07</x:v>
      </x:c>
      <x:c r="C12" s="13" t="str">
        <x:v>雨季的万色账簿</x:v>
      </x:c>
      <x:c r="D12" s="13" t="str">
        <x:v>一场工坊大单把棉农、织工、染工和船主拖入互不相容的交期。</x:v>
      </x:c>
      <x:c r="E12" s="13" t="str">
        <x:v>安排原料回程、错峰用船，协调季风停工后的订单。</x:v>
      </x:c>
      <x:c r="F12" s="13" t="str">
        <x:v>建立透明合同联盟、扶持大师工坊或走大众纺织路线。</x:v>
      </x:c>
      <x:c r="G12" s="13" t="str">
        <x:v>高级织物配方和工艺招募</x:v>
      </x:c>
    </x:row>
    <x:row r="13" ht="31" customHeight="1">
      <x:c r="A13" s="15" t="str">
        <x:v>AR08</x:v>
      </x:c>
      <x:c r="B13" s="15" t="str">
        <x:v>R08</x:v>
      </x:c>
      <x:c r="C13" s="15" t="str">
        <x:v>香料群岛的第二面旗</x:v>
      </x:c>
      <x:c r="D13" s="15" t="str">
        <x:v>火山活动使一座港城要迁移；势力只想抢救香料仓。</x:v>
      </x:c>
      <x:c r="E13" s="15" t="str">
        <x:v>先调查潮与灰，安排救援和物资，再决定新港选址与合同。</x:v>
      </x:c>
      <x:c r="F13" s="15" t="str">
        <x:v>地方港盟、分散岛际网络或特许贸易公司。</x:v>
      </x:c>
      <x:c r="G13" s="15" t="str">
        <x:v>香料产区合作与浅水跨岛航路</x:v>
      </x:c>
    </x:row>
    <x:row r="14" ht="31" customHeight="1">
      <x:c r="A14" s="13" t="str">
        <x:v>AR09</x:v>
      </x:c>
      <x:c r="B14" s="13" t="str">
        <x:v>R09</x:v>
      </x:c>
      <x:c r="C14" s="13" t="str">
        <x:v>灯海与无名船匠</x:v>
      </x:c>
      <x:c r="D14" s="13" t="str">
        <x:v>工匠被诬为盗用图纸，失窃设计其实来自多个海域的合作。</x:v>
      </x:c>
      <x:c r="E14" s="13" t="str">
        <x:v>访问各港工艺，复原隔舱与帆装，参加跨文化试航。</x:v>
      </x:c>
      <x:c r="F14" s="13" t="str">
        <x:v>公开设计署名、船匠联合体或地方师门传承。</x:v>
      </x:c>
      <x:c r="G14" s="13" t="str">
        <x:v>文化船体混合改造与名舰委托</x:v>
      </x:c>
    </x:row>
    <x:row r="15" ht="31" customHeight="1">
      <x:c r="A15" s="15" t="str">
        <x:v>AR10</x:v>
      </x:c>
      <x:c r="B15" s="15" t="str">
        <x:v>R10</x:v>
      </x:c>
      <x:c r="C15" s="15" t="str">
        <x:v>风暴后的假面舞会</x:v>
      </x:c>
      <x:c r="D15" s="15" t="str">
        <x:v>私掠者和商会都声称救过同一艘船，舞会请帖中藏着真实账本。</x:v>
      </x:c>
      <x:c r="E15" s="15" t="str">
        <x:v>经营节庆供货、潜入社交、海上追逐并审读船舶登记。</x:v>
      </x:c>
      <x:c r="F15" s="15" t="str">
        <x:v>自治海港、正规护航体系或受约束的私掠共约。</x:v>
      </x:c>
      <x:c r="G15" s="15" t="str">
        <x:v>灵活护航合同与海员关系终章</x:v>
      </x:c>
    </x:row>
    <x:row r="16" ht="31" customHeight="1">
      <x:c r="A16" s="13" t="str">
        <x:v>AR11</x:v>
      </x:c>
      <x:c r="B16" s="13" t="str">
        <x:v>R11</x:v>
      </x:c>
      <x:c r="C16" s="13" t="str">
        <x:v>世界尽头的回声</x:v>
      </x:c>
      <x:c r="D16" s="13" t="str">
        <x:v>山间的星象记录与南端海流表相似，一位老测绘师要完成最后一张图。</x:v>
      </x:c>
      <x:c r="E16" s="13" t="str">
        <x:v>把高原资料带到海边，沿河口与海峡逐段验证观测。</x:v>
      </x:c>
      <x:c r="F16" s="13" t="str">
        <x:v>成立本地知识馆、海岸共同航图或全球学术巡航。</x:v>
      </x:c>
      <x:c r="G16" s="13" t="str">
        <x:v>南端绕航资料与气象观测设备</x:v>
      </x:c>
    </x:row>
    <x:row r="17" ht="31" customHeight="1">
      <x:c r="A17" s="16" t="str">
        <x:v>AR12</x:v>
      </x:c>
      <x:c r="B17" s="16" t="str">
        <x:v>R12</x:v>
      </x:c>
      <x:c r="C17" s="16" t="str">
        <x:v>把群星借给大海</x:v>
      </x:c>
      <x:c r="D17" s="16" t="str">
        <x:v>外来海图把岛民认得的浪路当空白；星航者邀请玩家用耳朵和身体学习。</x:v>
      </x:c>
      <x:c r="E17" s="16" t="str">
        <x:v>短岛航行、辨浪与鸟迹，夜间合流观测星潮。</x:v>
      </x:c>
      <x:c r="F17" s="16" t="str">
        <x:v>公开共同署名星图、岛际导航学校或流动航海团。</x:v>
      </x:c>
      <x:c r="G17" s="16" t="str">
        <x:v>太平洋远航方法与主线最终观测</x:v>
      </x:c>
    </x:row>
    <x:row r="18">
      <x:c r="A18" s="2"/>
      <x:c r="B18" s="2"/>
      <x:c r="C18" s="2"/>
      <x:c r="D18" s="2"/>
      <x:c r="E18" s="2"/>
      <x:c r="F18" s="2"/>
      <x:c r="G18" s="2"/>
    </x:row>
  </x:sheetData>
  <x:pageMargins left="0.7" right="0.7" top="0.75" bottom="0.75" header="0.3" footer="0.3"/>
  <x:tableParts count="1">
    <x:tablePart xmlns:r="http://schemas.openxmlformats.org/officeDocument/2006/relationships" r:id="R0dc8c7bc56564ec5"/>
  </x:tableParts>
</x:worksheet>
</file>

<file path=xl/worksheets/sheet3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29" hidden="0" customWidth="1"/>
    <x:col min="3" max="3" width="85" hidden="0" customWidth="1"/>
    <x:col min="4" max="4" width="82" hidden="0" customWidth="1"/>
    <x:col min="5" max="5" width="86" hidden="0" customWidth="1"/>
  </x:cols>
  <x:sheetData>
    <x:row r="1">
      <x:c r="A1" s="2"/>
      <x:c r="B1" s="2"/>
      <x:c r="C1" s="2"/>
      <x:c r="D1" s="2"/>
      <x:c r="E1" s="2"/>
    </x:row>
    <x:row r="2" ht="28" customHeight="1">
      <x:c r="A2" s="3" t="str">
        <x:v>从第一段买卖到环球足迹</x:v>
      </x:c>
      <x:c r="B2" s="2"/>
      <x:c r="C2" s="2"/>
      <x:c r="D2" s="2"/>
      <x:c r="E2" s="2"/>
    </x:row>
    <x:row r="3">
      <x:c r="A3" s="2"/>
      <x:c r="B3" s="2"/>
      <x:c r="C3" s="2"/>
      <x:c r="D3" s="2"/>
      <x:c r="E3" s="2"/>
    </x:row>
    <x:row r="4">
      <x:c r="A4" s="2"/>
      <x:c r="B4" s="2"/>
      <x:c r="C4" s="2"/>
      <x:c r="D4" s="2"/>
      <x:c r="E4" s="2"/>
    </x:row>
    <x:row r="5" ht="34" customHeight="1">
      <x:c r="A5" s="10" t="str">
        <x:v>编号</x:v>
      </x:c>
      <x:c r="B5" s="10" t="str">
        <x:v>阶段</x:v>
      </x:c>
      <x:c r="C5" s="10" t="str">
        <x:v>达成方式</x:v>
      </x:c>
      <x:c r="D5" s="10" t="str">
        <x:v>新能力</x:v>
      </x:c>
      <x:c r="E5" s="10" t="str">
        <x:v>代表玩家目标</x:v>
      </x:c>
    </x:row>
    <x:row r="6" ht="31" customHeight="1">
      <x:c r="A6" s="12" t="str">
        <x:v>PG01</x:v>
      </x:c>
      <x:c r="B6" s="12" t="str">
        <x:v>第一条航路</x:v>
      </x:c>
      <x:c r="C6" s="12" t="str">
        <x:v>完成任一相邻港买卖和海上事件</x:v>
      </x:c>
      <x:c r="D6" s="12" t="str">
        <x:v>航次账簿、手绘航线</x:v>
      </x:c>
      <x:c r="E6" s="12" t="str">
        <x:v>认出一个港口缺什么</x:v>
      </x:c>
    </x:row>
    <x:row r="7" ht="31" customHeight="1">
      <x:c r="A7" s="15" t="str">
        <x:v>PG02</x:v>
      </x:c>
      <x:c r="B7" s="15" t="str">
        <x:v>可信赖的伙伴</x:v>
      </x:c>
      <x:c r="C7" s="15" t="str">
        <x:v>招募3名不同岗位独特海员</x:v>
      </x:c>
      <x:c r="D7" s="15" t="str">
        <x:v>岗位协同与甲板生活</x:v>
      </x:c>
      <x:c r="E7" s="15" t="str">
        <x:v>带上喜欢的人找到适合的工作</x:v>
      </x:c>
    </x:row>
    <x:row r="8" ht="31" customHeight="1">
      <x:c r="A8" s="13" t="str">
        <x:v>PG03</x:v>
      </x:c>
      <x:c r="B8" s="13" t="str">
        <x:v>地方常客</x:v>
      </x:c>
      <x:c r="C8" s="13" t="str">
        <x:v>任一港达到关系25并完成订单</x:v>
      </x:c>
      <x:c r="D8" s="13" t="str">
        <x:v>货物预订和地区消息</x:v>
      </x:c>
      <x:c r="E8" s="13" t="str">
        <x:v>建立有返程货的短循环</x:v>
      </x:c>
    </x:row>
    <x:row r="9" ht="31" customHeight="1">
      <x:c r="A9" s="15" t="str">
        <x:v>PG04</x:v>
      </x:c>
      <x:c r="B9" s="15" t="str">
        <x:v>港口投资人</x:v>
      </x:c>
      <x:c r="C9" s="15" t="str">
        <x:v>完成D2或A2投资</x:v>
      </x:c>
      <x:c r="D9" s="15" t="str">
        <x:v>区域加工或军商两用船</x:v>
      </x:c>
      <x:c r="E9" s="15" t="str">
        <x:v>投资后亲眼看到街区变化</x:v>
      </x:c>
    </x:row>
    <x:row r="10" ht="31" customHeight="1">
      <x:c r="A10" s="13" t="str">
        <x:v>PG05</x:v>
      </x:c>
      <x:c r="B10" s="13" t="str">
        <x:v>第一片远海</x:v>
      </x:c>
      <x:c r="C10" s="13" t="str">
        <x:v>到达第二大洋并报告一次发现</x:v>
      </x:c>
      <x:c r="D10" s="13" t="str">
        <x:v>远洋航线记录与地图注记</x:v>
      </x:c>
      <x:c r="E10" s="13" t="str">
        <x:v>为一次远航认真挑人选船</x:v>
      </x:c>
    </x:row>
    <x:row r="11" ht="31" customHeight="1">
      <x:c r="A11" s="15" t="str">
        <x:v>PG06</x:v>
      </x:c>
      <x:c r="B11" s="15" t="str">
        <x:v>五船舰队</x:v>
      </x:c>
      <x:c r="C11" s="15" t="str">
        <x:v>拥有并部署5艘船</x:v>
      </x:c>
      <x:c r="D11" s="15" t="str">
        <x:v>完整战术阵型</x:v>
      </x:c>
      <x:c r="E11" s="15" t="str">
        <x:v>把商船、护卫、快船组合起来</x:v>
      </x:c>
    </x:row>
    <x:row r="12" ht="31" customHeight="1">
      <x:c r="A12" s="13" t="str">
        <x:v>PG07</x:v>
      </x:c>
      <x:c r="B12" s="13" t="str">
        <x:v>海员的心事</x:v>
      </x:c>
      <x:c r="C12" s="13" t="str">
        <x:v>完成任一个人任务中章</x:v>
      </x:c>
      <x:c r="D12" s="13" t="str">
        <x:v>角色技能分支与关系连携</x:v>
      </x:c>
      <x:c r="E12" s="13" t="str">
        <x:v>帮伙伴完成自己的航程</x:v>
      </x:c>
    </x:row>
    <x:row r="13" ht="31" customHeight="1">
      <x:c r="A13" s="15" t="str">
        <x:v>PG08</x:v>
      </x:c>
      <x:c r="B13" s="15" t="str">
        <x:v>工艺交汇</x:v>
      </x:c>
      <x:c r="C13" s="15" t="str">
        <x:v>取得两个文化的特殊工艺</x:v>
      </x:c>
      <x:c r="D13" s="15" t="str">
        <x:v>跨文化船体改造组合</x:v>
      </x:c>
      <x:c r="E13" s="15" t="str">
        <x:v>做出有个人风格的旗舰</x:v>
      </x:c>
    </x:row>
    <x:row r="14" ht="31" customHeight="1">
      <x:c r="A14" s="13" t="str">
        <x:v>PG09</x:v>
      </x:c>
      <x:c r="B14" s="13" t="str">
        <x:v>地方商会</x:v>
      </x:c>
      <x:c r="C14" s="13" t="str">
        <x:v>完成两条稳定航线并任命舰长</x:v>
      </x:c>
      <x:c r="D14" s="13" t="str">
        <x:v>最多3支地方商队</x:v>
      </x:c>
      <x:c r="E14" s="13" t="str">
        <x:v>把熟悉航路交给值得信赖的人</x:v>
      </x:c>
    </x:row>
    <x:row r="15" ht="31" customHeight="1">
      <x:c r="A15" s="15" t="str">
        <x:v>PG10</x:v>
      </x:c>
      <x:c r="B15" s="15" t="str">
        <x:v>海域议约人</x:v>
      </x:c>
      <x:c r="C15" s="15" t="str">
        <x:v>完成任一区域的势力故事</x:v>
      </x:c>
      <x:c r="D15" s="15" t="str">
        <x:v>该区特别合同与政治结局</x:v>
      </x:c>
      <x:c r="E15" s="15" t="str">
        <x:v>影响港口的未来而非清空势力</x:v>
      </x:c>
    </x:row>
    <x:row r="16" ht="31" customHeight="1">
      <x:c r="A16" s="13" t="str">
        <x:v>PG11</x:v>
      </x:c>
      <x:c r="B16" s="13" t="str">
        <x:v>环球足迹</x:v>
      </x:c>
      <x:c r="C16" s="13" t="str">
        <x:v>走通两条跨洋主航路并访问六海域</x:v>
      </x:c>
      <x:c r="D16" s="13" t="str">
        <x:v>全球展会和星潮主线终段</x:v>
      </x:c>
      <x:c r="E16" s="13" t="str">
        <x:v>把曾经的线索连成图</x:v>
      </x:c>
    </x:row>
    <x:row r="17" ht="31" customHeight="1">
      <x:c r="A17" s="15" t="str">
        <x:v>PG12</x:v>
      </x:c>
      <x:c r="B17" s="15" t="str">
        <x:v>群星之海</x:v>
      </x:c>
      <x:c r="C17" s="15" t="str">
        <x:v>完成星潮观测与三方议约</x:v>
      </x:c>
      <x:c r="D17" s="15" t="str">
        <x:v>航路知识结局、伙伴后日谈</x:v>
      </x:c>
      <x:c r="E17" s="15" t="str">
        <x:v>选择怎样的海洋网络留给后来者</x:v>
      </x:c>
    </x:row>
    <x:row r="18" ht="31" customHeight="1">
      <x:c r="A18" s="14" t="str">
        <x:v>PG13</x:v>
      </x:c>
      <x:c r="B18" s="14" t="str">
        <x:v>自由远航</x:v>
      </x:c>
      <x:c r="C18" s="14" t="str">
        <x:v>主线结局后</x:v>
      </x:c>
      <x:c r="D18" s="14" t="str">
        <x:v>未完人物与区域故事继续</x:v>
      </x:c>
      <x:c r="E18" s="14" t="str">
        <x:v>完成自己的特产、舰船、发现收藏</x:v>
      </x:c>
    </x:row>
    <x:row r="19">
      <x:c r="A19" s="2"/>
      <x:c r="B19" s="2"/>
      <x:c r="C19" s="2"/>
      <x:c r="D19" s="2"/>
      <x:c r="E19" s="2"/>
    </x:row>
  </x:sheetData>
  <x:pageMargins left="0.7" right="0.7" top="0.75" bottom="0.75" header="0.3" footer="0.3"/>
  <x:tableParts count="1">
    <x:tablePart xmlns:r="http://schemas.openxmlformats.org/officeDocument/2006/relationships" r:id="R0f9dd38cc865449e"/>
  </x:tableParts>
</x:worksheet>
</file>

<file path=xl/worksheets/sheet33.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25" hidden="0" customWidth="1"/>
    <x:col min="3" max="3" width="42" hidden="0" customWidth="1"/>
    <x:col min="4" max="4" width="79" hidden="0" customWidth="1"/>
    <x:col min="5" max="5" width="85" hidden="0" customWidth="1"/>
    <x:col min="6" max="6" width="89" hidden="0" customWidth="1"/>
    <x:col min="7" max="7" width="39" hidden="0" customWidth="1"/>
    <x:col min="8" max="8" width="44" hidden="0" customWidth="1"/>
    <x:col min="9" max="9" width="44" hidden="0" customWidth="1"/>
    <x:col min="10" max="10" width="44" hidden="0" customWidth="1"/>
  </x:cols>
  <x:sheetData>
    <x:row r="1">
      <x:c r="A1" s="2"/>
      <x:c r="B1" s="2"/>
      <x:c r="C1" s="2"/>
      <x:c r="D1" s="2"/>
      <x:c r="E1" s="2"/>
      <x:c r="F1" s="2"/>
      <x:c r="G1" s="2"/>
      <x:c r="H1" s="2"/>
      <x:c r="I1" s="2"/>
      <x:c r="J1" s="2"/>
    </x:row>
    <x:row r="2" ht="28" customHeight="1">
      <x:c r="A2" s="3" t="str">
        <x:v>六种航海人生的起点</x:v>
      </x:c>
      <x:c r="B2" s="2"/>
      <x:c r="C2" s="2"/>
      <x:c r="D2" s="2"/>
      <x:c r="E2" s="2"/>
      <x:c r="F2" s="2"/>
      <x:c r="G2" s="2"/>
      <x:c r="H2" s="2"/>
      <x:c r="I2" s="2"/>
      <x:c r="J2" s="2"/>
    </x:row>
    <x:row r="3">
      <x:c r="A3" s="2"/>
      <x:c r="B3" s="2"/>
      <x:c r="C3" s="2"/>
      <x:c r="D3" s="2"/>
      <x:c r="E3" s="2"/>
      <x:c r="F3" s="2"/>
      <x:c r="G3" s="2"/>
      <x:c r="H3" s="2"/>
      <x:c r="I3" s="2"/>
      <x:c r="J3" s="2"/>
    </x:row>
    <x:row r="4">
      <x:c r="A4" s="2"/>
      <x:c r="B4" s="2"/>
      <x:c r="C4" s="2"/>
      <x:c r="D4" s="2"/>
      <x:c r="E4" s="2"/>
      <x:c r="F4" s="2"/>
      <x:c r="G4" s="2"/>
      <x:c r="H4" s="2"/>
      <x:c r="I4" s="2"/>
      <x:c r="J4" s="2"/>
    </x:row>
    <x:row r="5" ht="34" customHeight="1">
      <x:c r="A5" s="10" t="str">
        <x:v>编号</x:v>
      </x:c>
      <x:c r="B5" s="10" t="str">
        <x:v>开局港</x:v>
      </x:c>
      <x:c r="C5" s="10" t="str">
        <x:v>身份</x:v>
      </x:c>
      <x:c r="D5" s="10" t="str">
        <x:v>初始资产</x:v>
      </x:c>
      <x:c r="E5" s="10" t="str">
        <x:v>短期目标</x:v>
      </x:c>
      <x:c r="F5" s="10" t="str">
        <x:v>剧情切口</x:v>
      </x:c>
      <x:c r="G5" s="10" t="str">
        <x:v>玩法倾向</x:v>
      </x:c>
      <x:c r="H5" s="10" t="str">
        <x:v>起始船型ID</x:v>
      </x:c>
      <x:c r="I5" s="10" t="str">
        <x:v>起始船型</x:v>
      </x:c>
      <x:c r="J5" s="10" t="str">
        <x:v>起始获得说明</x:v>
      </x:c>
    </x:row>
    <x:row r="6" ht="42" customHeight="1">
      <x:c r="A6" s="12" t="str">
        <x:v>ST01</x:v>
      </x:c>
      <x:c r="B6" s="12" t="str">
        <x:v>里斯本</x:v>
      </x:c>
      <x:c r="C6" s="12" t="str">
        <x:v>没落航海家继承人</x:v>
      </x:c>
      <x:c r="D6" s="12" t="str">
        <x:v>小型远洋帆船、12000银币、2名同行海员</x:v>
      </x:c>
      <x:c r="E6" s="12" t="str">
        <x:v>把旧船修到足以离开近海</x:v>
      </x:c>
      <x:c r="F6" s="12" t="str">
        <x:v>蓝瓷海图和父辈留下的贸易债</x:v>
      </x:c>
      <x:c r="G6" s="12" t="str">
        <x:v>均衡、环球贸易</x:v>
      </x:c>
      <x:c r="H6" s="12" t="str">
        <x:v>S007</x:v>
      </x:c>
      <x:c r="I6" s="12" t="str">
        <x:v>海燕·拉丁帆卡拉维尔</x:v>
      </x:c>
      <x:c r="J6" s="12" t="str">
        <x:v>继承家族旧船，船已属于玩家；出航准备先完成基础修缮，不另付新造船价。</x:v>
      </x:c>
    </x:row>
    <x:row r="7" ht="42" customHeight="1">
      <x:c r="A7" s="15" t="str">
        <x:v>ST02</x:v>
      </x:c>
      <x:c r="B7" s="15" t="str">
        <x:v>亚历山大</x:v>
      </x:c>
      <x:c r="C7" s="15" t="str">
        <x:v>年轻档案修复师</x:v>
      </x:c>
      <x:c r="D7" s="15" t="str">
        <x:v>轻型桨帆船、10000银币、1名学者1名护卫</x:v>
      </x:c>
      <x:c r="E7" s="15" t="str">
        <x:v>寻找一份错页的天文抄本</x:v>
      </x:c>
      <x:c r="F7" s="15" t="str">
        <x:v>沉钟与不同学派的航海记忆</x:v>
      </x:c>
      <x:c r="G7" s="15" t="str">
        <x:v>探索、文化交涉</x:v>
      </x:c>
      <x:c r="H7" s="15" t="str">
        <x:v>S014</x:v>
      </x:c>
      <x:c r="I7" s="15" t="str">
        <x:v>铜雀·轻桨帆战艇</x:v>
      </x:c>
      <x:c r="J7" s="15" t="str">
        <x:v>由档案馆赞助人移交一艘已抵亚历山大的旧战艇；这是起始资产，不要求本港先解锁其制造图纸。</x:v>
      </x:c>
    </x:row>
    <x:row r="8" ht="42" customHeight="1">
      <x:c r="A8" s="13" t="str">
        <x:v>ST03</x:v>
      </x:c>
      <x:c r="B8" s="13" t="str">
        <x:v>桑给巴尔</x:v>
      </x:c>
      <x:c r="C8" s="13" t="str">
        <x:v>季风商船的临时继任船长</x:v>
      </x:c>
      <x:c r="D8" s="13" t="str">
        <x:v>当地缝板帆船、14000银币、2名季风航海者</x:v>
      </x:c>
      <x:c r="E8" s="13" t="str">
        <x:v>赶上下一次阿拉伯海风季</x:v>
      </x:c>
      <x:c r="F8" s="13" t="str">
        <x:v>一封从未送达的信</x:v>
      </x:c>
      <x:c r="G8" s="13" t="str">
        <x:v>季风跑商、地方故事</x:v>
      </x:c>
      <x:c r="H8" s="13" t="str">
        <x:v>S024</x:v>
      </x:c>
      <x:c r="I8" s="13" t="str">
        <x:v>珊瑚针·斯瓦希里缝板帆舟</x:v>
      </x:c>
      <x:c r="J8" s="13" t="str">
        <x:v>接任船长时同时接管当地商团的小船，开局已获得船只与基本帆具。</x:v>
      </x:c>
    </x:row>
    <x:row r="9" ht="42" customHeight="1">
      <x:c r="A9" s="15" t="str">
        <x:v>ST04</x:v>
      </x:c>
      <x:c r="B9" s="15" t="str">
        <x:v>马六甲</x:v>
      </x:c>
      <x:c r="C9" s="15" t="str">
        <x:v>负债船厂的少东家</x:v>
      </x:c>
      <x:c r="D9" s="15" t="str">
        <x:v>区域浅水货船、9000银币、2名工艺海员</x:v>
      </x:c>
      <x:c r="E9" s="15" t="str">
        <x:v>凑齐修复船台的材料</x:v>
      </x:c>
      <x:c r="F9" s="15" t="str">
        <x:v>被卷入香料港迁移和图纸之争</x:v>
      </x:c>
      <x:c r="G9" s="15" t="str">
        <x:v>造船、工坊与岛际航线</x:v>
      </x:c>
      <x:c r="H9" s="15" t="str">
        <x:v>S041</x:v>
      </x:c>
      <x:c r="I9" s="15" t="str">
        <x:v>燕尾·海峡兰查兰</x:v>
      </x:c>
      <x:c r="J9" s="15" t="str">
        <x:v>继承自家船厂最后一艘可航行的样船，以其跑商收入修复岸上船台。</x:v>
      </x:c>
    </x:row>
    <x:row r="10" ht="42" customHeight="1">
      <x:c r="A10" s="13" t="str">
        <x:v>ST05</x:v>
      </x:c>
      <x:c r="B10" s="13" t="str">
        <x:v>长崎</x:v>
      </x:c>
      <x:c r="C10" s="13" t="str">
        <x:v>拒绝继承家业的船匠学徒</x:v>
      </x:c>
      <x:c r="D10" s="13" t="str">
        <x:v>小型东亚商船、11000银币、2名同行伙伴</x:v>
      </x:c>
      <x:c r="E10" s="13" t="str">
        <x:v>在海外证明自己的船艺</x:v>
      </x:c>
      <x:c r="F10" s="13" t="str">
        <x:v>无名船匠与跨文化设计</x:v>
      </x:c>
      <x:c r="G10" s="13" t="str">
        <x:v>改造、人物羁绊</x:v>
      </x:c>
      <x:c r="H10" s="13" t="str">
        <x:v>S049</x:v>
      </x:c>
      <x:c r="I10" s="13" t="str">
        <x:v>青鸾·福建福船</x:v>
      </x:c>
      <x:c r="J10" s="13" t="str">
        <x:v>师傅赠予一艘停在长崎的旧福船；起始获得不等于在长崎开放该船的新造权限。</x:v>
      </x:c>
    </x:row>
    <x:row r="11" ht="42" customHeight="1">
      <x:c r="A11" s="16" t="str">
        <x:v>ST06</x:v>
      </x:c>
      <x:c r="B11" s="16" t="str">
        <x:v>哈瓦那</x:v>
      </x:c>
      <x:c r="C11" s="16" t="str">
        <x:v>刚获自由执照的私掠航海者</x:v>
      </x:c>
      <x:c r="D11" s="16" t="str">
        <x:v>轻快护航船、10000银币、2名战斗海员</x:v>
      </x:c>
      <x:c r="E11" s="16" t="str">
        <x:v>靠合法护航保住整船伙伴</x:v>
      </x:c>
      <x:c r="F11" s="16" t="str">
        <x:v>假面舞会和风暴后的账本</x:v>
      </x:c>
      <x:c r="G11" s="16" t="str">
        <x:v>海战、追逐、外交</x:v>
      </x:c>
      <x:c r="H11" s="16" t="str">
        <x:v>S059</x:v>
      </x:c>
      <x:c r="I11" s="16" t="str">
        <x:v>糖雾·加勒比单桅船</x:v>
      </x:c>
      <x:c r="J11" s="16" t="str">
        <x:v>与伙伴共同购得的现成单桅船已计入起始资产，开局现金不再重复扣船价。</x:v>
      </x:c>
    </x:row>
    <x:row r="12">
      <x:c r="A12" s="2"/>
      <x:c r="B12" s="2"/>
      <x:c r="C12" s="2"/>
      <x:c r="D12" s="2"/>
      <x:c r="E12" s="2"/>
      <x:c r="F12" s="2"/>
      <x:c r="G12" s="2"/>
      <x:c r="H12" s="2"/>
      <x:c r="I12" s="2"/>
      <x:c r="J12" s="2"/>
    </x:row>
  </x:sheetData>
  <x:pageMargins left="0.7" right="0.7" top="0.75" bottom="0.75" header="0.3" footer="0.3"/>
  <x:tableParts count="1">
    <x:tablePart xmlns:r="http://schemas.openxmlformats.org/officeDocument/2006/relationships" r:id="R86d794b4ecd847e0"/>
  </x:tableParts>
</x:worksheet>
</file>

<file path=xl/worksheets/sheet34.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31" hidden="0" customWidth="1"/>
    <x:col min="3" max="3" width="79" hidden="0" customWidth="1"/>
    <x:col min="4" max="4" width="91" hidden="0" customWidth="1"/>
    <x:col min="5" max="5" width="95" hidden="0" customWidth="1"/>
  </x:cols>
  <x:sheetData>
    <x:row r="1">
      <x:c r="A1" s="2"/>
      <x:c r="B1" s="2"/>
      <x:c r="C1" s="2"/>
      <x:c r="D1" s="2"/>
      <x:c r="E1" s="2"/>
    </x:row>
    <x:row r="2" ht="28" customHeight="1">
      <x:c r="A2" s="3" t="str">
        <x:v>港口活动与设施用途</x:v>
      </x:c>
      <x:c r="B2" s="2"/>
      <x:c r="C2" s="2"/>
      <x:c r="D2" s="2"/>
      <x:c r="E2" s="2"/>
    </x:row>
    <x:row r="3">
      <x:c r="A3" s="2"/>
      <x:c r="B3" s="2"/>
      <x:c r="C3" s="2"/>
      <x:c r="D3" s="2"/>
      <x:c r="E3" s="2"/>
    </x:row>
    <x:row r="4">
      <x:c r="A4" s="2"/>
      <x:c r="B4" s="2"/>
      <x:c r="C4" s="2"/>
      <x:c r="D4" s="2"/>
      <x:c r="E4" s="2"/>
    </x:row>
    <x:row r="5" ht="34" customHeight="1">
      <x:c r="A5" s="10" t="str">
        <x:v>编号</x:v>
      </x:c>
      <x:c r="B5" s="10" t="str">
        <x:v>设施</x:v>
      </x:c>
      <x:c r="C5" s="10" t="str">
        <x:v>港口条件</x:v>
      </x:c>
      <x:c r="D5" s="10" t="str">
        <x:v>功能</x:v>
      </x:c>
      <x:c r="E5" s="10" t="str">
        <x:v>代表内容</x:v>
      </x:c>
    </x:row>
    <x:row r="6" ht="31" customHeight="1">
      <x:c r="A6" s="12" t="str">
        <x:v>SV01</x:v>
      </x:c>
      <x:c r="B6" s="12" t="str">
        <x:v>交易所</x:v>
      </x:c>
      <x:c r="C6" s="12" t="str">
        <x:v>所有港口</x:v>
      </x:c>
      <x:c r="D6" s="12" t="str">
        <x:v>采购、出售、货批与行情日期</x:v>
      </x:c>
      <x:c r="E6" s="12" t="str">
        <x:v>基础商品、异域特产、合同交付</x:v>
      </x:c>
    </x:row>
    <x:row r="7" ht="31" customHeight="1">
      <x:c r="A7" s="15" t="str">
        <x:v>SV02</x:v>
      </x:c>
      <x:c r="B7" s="15" t="str">
        <x:v>补给码头</x:v>
      </x:c>
      <x:c r="C7" s="15" t="str">
        <x:v>所有港口</x:v>
      </x:c>
      <x:c r="D7" s="15" t="str">
        <x:v>补水、食品、普通水手和靠泊</x:v>
      </x:c>
      <x:c r="E7" s="15" t="str">
        <x:v>按下一段航程推荐装载</x:v>
      </x:c>
    </x:row>
    <x:row r="8" ht="31" customHeight="1">
      <x:c r="A8" s="13" t="str">
        <x:v>SV03</x:v>
      </x:c>
      <x:c r="B8" s="13" t="str">
        <x:v>船厂</x:v>
      </x:c>
      <x:c r="C8" s="13" t="str">
        <x:v>所有港口有修船；造船看船型关联</x:v>
      </x:c>
      <x:c r="D8" s="13" t="str">
        <x:v>购买、建造、改装、修理与命名</x:v>
      </x:c>
      <x:c r="E8" s="13" t="str">
        <x:v>每个文化船型保持独立轮廓</x:v>
      </x:c>
    </x:row>
    <x:row r="9" ht="31" customHeight="1">
      <x:c r="A9" s="15" t="str">
        <x:v>SV04</x:v>
      </x:c>
      <x:c r="B9" s="15" t="str">
        <x:v>酒馆或茶肆</x:v>
      </x:c>
      <x:c r="C9" s="15" t="str">
        <x:v>有人物活动的港口</x:v>
      </x:c>
      <x:c r="D9" s="15" t="str">
        <x:v>招募、传闻、船上羁绊前置</x:v>
      </x:c>
      <x:c r="E9" s="15" t="str">
        <x:v>同一事件可从不同人的角度听到</x:v>
      </x:c>
    </x:row>
    <x:row r="10" ht="31" customHeight="1">
      <x:c r="A10" s="13" t="str">
        <x:v>SV05</x:v>
      </x:c>
      <x:c r="B10" s="13" t="str">
        <x:v>商馆</x:v>
      </x:c>
      <x:c r="C10" s="13" t="str">
        <x:v>中大港D1</x:v>
      </x:c>
      <x:c r="D10" s="13" t="str">
        <x:v>交易关系、地方订单、仓库租赁</x:v>
      </x:c>
      <x:c r="E10" s="13" t="str">
        <x:v>原料换工艺、跨海节庆</x:v>
      </x:c>
    </x:row>
    <x:row r="11" ht="31" customHeight="1">
      <x:c r="A11" s="15" t="str">
        <x:v>SV06</x:v>
      </x:c>
      <x:c r="B11" s="15" t="str">
        <x:v>海关与港务厅</x:v>
      </x:c>
      <x:c r="C11" s="15" t="str">
        <x:v>中大港</x:v>
      </x:c>
      <x:c r="D11" s="15" t="str">
        <x:v>税率、护航合同、通行与份额</x:v>
      </x:c>
      <x:c r="E11" s="15" t="str">
        <x:v>战争封锁、港口协定</x:v>
      </x:c>
    </x:row>
    <x:row r="12" ht="31" customHeight="1">
      <x:c r="A12" s="13" t="str">
        <x:v>SV07</x:v>
      </x:c>
      <x:c r="B12" s="13" t="str">
        <x:v>工坊</x:v>
      </x:c>
      <x:c r="C12" s="13" t="str">
        <x:v>D2以上且对应地区</x:v>
      </x:c>
      <x:c r="D12" s="13" t="str">
        <x:v>材料加工与改造蓝图</x:v>
      </x:c>
      <x:c r="E12" s="13" t="str">
        <x:v>染布、玻璃、漆器、索具、铜工</x:v>
      </x:c>
    </x:row>
    <x:row r="13" ht="31" customHeight="1">
      <x:c r="A13" s="15" t="str">
        <x:v>SV08</x:v>
      </x:c>
      <x:c r="B13" s="15" t="str">
        <x:v>学院或观测所</x:v>
      </x:c>
      <x:c r="C13" s="15" t="str">
        <x:v>地区学术中心D3</x:v>
      </x:c>
      <x:c r="D13" s="15" t="str">
        <x:v>鉴定、海图、天文和发现报告</x:v>
      </x:c>
      <x:c r="E13" s="15" t="str">
        <x:v>观测器、星潮线索与知识共享</x:v>
      </x:c>
    </x:row>
    <x:row r="14" ht="31" customHeight="1">
      <x:c r="A14" s="13" t="str">
        <x:v>SV09</x:v>
      </x:c>
      <x:c r="B14" s="13" t="str">
        <x:v>船坞</x:v>
      </x:c>
      <x:c r="C14" s="13" t="str">
        <x:v>A2以上</x:v>
      </x:c>
      <x:c r="D14" s="13" t="str">
        <x:v>停放非随行船、安排改装</x:v>
      </x:c>
      <x:c r="E14" s="13" t="str">
        <x:v>重舰停靠条件与升级展示</x:v>
      </x:c>
    </x:row>
    <x:row r="15" ht="31" customHeight="1">
      <x:c r="A15" s="15" t="str">
        <x:v>SV10</x:v>
      </x:c>
      <x:c r="B15" s="15" t="str">
        <x:v>仓库</x:v>
      </x:c>
      <x:c r="C15" s="15" t="str">
        <x:v>D1以上</x:v>
      </x:c>
      <x:c r="D15" s="15" t="str">
        <x:v>储存货物和准备长程订单</x:v>
      </x:c>
      <x:c r="E15" s="15" t="str">
        <x:v>库存批次、保存期、支出</x:v>
      </x:c>
    </x:row>
    <x:row r="16" ht="31" customHeight="1">
      <x:c r="A16" s="13" t="str">
        <x:v>SV11</x:v>
      </x:c>
      <x:c r="B16" s="13" t="str">
        <x:v>市集</x:v>
      </x:c>
      <x:c r="C16" s="13" t="str">
        <x:v>所有港口</x:v>
      </x:c>
      <x:c r="D16" s="13" t="str">
        <x:v>食品、生活片段、个人礼物</x:v>
      </x:c>
      <x:c r="E16" s="13" t="str">
        <x:v>用当地味道建立角色印象</x:v>
      </x:c>
    </x:row>
    <x:row r="17" ht="31" customHeight="1">
      <x:c r="A17" s="15" t="str">
        <x:v>SV12</x:v>
      </x:c>
      <x:c r="B17" s="15" t="str">
        <x:v>驿站</x:v>
      </x:c>
      <x:c r="C17" s="15" t="str">
        <x:v>有内陆探索节点</x:v>
      </x:c>
      <x:c r="D17" s="15" t="str">
        <x:v>组建3—4人的远征队</x:v>
      </x:c>
      <x:c r="E17" s="15" t="str">
        <x:v>向导、食物、地形技能与线索</x:v>
      </x:c>
    </x:row>
    <x:row r="18" ht="31" customHeight="1">
      <x:c r="A18" s="13" t="str">
        <x:v>SV13</x:v>
      </x:c>
      <x:c r="B18" s="13" t="str">
        <x:v>港口住宅</x:v>
      </x:c>
      <x:c r="C18" s="13" t="str">
        <x:v>区域主线中段</x:v>
      </x:c>
      <x:c r="D18" s="13" t="str">
        <x:v>一处自选船长住所、纪念陈列</x:v>
      </x:c>
      <x:c r="E18" s="13" t="str">
        <x:v>海员拜访、旧信和发现图册</x:v>
      </x:c>
    </x:row>
    <x:row r="19" ht="31" customHeight="1">
      <x:c r="A19" s="15" t="str">
        <x:v>SV14</x:v>
      </x:c>
      <x:c r="B19" s="15" t="str">
        <x:v>使馆或议事会</x:v>
      </x:c>
      <x:c r="C19" s="15" t="str">
        <x:v>势力首府</x:v>
      </x:c>
      <x:c r="D19" s="15" t="str">
        <x:v>结盟、停战与议约</x:v>
      </x:c>
      <x:c r="E19" s="15" t="str">
        <x:v>可选区域结局改变以后订单</x:v>
      </x:c>
    </x:row>
    <x:row r="20" ht="31" customHeight="1">
      <x:c r="A20" s="13" t="str">
        <x:v>SV15</x:v>
      </x:c>
      <x:c r="B20" s="13" t="str">
        <x:v>书商</x:v>
      </x:c>
      <x:c r="C20" s="13" t="str">
        <x:v>中大港</x:v>
      </x:c>
      <x:c r="D20" s="13" t="str">
        <x:v>语言、图鉴、日志抄本</x:v>
      </x:c>
      <x:c r="E20" s="13" t="str">
        <x:v>未探明物的线索而非直接坐标</x:v>
      </x:c>
    </x:row>
    <x:row r="21" ht="31" customHeight="1">
      <x:c r="A21" s="16" t="str">
        <x:v>SV16</x:v>
      </x:c>
      <x:c r="B21" s="16" t="str">
        <x:v>剧场或庆典广场</x:v>
      </x:c>
      <x:c r="C21" s="16" t="str">
        <x:v>D3以上</x:v>
      </x:c>
      <x:c r="D21" s="16" t="str">
        <x:v>地方风尚、商品品鉴和人物演出</x:v>
      </x:c>
      <x:c r="E21" s="16" t="str">
        <x:v>消费需求变化与羁绊事件</x:v>
      </x:c>
    </x:row>
    <x:row r="22">
      <x:c r="A22" s="2"/>
      <x:c r="B22" s="2"/>
      <x:c r="C22" s="2"/>
      <x:c r="D22" s="2"/>
      <x:c r="E22" s="2"/>
    </x:row>
  </x:sheetData>
  <x:pageMargins left="0.7" right="0.7" top="0.75" bottom="0.75" header="0.3" footer="0.3"/>
  <x:tableParts count="1">
    <x:tablePart xmlns:r="http://schemas.openxmlformats.org/officeDocument/2006/relationships" r:id="Re0949dfe090f481b"/>
  </x:tableParts>
</x:worksheet>
</file>

<file path=xl/worksheets/sheet35.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30" hidden="0" customWidth="1"/>
    <x:col min="3" max="3" width="100" hidden="0" customWidth="1"/>
    <x:col min="4" max="4" width="80" hidden="0" customWidth="1"/>
    <x:col min="5" max="5" width="80" hidden="0" customWidth="1"/>
    <x:col min="6" max="6" width="90" hidden="0" customWidth="1"/>
  </x:cols>
  <x:sheetData>
    <x:row r="1">
      <x:c r="A1" s="2"/>
      <x:c r="B1" s="2"/>
      <x:c r="C1" s="2"/>
      <x:c r="D1" s="2"/>
      <x:c r="E1" s="2"/>
      <x:c r="F1" s="2"/>
    </x:row>
    <x:row r="2" ht="28" customHeight="1">
      <x:c r="A2" s="3" t="str">
        <x:v>把跑商、海战与人物连接起来的委托</x:v>
      </x:c>
      <x:c r="B2" s="2"/>
      <x:c r="C2" s="2"/>
      <x:c r="D2" s="2"/>
      <x:c r="E2" s="2"/>
      <x:c r="F2" s="2"/>
    </x:row>
    <x:row r="3">
      <x:c r="A3" s="2"/>
      <x:c r="B3" s="2"/>
      <x:c r="C3" s="2"/>
      <x:c r="D3" s="2"/>
      <x:c r="E3" s="2"/>
      <x:c r="F3" s="2"/>
    </x:row>
    <x:row r="4">
      <x:c r="A4" s="2"/>
      <x:c r="B4" s="2"/>
      <x:c r="C4" s="2"/>
      <x:c r="D4" s="2"/>
      <x:c r="E4" s="2"/>
      <x:c r="F4" s="2"/>
    </x:row>
    <x:row r="5" ht="34" customHeight="1">
      <x:c r="A5" s="10" t="str">
        <x:v>编号</x:v>
      </x:c>
      <x:c r="B5" s="10" t="str">
        <x:v>合同类型</x:v>
      </x:c>
      <x:c r="C5" s="10" t="str">
        <x:v>目标与条件</x:v>
      </x:c>
      <x:c r="D5" s="10" t="str">
        <x:v>计价基础</x:v>
      </x:c>
      <x:c r="E5" s="10" t="str">
        <x:v>不同玩法</x:v>
      </x:c>
      <x:c r="F5" s="10" t="str">
        <x:v>失败后续</x:v>
      </x:c>
    </x:row>
    <x:row r="6" ht="31" customHeight="1">
      <x:c r="A6" s="12" t="str">
        <x:v>CT01</x:v>
      </x:c>
      <x:c r="B6" s="12" t="str">
        <x:v>地方供给</x:v>
      </x:c>
      <x:c r="C6" s="12" t="str">
        <x:v>规定时间给缺货港提供指定货物与数量</x:v>
      </x:c>
      <x:c r="D6" s="12" t="str">
        <x:v>货值×1.20+运输日津贴</x:v>
      </x:c>
      <x:c r="E6" s="12" t="str">
        <x:v>短程稳定收入，可用小船</x:v>
      </x:c>
      <x:c r="F6" s="12" t="str">
        <x:v>延期按已交货结算，关系小幅下降</x:v>
      </x:c>
    </x:row>
    <x:row r="7" ht="31" customHeight="1">
      <x:c r="A7" s="15" t="str">
        <x:v>CT02</x:v>
      </x:c>
      <x:c r="B7" s="15" t="str">
        <x:v>产地品牌引介</x:v>
      </x:c>
      <x:c r="C7" s="15" t="str">
        <x:v>将独特特产带到指定文化区并找到买家</x:v>
      </x:c>
      <x:c r="D7" s="15" t="str">
        <x:v>货值×1.35+品牌奖励</x:v>
      </x:c>
      <x:c r="E7" s="15" t="str">
        <x:v>远洋小货高价值，推动新流行</x:v>
      </x:c>
      <x:c r="F7" s="15" t="str">
        <x:v>货物仍可普通出售</x:v>
      </x:c>
    </x:row>
    <x:row r="8" ht="31" customHeight="1">
      <x:c r="A8" s="13" t="str">
        <x:v>CT03</x:v>
      </x:c>
      <x:c r="B8" s="13" t="str">
        <x:v>工坊原料循环</x:v>
      </x:c>
      <x:c r="C8" s="13" t="str">
        <x:v>原料入港后取出加工货，再交第三港</x:v>
      </x:c>
      <x:c r="D8" s="13" t="str">
        <x:v>加工价差+固定委托费</x:v>
      </x:c>
      <x:c r="E8" s="13" t="str">
        <x:v>三点往返，供货与加工时间协同</x:v>
      </x:c>
      <x:c r="F8" s="13" t="str">
        <x:v>改交下一批订单，损失本次预订费</x:v>
      </x:c>
    </x:row>
    <x:row r="9" ht="31" customHeight="1">
      <x:c r="A9" s="15" t="str">
        <x:v>CT04</x:v>
      </x:c>
      <x:c r="B9" s="15" t="str">
        <x:v>护航商队</x:v>
      </x:c>
      <x:c r="C9" s="15" t="str">
        <x:v>在规定海域护送一支有名字的商队</x:v>
      </x:c>
      <x:c r="D9" s="15" t="str">
        <x:v>2000+里程海里×3+目标风险费</x:v>
      </x:c>
      <x:c r="E9" s="15" t="str">
        <x:v>海战以保护目标和路线为主</x:v>
      </x:c>
      <x:c r="F9" s="15" t="str">
        <x:v>存活商船按比例结算</x:v>
      </x:c>
    </x:row>
    <x:row r="10" ht="31" customHeight="1">
      <x:c r="A10" s="13" t="str">
        <x:v>CT05</x:v>
      </x:c>
      <x:c r="B10" s="13" t="str">
        <x:v>快速邮船</x:v>
      </x:c>
      <x:c r="C10" s="13" t="str">
        <x:v>携带不占大货舱的消息到下一港</x:v>
      </x:c>
      <x:c r="D10" s="13" t="str">
        <x:v>500+里程海里×2+提前到港奖励</x:v>
      </x:c>
      <x:c r="E10" s="13" t="str">
        <x:v>快船、夜航与季风知识</x:v>
      </x:c>
      <x:c r="F10" s="13" t="str">
        <x:v>逾期仍带来剧情消息，少拿奖金</x:v>
      </x:c>
    </x:row>
    <x:row r="11" ht="31" customHeight="1">
      <x:c r="A11" s="15" t="str">
        <x:v>CT06</x:v>
      </x:c>
      <x:c r="B11" s="15" t="str">
        <x:v>探索赞助</x:v>
      </x:c>
      <x:c r="C11" s="15" t="str">
        <x:v>报告指定类型的发现而非强行给精确坐标</x:v>
      </x:c>
      <x:c r="D11" s="15" t="str">
        <x:v>等级×1200+发现声望</x:v>
      </x:c>
      <x:c r="E11" s="15" t="str">
        <x:v>有方向的自由探索</x:v>
      </x:c>
      <x:c r="F11" s="15" t="str">
        <x:v>发现记录保留，可换别的赞助人</x:v>
      </x:c>
    </x:row>
    <x:row r="12" ht="31" customHeight="1">
      <x:c r="A12" s="13" t="str">
        <x:v>CT07</x:v>
      </x:c>
      <x:c r="B12" s="13" t="str">
        <x:v>紧急重建</x:v>
      </x:c>
      <x:c r="C12" s="13" t="str">
        <x:v>在多种材料中选择组合达成重建点数</x:v>
      </x:c>
      <x:c r="D12" s="13" t="str">
        <x:v>按投入货值与重建贡献结算</x:v>
      </x:c>
      <x:c r="E12" s="13" t="str">
        <x:v>玩家改变哪处设施先恢复</x:v>
      </x:c>
      <x:c r="F12" s="13" t="str">
        <x:v>未完成的城市状态继续发展</x:v>
      </x:c>
    </x:row>
    <x:row r="13" ht="31" customHeight="1">
      <x:c r="A13" s="15" t="str">
        <x:v>CT08</x:v>
      </x:c>
      <x:c r="B13" s="15" t="str">
        <x:v>海员委托</x:v>
      </x:c>
      <x:c r="C13" s="15" t="str">
        <x:v>解决伙伴的具体个人目标</x:v>
      </x:c>
      <x:c r="D13" s="15" t="str">
        <x:v>报酬以技能、关系、蓝图为主</x:v>
      </x:c>
      <x:c r="E13" s="15" t="str">
        <x:v>贸易、探索与海战交叉</x:v>
      </x:c>
      <x:c r="F13" s="15" t="str">
        <x:v>保留人物分歧，下一港可继续</x:v>
      </x:c>
    </x:row>
    <x:row r="14" ht="31" customHeight="1">
      <x:c r="A14" s="13" t="str">
        <x:v>CT09</x:v>
      </x:c>
      <x:c r="B14" s="13" t="str">
        <x:v>文化舰船试航</x:v>
      </x:c>
      <x:c r="C14" s="13" t="str">
        <x:v>规定船型完成载货、浅水、逆风或护航任务</x:v>
      </x:c>
      <x:c r="D14" s="13" t="str">
        <x:v>船价×0.05+工匠好感</x:v>
      </x:c>
      <x:c r="E14" s="13" t="str">
        <x:v>给不同船型真正上场的理由</x:v>
      </x:c>
      <x:c r="F14" s="13" t="str">
        <x:v>修改配置后可再次试航</x:v>
      </x:c>
    </x:row>
    <x:row r="15" ht="31" customHeight="1">
      <x:c r="A15" s="16" t="str">
        <x:v>CT10</x:v>
      </x:c>
      <x:c r="B15" s="16" t="str">
        <x:v>珍品订制</x:v>
      </x:c>
      <x:c r="C15" s="16" t="str">
        <x:v>提供若干地区的精品材料和大师工艺</x:v>
      </x:c>
      <x:c r="D15" s="16" t="str">
        <x:v>材料价×1.5+订制费</x:v>
      </x:c>
      <x:c r="E15" s="16" t="str">
        <x:v>全球贸易收束成独特成品</x:v>
      </x:c>
      <x:c r="F15" s="16" t="str">
        <x:v>材料可取回，已支付工费不退</x:v>
      </x:c>
    </x:row>
    <x:row r="16">
      <x:c r="A16" s="2"/>
      <x:c r="B16" s="2"/>
      <x:c r="C16" s="2"/>
      <x:c r="D16" s="2"/>
      <x:c r="E16" s="2"/>
      <x:c r="F16" s="2"/>
    </x:row>
  </x:sheetData>
  <x:pageMargins left="0.7" right="0.7" top="0.75" bottom="0.75" header="0.3" footer="0.3"/>
  <x:tableParts count="1">
    <x:tablePart xmlns:r="http://schemas.openxmlformats.org/officeDocument/2006/relationships" r:id="Rb0a0af881bec46cd"/>
  </x:tableParts>
</x:worksheet>
</file>

<file path=xl/worksheets/sheet36.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28" hidden="0" customWidth="1"/>
    <x:col min="3" max="3" width="109" hidden="0" customWidth="1"/>
    <x:col min="4" max="4" width="97" hidden="0" customWidth="1"/>
    <x:col min="5" max="5" width="83" hidden="0" customWidth="1"/>
  </x:cols>
  <x:sheetData>
    <x:row r="1">
      <x:c r="A1" s="2"/>
      <x:c r="B1" s="2"/>
      <x:c r="C1" s="2"/>
      <x:c r="D1" s="2"/>
      <x:c r="E1" s="2"/>
    </x:row>
    <x:row r="2" ht="28" customHeight="1">
      <x:c r="A2" s="3" t="str">
        <x:v>HD-2D航海世界的艺术方向</x:v>
      </x:c>
      <x:c r="B2" s="2"/>
      <x:c r="C2" s="2"/>
      <x:c r="D2" s="2"/>
      <x:c r="E2" s="2"/>
    </x:row>
    <x:row r="3">
      <x:c r="A3" s="2"/>
      <x:c r="B3" s="2"/>
      <x:c r="C3" s="2"/>
      <x:c r="D3" s="2"/>
      <x:c r="E3" s="2"/>
    </x:row>
    <x:row r="4">
      <x:c r="A4" s="2"/>
      <x:c r="B4" s="2"/>
      <x:c r="C4" s="2"/>
      <x:c r="D4" s="2"/>
      <x:c r="E4" s="2"/>
    </x:row>
    <x:row r="5" ht="34" customHeight="1">
      <x:c r="A5" s="10" t="str">
        <x:v>编号</x:v>
      </x:c>
      <x:c r="B5" s="10" t="str">
        <x:v>对象</x:v>
      </x:c>
      <x:c r="C5" s="10" t="str">
        <x:v>视觉设计</x:v>
      </x:c>
      <x:c r="D5" s="10" t="str">
        <x:v>场景动作或声音</x:v>
      </x:c>
      <x:c r="E5" s="10" t="str">
        <x:v>与玩法的联系</x:v>
      </x:c>
    </x:row>
    <x:row r="6" ht="31" customHeight="1">
      <x:c r="A6" s="12" t="str">
        <x:v>AD01</x:v>
      </x:c>
      <x:c r="B6" s="12" t="str">
        <x:v>总体画面</x:v>
      </x:c>
      <x:c r="C6" s="12" t="str">
        <x:v>精细像素角色与有真实体积的港城、船舶和海面结合；清楚的色块和材质像素比例，局部体积光。</x:v>
      </x:c>
      <x:c r="D6" s="12" t="str">
        <x:v>海风吹动帆脚、晾衣绳、招牌和发梢，远处钟声与近处码头劳动叠加。</x:v>
      </x:c>
      <x:c r="E6" s="12" t="str">
        <x:v>画面首先读得出港口结构、船型与人物。</x:v>
      </x:c>
    </x:row>
    <x:row r="7" ht="31" customHeight="1">
      <x:c r="A7" s="15" t="str">
        <x:v>AD02</x:v>
      </x:c>
      <x:c r="B7" s="15" t="str">
        <x:v>港城镜头</x:v>
      </x:c>
      <x:c r="C7" s="15" t="str">
        <x:v>正面偏斜的低俯角约28—35度，屋顶不遮住整条街；海关、船厂、酒馆沿可读动线分布。</x:v>
      </x:c>
      <x:c r="D7" s="15" t="str">
        <x:v>角色经过栈桥时前景桅杆短暂掠过，抵港镜头露出海岸地标。</x:v>
      </x:c>
      <x:c r="E7" s="15" t="str">
        <x:v>同一城市可直接认路，投资后新增工坊看得见。</x:v>
      </x:c>
    </x:row>
    <x:row r="8" ht="31" customHeight="1">
      <x:c r="A8" s="13" t="str">
        <x:v>AD03</x:v>
      </x:c>
      <x:c r="B8" s="13" t="str">
        <x:v>海战镜头</x:v>
      </x:c>
      <x:c r="C8" s="13" t="str">
        <x:v>约35—45度斜俯视，可旋转到侧舷观察；船体与帆的轮廓有舞台层次，战术暂停拉开看阵型。</x:v>
      </x:c>
      <x:c r="D8" s="13" t="str">
        <x:v>齐射顺序闪光、烟幕遮帆、炮弹落水前后错层。</x:v>
      </x:c>
      <x:c r="E8" s="13" t="str">
        <x:v>侧舷射界、风向与目标部位清楚可读。</x:v>
      </x:c>
    </x:row>
    <x:row r="9" ht="31" customHeight="1">
      <x:c r="A9" s="15" t="str">
        <x:v>AD04</x:v>
      </x:c>
      <x:c r="B9" s="15" t="str">
        <x:v>远洋海面</x:v>
      </x:c>
      <x:c r="C9" s="15" t="str">
        <x:v>深蓝海脊、浅青大陆架、碎金暮光；海流由泡沫、漂浮物和微弱色差表现。</x:v>
      </x:c>
      <x:c r="D9" s="15" t="str">
        <x:v>浪峰与船头破浪不同节奏，风停后帆布松垂。</x:v>
      </x:c>
      <x:c r="E9" s="15" t="str">
        <x:v>风流不依靠满屏箭头也能被理解。</x:v>
      </x:c>
    </x:row>
    <x:row r="10" ht="31" customHeight="1">
      <x:c r="A10" s="13" t="str">
        <x:v>AD05</x:v>
      </x:c>
      <x:c r="B10" s="13" t="str">
        <x:v>像素角色</x:v>
      </x:c>
      <x:c r="C10" s="13" t="str">
        <x:v>约6—7头身的日式人物比例；衣装剪影和小道具辨识职业，近景剧情使用精致立绘。</x:v>
      </x:c>
      <x:c r="D10" s="13" t="str">
        <x:v>甲板人物会擦镜片、吹凉咖啡、修补布偶或整理剑穗。</x:v>
      </x:c>
      <x:c r="E10" s="13" t="str">
        <x:v>独特海员在实际船上可识别。</x:v>
      </x:c>
    </x:row>
    <x:row r="11" ht="31" customHeight="1">
      <x:c r="A11" s="15" t="str">
        <x:v>AD06</x:v>
      </x:c>
      <x:c r="B11" s="15" t="str">
        <x:v>少年少女</x:v>
      </x:c>
      <x:c r="C11" s="15" t="str">
        <x:v>大领口围巾、短斗篷、宽袖、长袜或灯笼裤；可爱由表情、节奏、道具和性格产生。</x:v>
      </x:c>
      <x:c r="D11" s="15" t="str">
        <x:v>偷尝果酱、比谁先爬上瞭望台、认真记下第一颗星。</x:v>
      </x:c>
      <x:c r="E11" s="15" t="str">
        <x:v>成长与师徒关系形成不同于成年角色的剧情。</x:v>
      </x:c>
    </x:row>
    <x:row r="12" ht="31" customHeight="1">
      <x:c r="A12" s="13" t="str">
        <x:v>AD07</x:v>
      </x:c>
      <x:c r="B12" s="13" t="str">
        <x:v>成熟角色</x:v>
      </x:c>
      <x:c r="C12" s="13" t="str">
        <x:v>御姐有利落腰线与长外套，俊男用手套和剑带表现气度；不让所有角色都穿同一海盗制服。</x:v>
      </x:c>
      <x:c r="D12" s="13" t="str">
        <x:v>坐姿、持杯方式、谈判停顿和站到危险前面的动作各异。</x:v>
      </x:c>
      <x:c r="E12" s="13" t="str">
        <x:v>性格可在招募前读到，职业也容易分辨。</x:v>
      </x:c>
    </x:row>
    <x:row r="13" ht="31" customHeight="1">
      <x:c r="A13" s="15" t="str">
        <x:v>AD08</x:v>
      </x:c>
      <x:c r="B13" s="15" t="str">
        <x:v>年长角色</x:v>
      </x:c>
      <x:c r="C13" s="15" t="str">
        <x:v>白发侧梳、铜扣旧大衣、修复过的航海器具；酷老太可用银辫、披肩和雕花手杖。</x:v>
      </x:c>
      <x:c r="D13" s="15" t="str">
        <x:v>退休不成的抱怨、准确预报风雨、夜间给年轻人改航海日志。</x:v>
      </x:c>
      <x:c r="E13" s="15" t="str">
        <x:v>资历提供知识与指挥能力，不靠年龄堆属性。</x:v>
      </x:c>
    </x:row>
    <x:row r="14" ht="31" customHeight="1">
      <x:c r="A14" s="13" t="str">
        <x:v>AD09</x:v>
      </x:c>
      <x:c r="B14" s="13" t="str">
        <x:v>北海</x:v>
      </x:c>
      <x:c r="C14" s="13" t="str">
        <x:v>冷靛海水、红砖吊仓、蜂蜜色窗光、潮湿木栈桥；雾中露出高耸船尾。</x:v>
      </x:c>
      <x:c r="D14" s="13" t="str">
        <x:v>手风琴与仓库绞盘，雨水落在毛呢肩线。</x:v>
      </x:c>
      <x:c r="E14" s="13" t="str">
        <x:v>木材、帆布、鱼货与高效运输体现地区经济。</x:v>
      </x:c>
    </x:row>
    <x:row r="15" ht="31" customHeight="1">
      <x:c r="A15" s="15" t="str">
        <x:v>AD10</x:v>
      </x:c>
      <x:c r="B15" s="15" t="str">
        <x:v>伊比利亚</x:v>
      </x:c>
      <x:c r="C15" s="15" t="str">
        <x:v>白灰墙、蓝瓷、赭红瓦、宽台阶和修道院轮廓；午后铜色海面。</x:v>
      </x:c>
      <x:c r="D15" s="15" t="str">
        <x:v>吉他、货车、海鸟与出航礼钟。</x:v>
      </x:c>
      <x:c r="E15" s="15" t="str">
        <x:v>远洋出发点的情绪明亮而雄心勃勃。</x:v>
      </x:c>
    </x:row>
    <x:row r="16" ht="31" customHeight="1">
      <x:c r="A16" s="13" t="str">
        <x:v>AD11</x:v>
      </x:c>
      <x:c r="B16" s="13" t="str">
        <x:v>地中海</x:v>
      </x:c>
      <x:c r="C16" s="13" t="str">
        <x:v>石灰岩城墙、拱廊、运河、绸布遮阳、彩绘船艏；水面有珍珠光。</x:v>
      </x:c>
      <x:c r="D16" s="13" t="str">
        <x:v>集市多语叫卖与船坞敲打铜钉。</x:v>
      </x:c>
      <x:c r="E16" s="13" t="str">
        <x:v>工艺、银行、古物和桨帆海战共存。</x:v>
      </x:c>
    </x:row>
    <x:row r="17" ht="31" customHeight="1">
      <x:c r="A17" s="15" t="str">
        <x:v>AD12</x:v>
      </x:c>
      <x:c r="B17" s="15" t="str">
        <x:v>西非</x:v>
      </x:c>
      <x:c r="C17" s="15" t="str">
        <x:v>金色沙嘴、赭土墙、彩织遮篷、河口独木舟与棕榈阴影；地方居民是贸易主体。</x:v>
      </x:c>
      <x:c r="D17" s="15" t="str">
        <x:v>鼓点、磨谷、船板拍浪和市场议价。</x:v>
      </x:c>
      <x:c r="E17" s="15" t="str">
        <x:v>染料、黄金与织物的生产关系具体可见。</x:v>
      </x:c>
    </x:row>
    <x:row r="18" ht="31" customHeight="1">
      <x:c r="A18" s="13" t="str">
        <x:v>AD13</x:v>
      </x:c>
      <x:c r="B18" s="13" t="str">
        <x:v>东非</x:v>
      </x:c>
      <x:c r="C18" s="13" t="str">
        <x:v>珊瑚石墙、雕花木门、白帆与薄荷青浅海；港口接着内陆集市。</x:v>
      </x:c>
      <x:c r="D18" s="13" t="str">
        <x:v>乌德琴、桅杆绳结与黄昏茶摊。</x:v>
      </x:c>
      <x:c r="E18" s="13" t="str">
        <x:v>季风远洋和沿岸小船并列，不做过渡空港。</x:v>
      </x:c>
    </x:row>
    <x:row r="19" ht="31" customHeight="1">
      <x:c r="A19" s="15" t="str">
        <x:v>AD14</x:v>
      </x:c>
      <x:c r="B19" s="15" t="str">
        <x:v>阿拉伯海</x:v>
      </x:c>
      <x:c r="C19" s="15" t="str">
        <x:v>黄铜仪器、白墙碉楼、深色纺织品、蓝绿马赛克；星空大于城市。</x:v>
      </x:c>
      <x:c r="D19" s="15" t="str">
        <x:v>夜航报星、咖啡烘焙与紧绷帆索。</x:v>
      </x:c>
      <x:c r="E19" s="15" t="str">
        <x:v>天文导航、香料与长距离贸易相互呼应。</x:v>
      </x:c>
    </x:row>
    <x:row r="20" ht="31" customHeight="1">
      <x:c r="A20" s="13" t="str">
        <x:v>AD15</x:v>
      </x:c>
      <x:c r="B20" s="13" t="str">
        <x:v>印度</x:v>
      </x:c>
      <x:c r="C20" s="13" t="str">
        <x:v>彩色柱廊、红土船厂、棉布长廊、湿润季风云；河口拥挤却有清楚航道。</x:v>
      </x:c>
      <x:c r="D20" s="13" t="str">
        <x:v>铜铃、织机和急雨敲瓦。</x:v>
      </x:c>
      <x:c r="E20" s="13" t="str">
        <x:v>纺织品等级、染料工坊与潮汐进港成为主景。</x:v>
      </x:c>
    </x:row>
    <x:row r="21" ht="31" customHeight="1">
      <x:c r="A21" s="15" t="str">
        <x:v>AD16</x:v>
      </x:c>
      <x:c r="B21" s="15" t="str">
        <x:v>东南亚</x:v>
      </x:c>
      <x:c r="C21" s="15" t="str">
        <x:v>高脚屋、坡顶会馆、琉璃灯、湿亮木码头、山后雷云；热带叶影切碎日光。</x:v>
      </x:c>
      <x:c r="D21" s="15" t="str">
        <x:v>雨停后的蛙鸣、货筐滚动与香料研磨。</x:v>
      </x:c>
      <x:c r="E21" s="15" t="str">
        <x:v>浅水船、季风和香料产地控制权产生玩法。</x:v>
      </x:c>
    </x:row>
    <x:row r="22" ht="31" customHeight="1">
      <x:c r="A22" s="13" t="str">
        <x:v>AD17</x:v>
      </x:c>
      <x:c r="B22" s="13" t="str">
        <x:v>东亚</x:v>
      </x:c>
      <x:c r="C22" s="13" t="str">
        <x:v>层叠瓦檐、红灯、黑木栏杆、纸伞与白帆；不同港区保持闽南、江南、日本、琉球、朝鲜差异。</x:v>
      </x:c>
      <x:c r="D22" s="13" t="str">
        <x:v>雨檐、梆子、工匠磨刀和夜间茶肆。</x:v>
      </x:c>
      <x:c r="E22" s="13" t="str">
        <x:v>隔舱、船材、茶瓷与多港文化访问。</x:v>
      </x:c>
    </x:row>
    <x:row r="23" ht="31" customHeight="1">
      <x:c r="A23" s="15" t="str">
        <x:v>AD18</x:v>
      </x:c>
      <x:c r="B23" s="15" t="str">
        <x:v>加勒比</x:v>
      </x:c>
      <x:c r="C23" s="15" t="str">
        <x:v>珊瑚礁渐变水、风化城堡、明亮彩墙与高饱和帆旗；暴雨后像重新洗过。</x:v>
      </x:c>
      <x:c r="D23" s="15" t="str">
        <x:v>酒馆舞曲、鹦鹉、船工和远处闷雷。</x:v>
      </x:c>
      <x:c r="E23" s="15" t="str">
        <x:v>追逐、私掠与港口人情形成热闹张力。</x:v>
      </x:c>
    </x:row>
    <x:row r="24" ht="31" customHeight="1">
      <x:c r="A24" s="13" t="str">
        <x:v>AD19</x:v>
      </x:c>
      <x:c r="B24" s="13" t="str">
        <x:v>南美</x:v>
      </x:c>
      <x:c r="C24" s="13" t="str">
        <x:v>高山与海雾同框，河口红砖、亚马孙水巷、盐滩和港口起重木架。</x:v>
      </x:c>
      <x:c r="D24" s="13" t="str">
        <x:v>市集弦乐、潮鸣与山风。</x:v>
      </x:c>
      <x:c r="E24" s="13" t="str">
        <x:v>不同纬度商品与绕过南端的远航代价可读。</x:v>
      </x:c>
    </x:row>
    <x:row r="25" ht="31" customHeight="1">
      <x:c r="A25" s="15" t="str">
        <x:v>AD20</x:v>
      </x:c>
      <x:c r="B25" s="15" t="str">
        <x:v>太平洋</x:v>
      </x:c>
      <x:c r="C25" s="15" t="str">
        <x:v>靛蓝深海环抱荧青环礁，蟹爪帆和星空倒影；远处火山如岛群灯塔。</x:v>
      </x:c>
      <x:c r="D25" s="15" t="str">
        <x:v>浪与船壳的音色用于讲述岛屿导航知识。</x:v>
      </x:c>
      <x:c r="E25" s="15" t="str">
        <x:v>不靠大型炮舰也能完成高价值远洋发现。</x:v>
      </x:c>
    </x:row>
    <x:row r="26" ht="31" customHeight="1">
      <x:c r="A26" s="13" t="str">
        <x:v>AD21</x:v>
      </x:c>
      <x:c r="B26" s="13" t="str">
        <x:v>港口投资变化</x:v>
      </x:c>
      <x:c r="C26" s="13" t="str">
        <x:v>同一机位见到新仓库、精工灯牌、修复船坞、扩建市集；保留老街与居民生活。</x:v>
      </x:c>
      <x:c r="D26" s="13" t="str">
        <x:v>工匠逐周施工，新工坊开张伴随人物小事件。</x:v>
      </x:c>
      <x:c r="E26" s="13" t="str">
        <x:v>发展度和武装度在场景内有不同反馈。</x:v>
      </x:c>
    </x:row>
    <x:row r="27" ht="31" customHeight="1">
      <x:c r="A27" s="15" t="str">
        <x:v>AD22</x:v>
      </x:c>
      <x:c r="B27" s="15" t="str">
        <x:v>战斗损伤</x:v>
      </x:c>
      <x:c r="C27" s="15" t="str">
        <x:v>破帆露出天空、倾斜桅杆改变轮廓、漏水使船身吃水加深；火花与烟雾点到即止。</x:v>
      </x:c>
      <x:c r="D27" s="15" t="str">
        <x:v>击中不同材质有明显音色区别。</x:v>
      </x:c>
      <x:c r="E27" s="15" t="str">
        <x:v>玩家无需只盯血条判断对方状况。</x:v>
      </x:c>
    </x:row>
    <x:row r="28" ht="31" customHeight="1">
      <x:c r="A28" s="13" t="str">
        <x:v>AD23</x:v>
      </x:c>
      <x:c r="B28" s="13" t="str">
        <x:v>界面语言</x:v>
      </x:c>
      <x:c r="C28" s="13" t="str">
        <x:v>旧海图的细线配清爽的现代排版；价格、货舱、来源和上次观察日期同页呈现。</x:v>
      </x:c>
      <x:c r="D28" s="13" t="str">
        <x:v>翻页、盖章、铅笔写线与轻巧确认音。</x:v>
      </x:c>
      <x:c r="E28" s="13" t="str">
        <x:v>交易与计划信息集中，减少反复进出菜单。</x:v>
      </x:c>
    </x:row>
    <x:row r="29" ht="31" customHeight="1">
      <x:c r="A29" s="16" t="str">
        <x:v>AD24</x:v>
      </x:c>
      <x:c r="B29" s="16" t="str">
        <x:v>星潮奇景</x:v>
      </x:c>
      <x:c r="C29" s="16" t="str">
        <x:v>夜光藻像银河倒映在航迹中，旧观测塔回应特定星位；奇迹保持海洋尺度。</x:v>
      </x:c>
      <x:c r="D29" s="16" t="str">
        <x:v>帆影下安静的人物对话，音乐让位给潮声。</x:v>
      </x:c>
      <x:c r="E29" s="16" t="str">
        <x:v>终章视觉母题连接自然观察与冒险幻想。</x:v>
      </x:c>
    </x:row>
    <x:row r="30">
      <x:c r="A30" s="2"/>
      <x:c r="B30" s="2"/>
      <x:c r="C30" s="2"/>
      <x:c r="D30" s="2"/>
      <x:c r="E30" s="2"/>
    </x:row>
  </x:sheetData>
  <x:pageMargins left="0.7" right="0.7" top="0.75" bottom="0.75" header="0.3" footer="0.3"/>
  <x:tableParts count="1">
    <x:tablePart xmlns:r="http://schemas.openxmlformats.org/officeDocument/2006/relationships" r:id="Rca64d1ce9238409e"/>
  </x:tableParts>
</x:worksheet>
</file>

<file path=xl/worksheets/sheet37.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21" hidden="0" customWidth="1"/>
    <x:col min="2" max="2" width="25" hidden="0" customWidth="1"/>
    <x:col min="3" max="3" width="88" hidden="0" customWidth="1"/>
    <x:col min="4" max="4" width="103" hidden="0" customWidth="1"/>
    <x:col min="5" max="5" width="85" hidden="0" customWidth="1"/>
    <x:col min="6" max="6" width="104" hidden="0" customWidth="1"/>
  </x:cols>
  <x:sheetData>
    <x:row r="1">
      <x:c r="A1" s="2"/>
      <x:c r="B1" s="2"/>
      <x:c r="C1" s="2"/>
      <x:c r="D1" s="2"/>
      <x:c r="E1" s="2"/>
      <x:c r="F1" s="2"/>
    </x:row>
    <x:row r="2" ht="28" customHeight="1">
      <x:c r="A2" s="3" t="str">
        <x:v>参考资料、关联字段与单位</x:v>
      </x:c>
      <x:c r="B2" s="2"/>
      <x:c r="C2" s="2"/>
      <x:c r="D2" s="2"/>
      <x:c r="E2" s="2"/>
      <x:c r="F2" s="2"/>
    </x:row>
    <x:row r="3">
      <x:c r="A3" s="2"/>
      <x:c r="B3" s="2"/>
      <x:c r="C3" s="2"/>
      <x:c r="D3" s="2"/>
      <x:c r="E3" s="2"/>
      <x:c r="F3" s="2"/>
    </x:row>
    <x:row r="4">
      <x:c r="A4" s="2"/>
      <x:c r="B4" s="2"/>
      <x:c r="C4" s="2"/>
      <x:c r="D4" s="2"/>
      <x:c r="E4" s="2"/>
      <x:c r="F4" s="2"/>
    </x:row>
    <x:row r="5" ht="34" customHeight="1">
      <x:c r="A5" s="10" t="str">
        <x:v>编号</x:v>
      </x:c>
      <x:c r="B5" s="10" t="str">
        <x:v>类型</x:v>
      </x:c>
      <x:c r="C5" s="10" t="str">
        <x:v>名称</x:v>
      </x:c>
      <x:c r="D5" s="10" t="str">
        <x:v>含义或支持内容</x:v>
      </x:c>
      <x:c r="E5" s="10" t="str">
        <x:v>使用方式</x:v>
      </x:c>
      <x:c r="F5" s="10" t="str">
        <x:v>链接</x:v>
      </x:c>
    </x:row>
    <x:row r="6" ht="31" customHeight="1">
      <x:c r="A6" s="12" t="str">
        <x:v>WT-G01</x:v>
      </x:c>
      <x:c r="B6" s="12" t="str">
        <x:v>官方游戏资料</x:v>
      </x:c>
      <x:c r="C6" s="12" t="str">
        <x:v>大航海时代IV HD：交易玩法官方手册</x:v>
      </x:c>
      <x:c r="D6" s="12" t="str">
        <x:v>参考各港相场、交易品与黄金航路的玩法关系；本作价格、港口解锁和所有命名均为原创。</x:v>
      </x:c>
      <x:c r="E6" s="12" t="str">
        <x:v>支持相应历史或机制灵感；角色、数值与奖励为原创设计</x:v>
      </x:c>
      <x:c r="F6" s="12" t="str">
        <x:v>https://www.gamecity.ne.jp/manual/dk4HeN38/jp/3300.html</x:v>
      </x:c>
    </x:row>
    <x:row r="7" ht="31" customHeight="1">
      <x:c r="A7" s="15" t="str">
        <x:v>WT-G02</x:v>
      </x:c>
      <x:c r="B7" s="15" t="str">
        <x:v>官方游戏资料</x:v>
      </x:c>
      <x:c r="C7" s="15" t="str">
        <x:v>大航海时代IV HD：交易画面官方手册</x:v>
      </x:c>
      <x:c r="D7" s="15" t="str">
        <x:v>参考特产品与交易界面字段；不复制原作价格表。</x:v>
      </x:c>
      <x:c r="E7" s="15" t="str">
        <x:v>支持相应历史或机制灵感；角色、数值与奖励为原创设计</x:v>
      </x:c>
      <x:c r="F7" s="15" t="str">
        <x:v>https://www.gamecity.ne.jp/manual/dk4HeN38/jp/2300.html</x:v>
      </x:c>
    </x:row>
    <x:row r="8" ht="31" customHeight="1">
      <x:c r="A8" s="13" t="str">
        <x:v>WT-G03</x:v>
      </x:c>
      <x:c r="B8" s="13" t="str">
        <x:v>官方游戏资料</x:v>
      </x:c>
      <x:c r="C8" s="13" t="str">
        <x:v>大航海时代Online：商业与投资介绍</x:v>
      </x:c>
      <x:c r="D8" s="13" t="str">
        <x:v>支持港口投资影响交易条件、增加特产的参考方向。</x:v>
      </x:c>
      <x:c r="E8" s="13" t="str">
        <x:v>支持相应历史或机制灵感；角色、数值与奖励为原创设计</x:v>
      </x:c>
      <x:c r="F8" s="13" t="str">
        <x:v>https://www.gamecity.ne.jp/dol/game/index022.htm</x:v>
      </x:c>
    </x:row>
    <x:row r="9" ht="31" customHeight="1">
      <x:c r="A9" s="15" t="str">
        <x:v>WT-G04</x:v>
      </x:c>
      <x:c r="B9" s="15" t="str">
        <x:v>官方游戏资料</x:v>
      </x:c>
      <x:c r="C9" s="15" t="str">
        <x:v>Sailing Era / 风帆纪元：开发发行方Steam商店说明</x:v>
      </x:c>
      <x:c r="D9" s="15" t="str">
        <x:v>支持港口贸易、委托、招募、投资及发展解锁商品和船只的玩法参照。</x:v>
      </x:c>
      <x:c r="E9" s="15" t="str">
        <x:v>支持相应历史或机制灵感；角色、数值与奖励为原创设计</x:v>
      </x:c>
      <x:c r="F9" s="15" t="str">
        <x:v>https://store.steampowered.com/app/2161440/_Sailing_Era/</x:v>
      </x:c>
    </x:row>
    <x:row r="10" ht="31" customHeight="1">
      <x:c r="A10" s="13" t="str">
        <x:v>WT-H01</x:v>
      </x:c>
      <x:c r="B10" s="13" t="str">
        <x:v>历史与地域</x:v>
      </x:c>
      <x:c r="C10" s="13" t="str">
        <x:v>UNESCO：Bryggen</x:v>
      </x:c>
      <x:c r="D10" s="13" t="str">
        <x:v>支持卑尔根汉萨仓库街与干鳕鱼贸易；不用于证明其他北欧港的单项商品价格。</x:v>
      </x:c>
      <x:c r="E10" s="13" t="str">
        <x:v>支持相应历史或机制灵感；角色、数值与奖励为原创设计</x:v>
      </x:c>
      <x:c r="F10" s="13" t="str">
        <x:v>https://whc.unesco.org/en/list/59</x:v>
      </x:c>
    </x:row>
    <x:row r="11" ht="31" customHeight="1">
      <x:c r="A11" s="15" t="str">
        <x:v>WT-H02</x:v>
      </x:c>
      <x:c r="B11" s="15" t="str">
        <x:v>历史与地域</x:v>
      </x:c>
      <x:c r="C11" s="15" t="str">
        <x:v>UNESCO：Alto Douro Wine Region</x:v>
      </x:c>
      <x:c r="D11" s="15" t="str">
        <x:v>支持杜罗河葡萄酒、波特酒与港口输出的地域联系；18世纪要素用于时代融合。</x:v>
      </x:c>
      <x:c r="E11" s="15" t="str">
        <x:v>支持相应历史或机制灵感；角色、数值与奖励为原创设计</x:v>
      </x:c>
      <x:c r="F11" s="15" t="str">
        <x:v>https://whc.unesco.org/en/list/1046</x:v>
      </x:c>
    </x:row>
    <x:row r="12" ht="31" customHeight="1">
      <x:c r="A12" s="13" t="str">
        <x:v>WT-H03</x:v>
      </x:c>
      <x:c r="B12" s="13" t="str">
        <x:v>历史与地域</x:v>
      </x:c>
      <x:c r="C12" s="13" t="str">
        <x:v>UNESCO：Venice and its Lagoon</x:v>
      </x:c>
      <x:c r="D12" s="13" t="str">
        <x:v>支持威尼斯潟湖城市、海外商站和地中海建筑交流；特产图样为原创。</x:v>
      </x:c>
      <x:c r="E12" s="13" t="str">
        <x:v>支持相应历史或机制灵感；角色、数值与奖励为原创设计</x:v>
      </x:c>
      <x:c r="F12" s="13" t="str">
        <x:v>https://whc.unesco.org/en/list/394/</x:v>
      </x:c>
    </x:row>
    <x:row r="13" ht="31" customHeight="1">
      <x:c r="A13" s="15" t="str">
        <x:v>WT-H04</x:v>
      </x:c>
      <x:c r="B13" s="15" t="str">
        <x:v>历史与地域</x:v>
      </x:c>
      <x:c r="C13" s="15" t="str">
        <x:v>UNESCO：Cidade Velha / Ribeira Grande</x:v>
      </x:c>
      <x:c r="D13" s="15" t="str">
        <x:v>支持佛得角里贝拉格兰德的跨大西洋港口地位与火山岛农港景观；真实殖民与奴役史不被当作商品美化。</x:v>
      </x:c>
      <x:c r="E13" s="15" t="str">
        <x:v>支持相应历史或机制灵感；角色、数值与奖励为原创设计</x:v>
      </x:c>
      <x:c r="F13" s="15" t="str">
        <x:v>https://whc.unesco.org/en/list/1310/</x:v>
      </x:c>
    </x:row>
    <x:row r="14" ht="31" customHeight="1">
      <x:c r="A14" s="13" t="str">
        <x:v>WT-H05</x:v>
      </x:c>
      <x:c r="B14" s="13" t="str">
        <x:v>历史与地域</x:v>
      </x:c>
      <x:c r="C14" s="13" t="str">
        <x:v>UNESCO：Kilwa Kisiwani and Songo Mnara</x:v>
      </x:c>
      <x:c r="D14" s="13" t="str">
        <x:v>支持斯瓦希里海贸、黄金与象牙输出、瓷器与香水输入，以及珊瑚石城景观。</x:v>
      </x:c>
      <x:c r="E14" s="13" t="str">
        <x:v>支持相应历史或机制灵感；角色、数值与奖励为原创设计</x:v>
      </x:c>
      <x:c r="F14" s="13" t="str">
        <x:v>https://whc.unesco.org/en/list/144</x:v>
      </x:c>
    </x:row>
    <x:row r="15" ht="31" customHeight="1">
      <x:c r="A15" s="15" t="str">
        <x:v>WT-H06</x:v>
      </x:c>
      <x:c r="B15" s="15" t="str">
        <x:v>历史与地域</x:v>
      </x:c>
      <x:c r="C15" s="15" t="str">
        <x:v>UNESCO：Land of Frankincense</x:v>
      </x:c>
      <x:c r="D15" s="15" t="str">
        <x:v>支持阿曼乳香产地与商队—港口网络；马斯喀特的售货是区域转口设计。</x:v>
      </x:c>
      <x:c r="E15" s="15" t="str">
        <x:v>支持相应历史或机制灵感；角色、数值与奖励为原创设计</x:v>
      </x:c>
      <x:c r="F15" s="15" t="str">
        <x:v>https://whc.unesco.org/en/list/1010</x:v>
      </x:c>
    </x:row>
    <x:row r="16" ht="31" customHeight="1">
      <x:c r="A16" s="13" t="str">
        <x:v>WT-H07</x:v>
      </x:c>
      <x:c r="B16" s="13" t="str">
        <x:v>历史与地域</x:v>
      </x:c>
      <x:c r="C16" s="13" t="str">
        <x:v>UNESCO：Pearling, Testimony of an Island Economy</x:v>
      </x:c>
      <x:c r="D16" s="13" t="str">
        <x:v>支持波斯湾天然珍珠产业传统；不把巴林遗产地当成霍尔木兹的同一遗址。</x:v>
      </x:c>
      <x:c r="E16" s="13" t="str">
        <x:v>支持相应历史或机制灵感；角色、数值与奖励为原创设计</x:v>
      </x:c>
      <x:c r="F16" s="13" t="str">
        <x:v>https://whc.unesco.org/en/list/1364/</x:v>
      </x:c>
    </x:row>
    <x:row r="17" ht="31" customHeight="1">
      <x:c r="A17" s="15" t="str">
        <x:v>WT-H08</x:v>
      </x:c>
      <x:c r="B17" s="15" t="str">
        <x:v>历史与地域</x:v>
      </x:c>
      <x:c r="C17" s="15" t="str">
        <x:v>UNESCO：Historic Jeddah, the Gate to Makkah</x:v>
      </x:c>
      <x:c r="D17" s="15" t="str">
        <x:v>支持红海贸易、朝觐门户与珊瑚石通风建筑；现存19世纪高层住宅仅作视觉启发，非1500年代原样复刻。</x:v>
      </x:c>
      <x:c r="E17" s="15" t="str">
        <x:v>支持相应历史或机制灵感；角色、数值与奖励为原创设计</x:v>
      </x:c>
      <x:c r="F17" s="15" t="str">
        <x:v>https://whc.unesco.org/en/list/1361/</x:v>
      </x:c>
    </x:row>
    <x:row r="18" ht="31" customHeight="1">
      <x:c r="A18" s="13" t="str">
        <x:v>WT-H09</x:v>
      </x:c>
      <x:c r="B18" s="13" t="str">
        <x:v>博物馆贸易史</x:v>
      </x:c>
      <x:c r="C18" s="13" t="str">
        <x:v>The Met：Interwoven Globe</x:v>
      </x:c>
      <x:c r="D18" s="13" t="str">
        <x:v>支持1500—1800年跨洲纺织贸易以及印度棉布、中印波斯丝织物等货流；本作工坊品牌原创。</x:v>
      </x:c>
      <x:c r="E18" s="13" t="str">
        <x:v>支持相应历史或机制灵感；角色、数值与奖励为原创设计</x:v>
      </x:c>
      <x:c r="F18" s="13" t="str">
        <x:v>https://www.metmuseum.org/exhibitions/listings/2013/interwoven-globe</x:v>
      </x:c>
    </x:row>
    <x:row r="19" ht="31" customHeight="1">
      <x:c r="A19" s="15" t="str">
        <x:v>WT-H10</x:v>
      </x:c>
      <x:c r="B19" s="15" t="str">
        <x:v>博物馆工艺资料</x:v>
      </x:c>
      <x:c r="C19" s="15" t="str">
        <x:v>The Met：Coromandel Coast Petticoat Panel</x:v>
      </x:c>
      <x:c r="D19" s="15" t="str">
        <x:v>支持印度科罗曼德尔印染棉布与跨海消费的联系。</x:v>
      </x:c>
      <x:c r="E19" s="15" t="str">
        <x:v>支持相应历史或机制灵感；角色、数值与奖励为原创设计</x:v>
      </x:c>
      <x:c r="F19" s="15" t="str">
        <x:v>https://www.metmuseum.org/art/collection/search/229993</x:v>
      </x:c>
    </x:row>
    <x:row r="20" ht="31" customHeight="1">
      <x:c r="A20" s="13" t="str">
        <x:v>WT-H11</x:v>
      </x:c>
      <x:c r="B20" s="13" t="str">
        <x:v>历史与地域</x:v>
      </x:c>
      <x:c r="C20" s="13" t="str">
        <x:v>UNESCO：Melaka and George Town</x:v>
      </x:c>
      <x:c r="D20" s="13" t="str">
        <x:v>支持马六甲的跨文化海峡贸易与多层商埠建筑。</x:v>
      </x:c>
      <x:c r="E20" s="13" t="str">
        <x:v>支持相应历史或机制灵感；角色、数值与奖励为原创设计</x:v>
      </x:c>
      <x:c r="F20" s="13" t="str">
        <x:v>https://whc.unesco.org/en/list/1223</x:v>
      </x:c>
    </x:row>
    <x:row r="21" ht="31" customHeight="1">
      <x:c r="A21" s="15" t="str">
        <x:v>WT-H12</x:v>
      </x:c>
      <x:c r="B21" s="15" t="str">
        <x:v>官方预备名录</x:v>
      </x:c>
      <x:c r="C21" s="15" t="str">
        <x:v>UNESCO：Historic and Marine Landscape of the Banda Islands</x:v>
      </x:c>
      <x:c r="D21" s="15" t="str">
        <x:v>支持班达群岛肉豆蔻及肉豆蔻花衣的原产地联系；该页面是预备名录，不写成已列入世界遗产。</x:v>
      </x:c>
      <x:c r="E21" s="15" t="str">
        <x:v>支持相应历史或机制灵感；角色、数值与奖励为原创设计</x:v>
      </x:c>
      <x:c r="F21" s="15" t="str">
        <x:v>https://whc.unesco.org/en/tentativelists/6065</x:v>
      </x:c>
    </x:row>
    <x:row r="22" ht="31" customHeight="1">
      <x:c r="A22" s="13" t="str">
        <x:v>WT-H13</x:v>
      </x:c>
      <x:c r="B22" s="13" t="str">
        <x:v>博物馆工艺资料</x:v>
      </x:c>
      <x:c r="C22" s="13" t="str">
        <x:v>The Met：Nutmeg Grater</x:v>
      </x:c>
      <x:c r="D22" s="13" t="str">
        <x:v>支持肉豆蔻从班达群岛传入欧洲并催生随身香料器具的贸易与工艺联系。</x:v>
      </x:c>
      <x:c r="E22" s="13" t="str">
        <x:v>支持相应历史或机制灵感；角色、数值与奖励为原创设计</x:v>
      </x:c>
      <x:c r="F22" s="13" t="str">
        <x:v>https://www.metmuseum.org/art/collection/search/893676</x:v>
      </x:c>
    </x:row>
    <x:row r="23" ht="31" customHeight="1">
      <x:c r="A23" s="15" t="str">
        <x:v>WT-H14</x:v>
      </x:c>
      <x:c r="B23" s="15" t="str">
        <x:v>历史与地域</x:v>
      </x:c>
      <x:c r="C23" s="15" t="str">
        <x:v>UNESCO：Quanzhou, Emporium of the World</x:v>
      </x:c>
      <x:c r="D23" s="15" t="str">
        <x:v>支持泉州海贸、陶瓷与铁业、码头和腹地连接；宋元历史作为较早文化积累，不声称游戏时代仍保持同等霸主地位。</x:v>
      </x:c>
      <x:c r="E23" s="15" t="str">
        <x:v>支持相应历史或机制灵感；角色、数值与奖励为原创设计</x:v>
      </x:c>
      <x:c r="F23" s="15" t="str">
        <x:v>https://whc.unesco.org/en/list/1561/</x:v>
      </x:c>
    </x:row>
    <x:row r="24" ht="31" customHeight="1">
      <x:c r="A24" s="13" t="str">
        <x:v>WT-H15</x:v>
      </x:c>
      <x:c r="B24" s="13" t="str">
        <x:v>历史与地域</x:v>
      </x:c>
      <x:c r="C24" s="13" t="str">
        <x:v>UNESCO：Old Havana and its Fortification System</x:v>
      </x:c>
      <x:c r="D24" s="13" t="str">
        <x:v>支持哈瓦那港湾、1519年前后建城与堡垒城市语汇；本作商品配额为原创。</x:v>
      </x:c>
      <x:c r="E24" s="13" t="str">
        <x:v>支持相应历史或机制灵感；角色、数值与奖励为原创设计</x:v>
      </x:c>
      <x:c r="F24" s="13" t="str">
        <x:v>https://whc.unesco.org/en/list/204/</x:v>
      </x:c>
    </x:row>
    <x:row r="25" ht="31" customHeight="1">
      <x:c r="A25" s="15" t="str">
        <x:v>WT-H16</x:v>
      </x:c>
      <x:c r="B25" s="15" t="str">
        <x:v>历史与地域</x:v>
      </x:c>
      <x:c r="C25" s="15" t="str">
        <x:v>UNESCO：City of Potosí</x:v>
      </x:c>
      <x:c r="D25" s="15" t="str">
        <x:v>支持南美安第斯银业腹地；卡亚俄和拉普拉塔货流是游戏抽象，并非该页面逐港清单。</x:v>
      </x:c>
      <x:c r="E25" s="15" t="str">
        <x:v>支持相应历史或机制灵感；角色、数值与奖励为原创设计</x:v>
      </x:c>
      <x:c r="F25" s="15" t="str">
        <x:v>https://whc.unesco.org/en/list/420</x:v>
      </x:c>
    </x:row>
    <x:row r="26" ht="31" customHeight="1">
      <x:c r="A26" s="13" t="str">
        <x:v>WT-H17</x:v>
      </x:c>
      <x:c r="B26" s="13" t="str">
        <x:v>博物馆工艺资料</x:v>
      </x:c>
      <x:c r="C26" s="13" t="str">
        <x:v>Te Papa：Tapa, Barkcloth Art in the Pacific</x:v>
      </x:c>
      <x:c r="D26" s="13" t="str">
        <x:v>支持太平洋树皮布材料和制作传统；各港贸易图样与特产品名为原创。</x:v>
      </x:c>
      <x:c r="E26" s="13" t="str">
        <x:v>支持相应历史或机制灵感；角色、数值与奖励为原创设计</x:v>
      </x:c>
      <x:c r="F26" s="13" t="str">
        <x:v>https://www.tepapa.govt.nz/digital-museum/explore-digital-museum/tapa-barkcloth-art-in-the-pacific</x:v>
      </x:c>
    </x:row>
    <x:row r="27" ht="31" customHeight="1">
      <x:c r="A27" s="15" t="str">
        <x:v>WT-H18</x:v>
      </x:c>
      <x:c r="B27" s="15" t="str">
        <x:v>航海文化组织资料</x:v>
      </x:c>
      <x:c r="C27" s="15" t="str">
        <x:v>Polynesian Voyaging Society：Polynesian Wayfinding</x:v>
      </x:c>
      <x:c r="D27" s="15" t="str">
        <x:v>支持通过星、浪、鸟等自然线索导航的文化技术；现代复兴的星盘教学体系不直接当作古代制式物件。</x:v>
      </x:c>
      <x:c r="E27" s="15" t="str">
        <x:v>支持相应历史或机制灵感；角色、数值与奖励为原创设计</x:v>
      </x:c>
      <x:c r="F27" s="15" t="str">
        <x:v>https://hokulea.com/polynesian-wayfinding/</x:v>
      </x:c>
    </x:row>
    <x:row r="28" ht="31" customHeight="1">
      <x:c r="A28" s="13" t="str">
        <x:v>WT-H19</x:v>
      </x:c>
      <x:c r="B28" s="13" t="str">
        <x:v>博物馆贸易史</x:v>
      </x:c>
      <x:c r="C28" s="13" t="str">
        <x:v>Royal Museums Greenwich：A Cup of Char</x:v>
      </x:c>
      <x:c r="D28" s="13" t="str">
        <x:v>支持中国茶贸易与印度大规模茶业年代差异，因此本表不把1500—1780年的印度当成熟茶叶主产区。</x:v>
      </x:c>
      <x:c r="E28" s="13" t="str">
        <x:v>支持相应历史或机制灵感；角色、数值与奖励为原创设计</x:v>
      </x:c>
      <x:c r="F28" s="13" t="str">
        <x:v>https://www.rmg.co.uk/stories/maritime-history/cup-char</x:v>
      </x:c>
    </x:row>
    <x:row r="29" ht="31" customHeight="1">
      <x:c r="A29" s="15" t="str">
        <x:v>WT-H20</x:v>
      </x:c>
      <x:c r="B29" s="15" t="str">
        <x:v>历史与地域</x:v>
      </x:c>
      <x:c r="C29" s="15" t="str">
        <x:v>UNESCO：Forts and Castles, Ghana</x:v>
      </x:c>
      <x:c r="D29" s="15" t="str">
        <x:v>支持埃尔米纳海堡和黄金海岸贸易史；特产品造型原创。</x:v>
      </x:c>
      <x:c r="E29" s="15" t="str">
        <x:v>支持相应历史或机制灵感；角色、数值与奖励为原创设计</x:v>
      </x:c>
      <x:c r="F29" s="15" t="str">
        <x:v>https://whc.unesco.org/en/list/34/</x:v>
      </x:c>
    </x:row>
    <x:row r="30" ht="31" customHeight="1">
      <x:c r="A30" s="13" t="str">
        <x:v>WT-H21</x:v>
      </x:c>
      <x:c r="B30" s="13" t="str">
        <x:v>历史与地域</x:v>
      </x:c>
      <x:c r="C30" s="13" t="str">
        <x:v>UNESCO：Island of Mozambique</x:v>
      </x:c>
      <x:c r="D30" s="13" t="str">
        <x:v>支持莫桑比克珊瑚岛地理及通往印度航路上的商站。</x:v>
      </x:c>
      <x:c r="E30" s="13" t="str">
        <x:v>支持相应历史或机制灵感；角色、数值与奖励为原创设计</x:v>
      </x:c>
      <x:c r="F30" s="13" t="str">
        <x:v>https://whc.unesco.org/en/list/599/</x:v>
      </x:c>
    </x:row>
    <x:row r="31" ht="31" customHeight="1">
      <x:c r="A31" s="15" t="str">
        <x:v>WT-H22</x:v>
      </x:c>
      <x:c r="B31" s="15" t="str">
        <x:v>联合国农业资料</x:v>
      </x:c>
      <x:c r="C31" s="15" t="str">
        <x:v>FAO：Yemen, Where Every Cup of Coffee Tells a Story</x:v>
      </x:c>
      <x:c r="D31" s="15" t="str">
        <x:v>支持也门高地咖啡和摩卡港名称、历史输出中心的关系；不引用现代产量设定游戏经济。</x:v>
      </x:c>
      <x:c r="E31" s="15" t="str">
        <x:v>支持相应历史或机制灵感；角色、数值与奖励为原创设计</x:v>
      </x:c>
      <x:c r="F31" s="15" t="str">
        <x:v>https://www.fao.org/neareast/news/details/yemen--where-every-cup-of-coffee-tells-a-story/en</x:v>
      </x:c>
    </x:row>
    <x:row r="32" ht="31" customHeight="1">
      <x:c r="A32" s="13" t="str">
        <x:v>WT-H23</x:v>
      </x:c>
      <x:c r="B32" s="13" t="str">
        <x:v>历史与地域</x:v>
      </x:c>
      <x:c r="C32" s="13" t="str">
        <x:v>UNESCO：Hoi An Ancient Town</x:v>
      </x:c>
      <x:c r="D32" s="13" t="str">
        <x:v>支持会安15—19世纪贸易港及本土、东亚与欧洲文化相互影响的建筑街巷。</x:v>
      </x:c>
      <x:c r="E32" s="13" t="str">
        <x:v>支持相应历史或机制灵感；角色、数值与奖励为原创设计</x:v>
      </x:c>
      <x:c r="F32" s="13" t="str">
        <x:v>https://whc.unesco.org/en/list/948/</x:v>
      </x:c>
    </x:row>
    <x:row r="33" ht="31" customHeight="1">
      <x:c r="A33" s="15" t="str">
        <x:v>REF_D4_TRADE</x:v>
      </x:c>
      <x:c r="B33" s="15" t="str">
        <x:v>参考资料</x:v>
      </x:c>
      <x:c r="C33" s="15" t="str">
        <x:v>大航海时代IV官方Web手册：交易で稼ぐ</x:v>
      </x:c>
      <x:c r="D33" s="15" t="str">
        <x:v>商业/军事投资、发展解锁商品、地区相场与流行的设计参考</x:v>
      </x:c>
      <x:c r="E33" s="15" t="str">
        <x:v>机制参考；本案数值和商品为原创设计</x:v>
      </x:c>
      <x:c r="F33" s="15" t="str">
        <x:v>https://www.gamecity.ne.jp/manual/dk4HeN38/jp/3300.html</x:v>
      </x:c>
    </x:row>
    <x:row r="34" ht="31" customHeight="1">
      <x:c r="A34" s="13" t="str">
        <x:v>REF_D4_CREW</x:v>
      </x:c>
      <x:c r="B34" s="13" t="str">
        <x:v>参考资料</x:v>
      </x:c>
      <x:c r="C34" s="13" t="str">
        <x:v>大航海时代IV官方Web手册：航海士情報画面</x:v>
      </x:c>
      <x:c r="D34" s="13" t="str">
        <x:v>海员岗位与不同技能关联</x:v>
      </x:c>
      <x:c r="E34" s="13" t="str">
        <x:v>职业结构参考；本案人物全部原创</x:v>
      </x:c>
      <x:c r="F34" s="13" t="str">
        <x:v>https://www.gamecity.ne.jp/manual/dk4HeN38/jp/2800.html</x:v>
      </x:c>
    </x:row>
    <x:row r="35" ht="31" customHeight="1">
      <x:c r="A35" s="15" t="str">
        <x:v>REF_D4_SHIPS</x:v>
      </x:c>
      <x:c r="B35" s="15" t="str">
        <x:v>参考资料</x:v>
      </x:c>
      <x:c r="C35" s="15" t="str">
        <x:v>大航海时代IV官方Web手册：船の購入</x:v>
      </x:c>
      <x:c r="D35" s="15" t="str">
        <x:v>海域差异船型、5船舰队、舱室和帆装改造</x:v>
      </x:c>
      <x:c r="E35" s="15" t="str">
        <x:v>类型参考；本案船型数值另行设计</x:v>
      </x:c>
      <x:c r="F35" s="15" t="str">
        <x:v>https://www.gamecity.ne.jp/manual/dk4HeN38/jp/3400.html</x:v>
      </x:c>
    </x:row>
    <x:row r="36" ht="31" customHeight="1">
      <x:c r="A36" s="13" t="str">
        <x:v>REF_D4_FACTIONS</x:v>
      </x:c>
      <x:c r="B36" s="13" t="str">
        <x:v>参考资料</x:v>
      </x:c>
      <x:c r="C36" s="13" t="str">
        <x:v>大航海时代IV官方Web手册：他勢力との攻防</x:v>
      </x:c>
      <x:c r="D36" s="13" t="str">
        <x:v>势力竞争、和解与交易份额</x:v>
      </x:c>
      <x:c r="E36" s="13" t="str">
        <x:v>玩法参考；不复用原游戏势力设定</x:v>
      </x:c>
      <x:c r="F36" s="13" t="str">
        <x:v>https://www.gamecity.ne.jp/manual/dk4HeN38/jp/3500.html</x:v>
      </x:c>
    </x:row>
    <x:row r="37" ht="31" customHeight="1">
      <x:c r="A37" s="15" t="str">
        <x:v>REF_DOL</x:v>
      </x:c>
      <x:c r="B37" s="15" t="str">
        <x:v>参考资料</x:v>
      </x:c>
      <x:c r="C37" s="15" t="str">
        <x:v>大航海时代Online官方Spice Islands介绍</x:v>
      </x:c>
      <x:c r="D37" s="15" t="str">
        <x:v>香料诸岛港口、文化场景、专用舰选配</x:v>
      </x:c>
      <x:c r="E37" s="15" t="str">
        <x:v>港口与船体工艺扩展参考</x:v>
      </x:c>
      <x:c r="F37" s="15" t="str">
        <x:v>https://www.gamecity.ne.jp/dol/lafrontera/spiceislands1.htm</x:v>
      </x:c>
    </x:row>
    <x:row r="38" ht="31" customHeight="1">
      <x:c r="A38" s="13" t="str">
        <x:v>REF_SE</x:v>
      </x:c>
      <x:c r="B38" s="13" t="str">
        <x:v>参考资料</x:v>
      </x:c>
      <x:c r="C38" s="13" t="str">
        <x:v>风帆纪元开发者/发行商Steam页面</x:v>
      </x:c>
      <x:c r="D38" s="13" t="str">
        <x:v>真实世界地图、季风、港口发展、人物招募、海战与探索相联</x:v>
      </x:c>
      <x:c r="E38" s="13" t="str">
        <x:v>作品机制参考；未复制其数据表</x:v>
      </x:c>
      <x:c r="F38" s="13" t="str">
        <x:v>https://store.steampowered.com/app/2161440/Sailing_Era/</x:v>
      </x:c>
    </x:row>
    <x:row r="39" ht="31" customHeight="1">
      <x:c r="A39" s="15" t="str">
        <x:v>REF_NE</x:v>
      </x:c>
      <x:c r="B39" s="15" t="str">
        <x:v>参考资料</x:v>
      </x:c>
      <x:c r="C39" s="15" t="str">
        <x:v>Natural Earth 110m Land与使用说明</x:v>
      </x:c>
      <x:c r="D39" s="15" t="str">
        <x:v>地图陆地与主要岛屿轮廓</x:v>
      </x:c>
      <x:c r="E39" s="15" t="str">
        <x:v>实际网页底图来源；地图使用近似港口坐标</x:v>
      </x:c>
      <x:c r="F39" s="15" t="str">
        <x:v>https://www.naturalearthdata.com/downloads/110m-physical-vectors/110m-land/</x:v>
      </x:c>
    </x:row>
    <x:row r="40" ht="31" customHeight="1">
      <x:c r="A40" s="13" t="str">
        <x:v>REF_NE_LICENSE</x:v>
      </x:c>
      <x:c r="B40" s="13" t="str">
        <x:v>参考资料</x:v>
      </x:c>
      <x:c r="C40" s="13" t="str">
        <x:v>Natural Earth Terms of Use</x:v>
      </x:c>
      <x:c r="D40" s="13" t="str">
        <x:v>地图数据公有领域许可</x:v>
      </x:c>
      <x:c r="E40" s="13" t="str">
        <x:v>底图署名与分发依据</x:v>
      </x:c>
      <x:c r="F40" s="13" t="str">
        <x:v>https://www.naturalearthdata.com/about/terms-of-use/</x:v>
      </x:c>
    </x:row>
    <x:row r="41" ht="31" customHeight="1">
      <x:c r="A41" s="15" t="str">
        <x:v>ORIGINAL</x:v>
      </x:c>
      <x:c r="B41" s="15" t="str">
        <x:v>参考资料</x:v>
      </x:c>
      <x:c r="C41" s="15" t="str">
        <x:v>本案原创设计</x:v>
      </x:c>
      <x:c r="D41" s="15" t="str">
        <x:v>名称、剧情、海员、数值、解锁、系统规则和组合玩法</x:v>
      </x:c>
      <x:c r="E41" s="15" t="str">
        <x:v>设计提案；不当作历史统计数据</x:v>
      </x:c>
      <x:c r="F41" s="15" t="str"/>
    </x:row>
    <x:row r="42" ht="42" customHeight="1">
      <x:c r="A42" s="13" t="str">
        <x:v>FC00</x:v>
      </x:c>
      <x:c r="B42" s="13" t="str">
        <x:v>原创设计说明</x:v>
      </x:c>
      <x:c r="C42" s="13" t="str">
        <x:v>潮痕：群星之海原创设计</x:v>
      </x:c>
      <x:c r="D42" s="13" t="str">
        <x:v>全部价格、耐久、速度、射程、规则、技能、改造配方、地域变体、遭遇和奖励为原创游戏设计。其他来源仅支撑注明的船型、工艺、文化背景，不为原创数值提供历史证明。</x:v>
      </x:c>
      <x:c r="E42" s="13" t="str">
        <x:v>支持相应历史或机制灵感；角色、数值与奖励为原创设计</x:v>
      </x:c>
      <x:c r="F42" s="13" t="str"/>
    </x:row>
    <x:row r="43" ht="31" customHeight="1">
      <x:c r="A43" s="15" t="str">
        <x:v>FC01</x:v>
      </x:c>
      <x:c r="B43" s="15" t="str">
        <x:v>博物馆／机构官方资料</x:v>
      </x:c>
      <x:c r="C43" s="15" t="str">
        <x:v>Deutsches Historisches Museum：Milestones in the history of European shipbuilding</x:v>
      </x:c>
      <x:c r="D43" s="15" t="str">
        <x:v>欧洲卡拉维尔、卡拉克、盖伦、笛型船、护卫舰与后期战列舰的类型和年代区分；不用于复制船只数值。</x:v>
      </x:c>
      <x:c r="E43" s="15" t="str">
        <x:v>支持相应历史或机制灵感；角色、数值与奖励为原创设计</x:v>
      </x:c>
      <x:c r="F43" s="15" t="str">
        <x:v>https://www.dhm.de/mediathek/en/ship-types/milestones-in-the-history-of-european-shipbuilding/</x:v>
      </x:c>
    </x:row>
    <x:row r="44" ht="31" customHeight="1">
      <x:c r="A44" s="13" t="str">
        <x:v>FC02</x:v>
      </x:c>
      <x:c r="B44" s="13" t="str">
        <x:v>博物馆／机构官方资料</x:v>
      </x:c>
      <x:c r="C44" s="13" t="str">
        <x:v>Het Scheepvaartmuseum：Het Fluitschip vrachtschip van de 17e eeuw</x:v>
      </x:c>
      <x:c r="D44" s="13" t="str">
        <x:v>笛型商船与荷兰、波罗的海贸易的联系；货舱和船员效率转译为原创玩法。</x:v>
      </x:c>
      <x:c r="E44" s="13" t="str">
        <x:v>支持相应历史或机制灵感；角色、数值与奖励为原创设计</x:v>
      </x:c>
      <x:c r="F44" s="13" t="str">
        <x:v>https://www.hetscheepvaartmuseum.nl/collectie/artikelen/701/het-fluitschip-vrachtschip-van-de-17e-eeuw</x:v>
      </x:c>
    </x:row>
    <x:row r="45" ht="31" customHeight="1">
      <x:c r="A45" s="15" t="str">
        <x:v>FC03</x:v>
      </x:c>
      <x:c r="B45" s="15" t="str">
        <x:v>博物馆／机构官方资料</x:v>
      </x:c>
      <x:c r="C45" s="15" t="str">
        <x:v>Royal Museums Greenwich：Richmond class 32-gun frigate model</x:v>
      </x:c>
      <x:c r="D45" s="15" t="str">
        <x:v>18 世纪护卫舰及炮种配置的形态参照；本表型号、价格与射程独立设计。</x:v>
      </x:c>
      <x:c r="E45" s="15" t="str">
        <x:v>支持相应历史或机制灵感；角色、数值与奖励为原创设计</x:v>
      </x:c>
      <x:c r="F45" s="15" t="str">
        <x:v>https://www.rmg.co.uk/collections/objects/rmgc-object-66458</x:v>
      </x:c>
    </x:row>
    <x:row r="46" ht="31" customHeight="1">
      <x:c r="A46" s="13" t="str">
        <x:v>FC04</x:v>
      </x:c>
      <x:c r="B46" s="13" t="str">
        <x:v>博物馆／机构官方资料</x:v>
      </x:c>
      <x:c r="C46" s="13" t="str">
        <x:v>Royal Museums Greenwich：Edinburgh 1721, 70 guns</x:v>
      </x:c>
      <x:c r="D46" s="13" t="str">
        <x:v>后期多炮甲板战舰与混合炮配置参照；不将其前置为 16 世纪史实。</x:v>
      </x:c>
      <x:c r="E46" s="13" t="str">
        <x:v>支持相应历史或机制灵感；角色、数值与奖励为原创设计</x:v>
      </x:c>
      <x:c r="F46" s="13" t="str">
        <x:v>https://www.rmg.co.uk/collections/objects/rmgc-object-66378</x:v>
      </x:c>
    </x:row>
    <x:row r="47" ht="31" customHeight="1">
      <x:c r="A47" s="15" t="str">
        <x:v>FC05</x:v>
      </x:c>
      <x:c r="B47" s="15" t="str">
        <x:v>博物馆／机构官方资料</x:v>
      </x:c>
      <x:c r="C47" s="15" t="str">
        <x:v>The Mariners’ Museum：Galleon</x:v>
      </x:c>
      <x:c r="D47" s="15" t="str">
        <x:v>盖伦形制与从早期远航船发展出的长船体、较低艏楼等视觉方向。</x:v>
      </x:c>
      <x:c r="E47" s="15" t="str">
        <x:v>支持相应历史或机制灵感；角色、数值与奖励为原创设计</x:v>
      </x:c>
      <x:c r="F47" s="15" t="str">
        <x:v>https://exploration.marinersmuseum.org/watercraft/galleon/</x:v>
      </x:c>
    </x:row>
    <x:row r="48" ht="31" customHeight="1">
      <x:c r="A48" s="13" t="str">
        <x:v>FC06</x:v>
      </x:c>
      <x:c r="B48" s="13" t="str">
        <x:v>博物馆／机构官方资料</x:v>
      </x:c>
      <x:c r="C48" s="13" t="str">
        <x:v>Museu Marítim de Barcelona：Réplica de la Galera Real</x:v>
      </x:c>
      <x:c r="D48" s="13" t="str">
        <x:v>16 世纪地中海大桨帆船的长窄船身、桨与拉丁帆组合；模型是现代复原。</x:v>
      </x:c>
      <x:c r="E48" s="13" t="str">
        <x:v>支持相应历史或机制灵感；角色、数值与奖励为原创设计</x:v>
      </x:c>
      <x:c r="F48" s="13" t="str">
        <x:v>https://www.mmb.cat/es/colleccions/embarcaciones/replica-galera-real/</x:v>
      </x:c>
    </x:row>
    <x:row r="49" ht="31" customHeight="1">
      <x:c r="A49" s="15" t="str">
        <x:v>FC07</x:v>
      </x:c>
      <x:c r="B49" s="15" t="str">
        <x:v>博物馆／机构官方资料</x:v>
      </x:c>
      <x:c r="C49" s="15" t="str">
        <x:v>The Mariners’ Museum：Dhow</x:v>
      </x:c>
      <x:c r="D49" s="15" t="str">
        <x:v>Dhow 为印度洋帆船泛称，支撑晚帆与印度洋贸易文化背景；不支撑所有地区变体的具体年代。</x:v>
      </x:c>
      <x:c r="E49" s="15" t="str">
        <x:v>支持相应历史或机制灵感；角色、数值与奖励为原创设计</x:v>
      </x:c>
      <x:c r="F49" s="15" t="str">
        <x:v>https://exploration.marinersmuseum.org/watercraft/dhow/</x:v>
      </x:c>
    </x:row>
    <x:row r="50" ht="31" customHeight="1">
      <x:c r="A50" s="13" t="str">
        <x:v>FC08</x:v>
      </x:c>
      <x:c r="B50" s="13" t="str">
        <x:v>博物馆／机构官方资料</x:v>
      </x:c>
      <x:c r="C50" s="13" t="str">
        <x:v>Royal Museums Greenwich：Sambuk and sewn sambuk visual records</x:v>
      </x:c>
      <x:c r="D50" s="13" t="str">
        <x:v>Sambuk 类型参照；其具体时代不强制当作 16 世纪标准船。缝板形态另见博物馆 Alan Villiers 的相关馆藏照片。</x:v>
      </x:c>
      <x:c r="E50" s="13" t="str">
        <x:v>支持相应历史或机制灵感；角色、数值与奖励为原创设计</x:v>
      </x:c>
      <x:c r="F50" s="13" t="str">
        <x:v>https://www.rmg.co.uk/collections/objects/rmgc-object-536309</x:v>
      </x:c>
    </x:row>
    <x:row r="51" ht="31" customHeight="1">
      <x:c r="A51" s="15" t="str">
        <x:v>FC09</x:v>
      </x:c>
      <x:c r="B51" s="15" t="str">
        <x:v>博物馆／机构官方资料</x:v>
      </x:c>
      <x:c r="C51" s="15" t="str">
        <x:v>UNESCO：Pinisi, art of boatbuilding in South Sulawesi</x:v>
      </x:c>
      <x:c r="D51" s="15" t="str">
        <x:v>Pinisi 指帆装和造船艺术，支撑南苏拉威西造船文化；Jong、其他群岛原创船与七帆游戏机制不据此宣称精准历史复原。</x:v>
      </x:c>
      <x:c r="E51" s="15" t="str">
        <x:v>支持相应历史或机制灵感；角色、数值与奖励为原创设计</x:v>
      </x:c>
      <x:c r="F51" s="15" t="str">
        <x:v>https://ich.unesco.org/en/RL/pinisi-art-of-boatbuilding-in-south-sulawesi-01197</x:v>
      </x:c>
    </x:row>
    <x:row r="52" ht="31" customHeight="1">
      <x:c r="A52" s="13" t="str">
        <x:v>FC10</x:v>
      </x:c>
      <x:c r="B52" s="13" t="str">
        <x:v>博物馆／机构官方资料</x:v>
      </x:c>
      <x:c r="C52" s="13" t="str">
        <x:v>国立海洋科技博物馆：早期船舶特徵</x:v>
      </x:c>
      <x:c r="D52" s="13" t="str">
        <x:v>福船、沙船和早期东亚航船结构、艉舵及混合技术的文化背景。</x:v>
      </x:c>
      <x:c r="E52" s="13" t="str">
        <x:v>支持相应历史或机制灵感；角色、数值与奖励为原创设计</x:v>
      </x:c>
      <x:c r="F52" s="13" t="str">
        <x:v>https://ship.nmmst.gov.tw/ship/content/153</x:v>
      </x:c>
    </x:row>
    <x:row r="53" ht="31" customHeight="1">
      <x:c r="A53" s="15" t="str">
        <x:v>FC11</x:v>
      </x:c>
      <x:c r="B53" s="15" t="str">
        <x:v>博物馆／机构官方资料</x:v>
      </x:c>
      <x:c r="C53" s="15" t="str">
        <x:v>UNESCO：Watertight-bulkhead technology of Chinese junks</x:v>
      </x:c>
      <x:c r="D53" s="15" t="str">
        <x:v>福建水密隔舱工艺；玩法中的封舱、伤害与空间取舍为原创。</x:v>
      </x:c>
      <x:c r="E53" s="15" t="str">
        <x:v>支持相应历史或机制灵感；角色、数值与奖励为原创设计</x:v>
      </x:c>
      <x:c r="F53" s="15" t="str">
        <x:v>https://ich.unesco.org/en/USL/watertight-bulkhead-technology-of-chinese-junks-00321</x:v>
      </x:c>
    </x:row>
    <x:row r="54" ht="42" customHeight="1">
      <x:c r="A54" s="13" t="str">
        <x:v>FC12</x:v>
      </x:c>
      <x:c r="B54" s="13" t="str">
        <x:v>博物馆／机构官方资料</x:v>
      </x:c>
      <x:c r="C54" s="13" t="str">
        <x:v>Science Museum Group：split-lateen armed galley Udenmaa Gamla</x:v>
      </x:c>
      <x:c r="D54" s="13" t="str">
        <x:v>北方桨帆军舰模型的形态参考；群岛炮艇是独立原创地区变体。</x:v>
      </x:c>
      <x:c r="E54" s="13" t="str">
        <x:v>支持相应历史或机制灵感；角色、数值与奖励为原创设计</x:v>
      </x:c>
      <x:c r="F54" s="13" t="str">
        <x:v>https://collection.sciencemuseumgroup.org.uk/objects/co42332/exhibition-model-of-split-lateen-rigged-armed-galley-udenmaa-gamla</x:v>
      </x:c>
    </x:row>
    <x:row r="55" ht="31" customHeight="1">
      <x:c r="A55" s="15" t="str">
        <x:v>FC13</x:v>
      </x:c>
      <x:c r="B55" s="15" t="str">
        <x:v>博物馆／机构官方资料</x:v>
      </x:c>
      <x:c r="C55" s="15" t="str">
        <x:v>长崎市文化财：末次船绘马</x:v>
      </x:c>
      <x:c r="D55" s="15" t="str">
        <x:v>朱印船外观参考和长崎海贸背景；不用于声称朱印船只有一种标准船型。安宅、关船游戏船是另行创作的日本沿岸视觉变体。</x:v>
      </x:c>
      <x:c r="E55" s="15" t="str">
        <x:v>支持相应历史或机制灵感；角色、数值与奖励为原创设计</x:v>
      </x:c>
      <x:c r="F55" s="15" t="str">
        <x:v>https://www.city.nagasaki.lg.jp/page/1107.html</x:v>
      </x:c>
    </x:row>
    <x:row r="56" ht="31" customHeight="1">
      <x:c r="A56" s="13" t="str">
        <x:v>FC14</x:v>
      </x:c>
      <x:c r="B56" s="13" t="str">
        <x:v>博物馆／机构官方资料</x:v>
      </x:c>
      <x:c r="C56" s="13" t="str">
        <x:v>Korea National Maritime Museum：Turtle ship collection record</x:v>
      </x:c>
      <x:c r="D56" s="13" t="str">
        <x:v>板屋船分层与龟船覆盖形态；本设计不以争议中的整船铁甲作为事实。</x:v>
      </x:c>
      <x:c r="E56" s="13" t="str">
        <x:v>支持相应历史或机制灵感；角色、数值与奖励为原创设计</x:v>
      </x:c>
      <x:c r="F56" s="13" t="str">
        <x:v>https://www.mmk.or.kr/mobile/eng/?folder=collection&amp;idx=1163&amp;page=view&amp;type=search</x:v>
      </x:c>
    </x:row>
    <x:row r="57" ht="31" customHeight="1">
      <x:c r="A57" s="15" t="str">
        <x:v>FC15</x:v>
      </x:c>
      <x:c r="B57" s="15" t="str">
        <x:v>博物馆／机构官方资料</x:v>
      </x:c>
      <x:c r="C57" s="15" t="str">
        <x:v>Bishop Museum：Canoes of Oceania, Special Publication 29</x:v>
      </x:c>
      <x:c r="D57" s="15" t="str">
        <x:v>太平洋支架和双体船传统的比较形态参考；本表具体船型缩放、武器和旗舰为原创融合。</x:v>
      </x:c>
      <x:c r="E57" s="15" t="str">
        <x:v>支持相应历史或机制灵感；角色、数值与奖励为原创设计</x:v>
      </x:c>
      <x:c r="F57" s="15" t="str">
        <x:v>https://hbs.bishopmuseum.org/pubs-online/pdf/sp29.pdf</x:v>
      </x:c>
    </x:row>
    <x:row r="58" ht="31" customHeight="1">
      <x:c r="A58" s="13" t="str">
        <x:v>FC16</x:v>
      </x:c>
      <x:c r="B58" s="13" t="str">
        <x:v>博物馆／机构官方资料</x:v>
      </x:c>
      <x:c r="C58" s="13" t="str">
        <x:v>Museum of New Zealand Te Papa：Waka hourua</x:v>
      </x:c>
      <x:c r="D58" s="13" t="str">
        <x:v>双体远航舟与复兴航海知识的背景；现代复航不是古代原船证明。</x:v>
      </x:c>
      <x:c r="E58" s="13" t="str">
        <x:v>支持相应历史或机制灵感；角色、数值与奖励为原创设计</x:v>
      </x:c>
      <x:c r="F58" s="13" t="str">
        <x:v>https://www.tepapa.govt.nz/digital-museum/explore-digital-museum/waka-hourua</x:v>
      </x:c>
    </x:row>
    <x:row r="59" ht="31" customHeight="1">
      <x:c r="A59" s="15" t="str">
        <x:v>FC17</x:v>
      </x:c>
      <x:c r="B59" s="15" t="str">
        <x:v>博物馆／机构官方资料</x:v>
      </x:c>
      <x:c r="C59" s="15" t="str">
        <x:v>Guadeloupe Department：Journées européennes du patrimoine 2024, maritime exhibition</x:v>
      </x:c>
      <x:c r="D59" s="15" t="str">
        <x:v>美洲舟船展览涵盖安第斯 Balsa 与美洲独木舟，为轻舟探索方向提供文化参照。</x:v>
      </x:c>
      <x:c r="E59" s="15" t="str">
        <x:v>支持相应历史或机制灵感；角色、数值与奖励为原创设计</x:v>
      </x:c>
      <x:c r="F59" s="15" t="str">
        <x:v>https://www.cg971.fr/evenement/journees-europeennes-du-patrimoine-2024/</x:v>
      </x:c>
    </x:row>
    <x:row r="60" ht="42" customHeight="1">
      <x:c r="A60" s="13" t="str">
        <x:v>FC18</x:v>
      </x:c>
      <x:c r="B60" s="13" t="str">
        <x:v>历史一手文本的公开转录</x:v>
      </x:c>
      <x:c r="C60" s="13" t="str">
        <x:v>Robert Orme：A History of the Military Transactions... Volume 1 Book 5</x:v>
      </x:c>
      <x:c r="D60" s="13" t="str">
        <x:v>历史文本中的 Grab 长艏、浅吃水、前射炮等描述；仅提取船形信息，不沿用叙述者的价值判断；Gallivat 与 Grab 作为后期文化类型。</x:v>
      </x:c>
      <x:c r="E60" s="13" t="str">
        <x:v>支持相应历史或机制灵感；角色、数值与奖励为原创设计</x:v>
      </x:c>
      <x:c r="F60" s="13" t="str">
        <x:v>https://en.wikisource.org/wiki/A_History_of_the_Military_Transactions_of_the_British_Nation_in_Indostan/Volume_1/Book_5</x:v>
      </x:c>
    </x:row>
    <x:row r="61" ht="42" customHeight="1">
      <x:c r="A61" s="15" t="str">
        <x:v>FC19</x:v>
      </x:c>
      <x:c r="B61" s="15" t="str">
        <x:v>海洋考古机构教育资料</x:v>
      </x:c>
      <x:c r="C61" s="15" t="str">
        <x:v>Maritime Archaeology Trust：Mystery Wreck Teaching Pack</x:v>
      </x:c>
      <x:c r="D61" s="15" t="str">
        <x:v>铜包船底的后期帆船工艺背景；铜底星衣为游戏改造。</x:v>
      </x:c>
      <x:c r="E61" s="15" t="str">
        <x:v>支持相应历史或机制灵感；角色、数值与奖励为原创设计</x:v>
      </x:c>
      <x:c r="F61" s="15" t="str">
        <x:v>https://maritimearchaeologytrust.org/wp-content/uploads/2020/05/mysterywreckteachingpack_complete_lowres.pdf</x:v>
      </x:c>
    </x:row>
    <x:row r="62" ht="31" customHeight="1">
      <x:c r="A62" s="13" t="str">
        <x:v>FC20</x:v>
      </x:c>
      <x:c r="B62" s="13" t="str">
        <x:v>博物馆／机构官方资料</x:v>
      </x:c>
      <x:c r="C62" s="13" t="str">
        <x:v>Museum of the American Revolution：Bar Shot, Chain Shot, and Cannonball</x:v>
      </x:c>
      <x:c r="D62" s="13" t="str">
        <x:v>实心弹、杆弹、链弹在舰战中的不同目标用途；命中、装填与伤害倍率为原创。</x:v>
      </x:c>
      <x:c r="E62" s="13" t="str">
        <x:v>支持相应历史或机制灵感；角色、数值与奖励为原创设计</x:v>
      </x:c>
      <x:c r="F62" s="13" t="str">
        <x:v>https://www.amrevmuseum.org/collection/bar-shot-chain-shot-and-cannonball</x:v>
      </x:c>
    </x:row>
    <x:row r="63" ht="31" customHeight="1">
      <x:c r="A63" s="15" t="str">
        <x:v>FC21</x:v>
      </x:c>
      <x:c r="B63" s="15" t="str">
        <x:v>博物馆／机构官方资料</x:v>
      </x:c>
      <x:c r="C63" s="15" t="str">
        <x:v>The Mariners’ Museum：British 3-pound naval carronade</x:v>
      </x:c>
      <x:c r="D63" s="15" t="str">
        <x:v>短重炮这一器型的馆藏参照；本表 18/32 磅变体为原创调参并标后期技术。</x:v>
      </x:c>
      <x:c r="E63" s="15" t="str">
        <x:v>支持相应历史或机制灵感；角色、数值与奖励为原创设计</x:v>
      </x:c>
      <x:c r="F63" s="15" t="str">
        <x:v>https://catalogs.marinersmuseum.org/object/CL25823</x:v>
      </x:c>
    </x:row>
    <x:row r="64" ht="31" customHeight="1">
      <x:c r="A64" s="13" t="str">
        <x:v>FC22</x:v>
      </x:c>
      <x:c r="B64" s="13" t="str">
        <x:v>博物馆／机构官方资料</x:v>
      </x:c>
      <x:c r="C64" s="13" t="str">
        <x:v>National Museum of the Philippines：Lantaka, Of War and Peace</x:v>
      </x:c>
      <x:c r="D64" s="13" t="str">
        <x:v>东南亚 Lantaka 火炮与文化装饰参考；具体游戏旋炮数据原创。</x:v>
      </x:c>
      <x:c r="E64" s="13" t="str">
        <x:v>支持相应历史或机制灵感；角色、数值与奖励为原创设计</x:v>
      </x:c>
      <x:c r="F64" s="13" t="str">
        <x:v>https://www.nationalmuseum.gov.ph/exhibitions/anthropology/lantaka/</x:v>
      </x:c>
    </x:row>
    <x:row r="65" ht="31" customHeight="1">
      <x:c r="A65" s="15" t="str">
        <x:v>FC23</x:v>
      </x:c>
      <x:c r="B65" s="15" t="str">
        <x:v>博物馆／机构官方资料</x:v>
      </x:c>
      <x:c r="C65" s="15" t="str">
        <x:v>Jinju National Museum：Imjin War Hall</x:v>
      </x:c>
      <x:c r="D65" s="15" t="str">
        <x:v>朝鲜传统火炮与天字铳筒的展陈背景；长木矢游戏弹种参考相关兵器传统。</x:v>
      </x:c>
      <x:c r="E65" s="15" t="str">
        <x:v>支持相应历史或机制灵感；角色、数值与奖励为原创设计</x:v>
      </x:c>
      <x:c r="F65" s="15" t="str">
        <x:v>https://jinju.museum.go.kr/eng/html/sub02/020101.html</x:v>
      </x:c>
    </x:row>
    <x:row r="66" ht="31" customHeight="1">
      <x:c r="A66" s="13" t="str">
        <x:v>FC24</x:v>
      </x:c>
      <x:c r="B66" s="13" t="str">
        <x:v>博物馆／机构官方资料</x:v>
      </x:c>
      <x:c r="C66" s="13" t="str">
        <x:v>The Metropolitan Museum of Art：Cannon, Bastard Culverin, Henry II</x:v>
      </x:c>
      <x:c r="D66" s="13" t="str">
        <x:v>长蛇炮类铜炮形态与 16 世纪欧洲火炮背景；游戏九磅炮非该馆藏参数复刻。</x:v>
      </x:c>
      <x:c r="E66" s="13" t="str">
        <x:v>支持相应历史或机制灵感；角色、数值与奖励为原创设计</x:v>
      </x:c>
      <x:c r="F66" s="13" t="str">
        <x:v>https://www.metmuseum.org/art/collection/search/812566</x:v>
      </x:c>
    </x:row>
    <x:row r="67" ht="31" customHeight="1">
      <x:c r="A67" s="15" t="str">
        <x:v>FC25</x:v>
      </x:c>
      <x:c r="B67" s="15" t="str">
        <x:v>博物馆／机构官方资料</x:v>
      </x:c>
      <x:c r="C67" s="15" t="str">
        <x:v>日本国立公文书馆：日本与越南交流，朱印船贸易</x:v>
      </x:c>
      <x:c r="D67" s="15" t="str">
        <x:v>朱印许可贸易制度及日本与东南亚交流，说明朱印船不是单一固定船型。</x:v>
      </x:c>
      <x:c r="E67" s="15" t="str">
        <x:v>支持相应历史或机制灵感；角色、数值与奖励为原创设计</x:v>
      </x:c>
      <x:c r="F67" s="15" t="str">
        <x:v>https://www.archives.go.jp/event/jp_vn45/ch02.html</x:v>
      </x:c>
    </x:row>
    <x:row r="68" ht="31" customHeight="1">
      <x:c r="A68" s="13" t="str">
        <x:v>EX01</x:v>
      </x:c>
      <x:c r="B68" s="13" t="str">
        <x:v>第一方机构资料</x:v>
      </x:c>
      <x:c r="C68" s="13" t="str">
        <x:v>Bryggen</x:v>
      </x:c>
      <x:c r="D68" s="13" t="str">
        <x:v>布吕根木构商贸街区背景。来源不支持游戏人物、谜题步骤、奖励价格或架空组织。</x:v>
      </x:c>
      <x:c r="E68" s="13" t="str">
        <x:v>支持相应历史或机制灵感；角色、数值与奖励为原创设计</x:v>
      </x:c>
      <x:c r="F68" s="13" t="str">
        <x:v>https://whc.unesco.org/en/list/59/</x:v>
      </x:c>
    </x:row>
    <x:row r="69" ht="31" customHeight="1">
      <x:c r="A69" s="15" t="str">
        <x:v>EX02</x:v>
      </x:c>
      <x:c r="B69" s="15" t="str">
        <x:v>第一方机构资料</x:v>
      </x:c>
      <x:c r="C69" s="15" t="str">
        <x:v>Longitude found: Harrison’s timekeepers</x:v>
      </x:c>
      <x:c r="D69" s="15" t="str">
        <x:v>海钟与经度测量的历史背景；原创试件并非H4复刻。来源不支持游戏人物、谜题步骤、奖励价格或架空组织。</x:v>
      </x:c>
      <x:c r="E69" s="15" t="str">
        <x:v>支持相应历史或机制灵感；角色、数值与奖励为原创设计</x:v>
      </x:c>
      <x:c r="F69" s="15" t="str">
        <x:v>https://www.rmg.co.uk/stories/time/harrisons-clocks-longitude-problem</x:v>
      </x:c>
    </x:row>
    <x:row r="70" ht="31" customHeight="1">
      <x:c r="A70" s="13" t="str">
        <x:v>EX03</x:v>
      </x:c>
      <x:c r="B70" s="13" t="str">
        <x:v>第一方机构资料</x:v>
      </x:c>
      <x:c r="C70" s="13" t="str">
        <x:v>Monastery of the Hieronymites and Tower of Belém in Lisbon</x:v>
      </x:c>
      <x:c r="D70" s="13" t="str">
        <x:v>贝伦建筑群及特茹河口地理。来源不支持游戏人物、谜题步骤、奖励价格或架空组织。</x:v>
      </x:c>
      <x:c r="E70" s="13" t="str">
        <x:v>支持相应历史或机制灵感；角色、数值与奖励为原创设计</x:v>
      </x:c>
      <x:c r="F70" s="13" t="str">
        <x:v>https://whc.unesco.org/en/list/263/</x:v>
      </x:c>
    </x:row>
    <x:row r="71" ht="31" customHeight="1">
      <x:c r="A71" s="15" t="str">
        <x:v>EX04</x:v>
      </x:c>
      <x:c r="B71" s="15" t="str">
        <x:v>第一方机构资料</x:v>
      </x:c>
      <x:c r="C71" s="15" t="str">
        <x:v>Venice and its Lagoon</x:v>
      </x:c>
      <x:c r="D71" s="15" t="str">
        <x:v>威尼斯潟湖城市与建筑背景。来源不支持游戏人物、谜题步骤、奖励价格或架空组织。</x:v>
      </x:c>
      <x:c r="E71" s="15" t="str">
        <x:v>支持相应历史或机制灵感；角色、数值与奖励为原创设计</x:v>
      </x:c>
      <x:c r="F71" s="15" t="str">
        <x:v>https://whc.unesco.org/en/list/394/</x:v>
      </x:c>
    </x:row>
    <x:row r="72" ht="31" customHeight="1">
      <x:c r="A72" s="13" t="str">
        <x:v>EX05</x:v>
      </x:c>
      <x:c r="B72" s="13" t="str">
        <x:v>第一方机构资料</x:v>
      </x:c>
      <x:c r="C72" s="13" t="str">
        <x:v>Archaeological Site of Carthage</x:v>
      </x:c>
      <x:c r="D72" s="13" t="str">
        <x:v>迦太基遗址背景，测绘谜题原创。来源不支持游戏人物、谜题步骤、奖励价格或架空组织。</x:v>
      </x:c>
      <x:c r="E72" s="13" t="str">
        <x:v>支持相应历史或机制灵感；角色、数值与奖励为原创设计</x:v>
      </x:c>
      <x:c r="F72" s="13" t="str">
        <x:v>https://whc.unesco.org/en/list/37/</x:v>
      </x:c>
    </x:row>
    <x:row r="73" ht="31" customHeight="1">
      <x:c r="A73" s="15" t="str">
        <x:v>EX06</x:v>
      </x:c>
      <x:c r="B73" s="15" t="str">
        <x:v>第一方机构资料</x:v>
      </x:c>
      <x:c r="C73" s="15" t="str">
        <x:v>Laurisilva of Madeira</x:v>
      </x:c>
      <x:c r="D73" s="15" t="str">
        <x:v>马德拉月桂林生态对象。来源不支持游戏人物、谜题步骤、奖励价格或架空组织。</x:v>
      </x:c>
      <x:c r="E73" s="15" t="str">
        <x:v>支持相应历史或机制灵感；角色、数值与奖励为原创设计</x:v>
      </x:c>
      <x:c r="F73" s="15" t="str">
        <x:v>https://whc.unesco.org/en/list/934/</x:v>
      </x:c>
    </x:row>
    <x:row r="74" ht="31" customHeight="1">
      <x:c r="A74" s="13" t="str">
        <x:v>EX07</x:v>
      </x:c>
      <x:c r="B74" s="13" t="str">
        <x:v>第一方机构资料</x:v>
      </x:c>
      <x:c r="C74" s="13" t="str">
        <x:v>Banc d’Arguin National Park</x:v>
      </x:c>
      <x:c r="D74" s="13" t="str">
        <x:v>阿尔金湾海岸与候鸟生态背景。来源不支持游戏人物、谜题步骤、奖励价格或架空组织。</x:v>
      </x:c>
      <x:c r="E74" s="13" t="str">
        <x:v>支持相应历史或机制灵感；角色、数值与奖励为原创设计</x:v>
      </x:c>
      <x:c r="F74" s="13" t="str">
        <x:v>https://whc.unesco.org/en/list/506/</x:v>
      </x:c>
    </x:row>
    <x:row r="75" ht="31" customHeight="1">
      <x:c r="A75" s="15" t="str">
        <x:v>EX08</x:v>
      </x:c>
      <x:c r="B75" s="15" t="str">
        <x:v>第一方机构资料</x:v>
      </x:c>
      <x:c r="C75" s="15" t="str">
        <x:v>Cidade Velha, Historic Centre of Ribeira Grande</x:v>
      </x:c>
      <x:c r="D75" s="15" t="str">
        <x:v>里贝拉格兰德历史街区地理；人物与任务原创。来源不支持游戏人物、谜题步骤、奖励价格或架空组织。</x:v>
      </x:c>
      <x:c r="E75" s="15" t="str">
        <x:v>支持相应历史或机制灵感；角色、数值与奖励为原创设计</x:v>
      </x:c>
      <x:c r="F75" s="15" t="str">
        <x:v>https://whc.unesco.org/en/list/1310/</x:v>
      </x:c>
    </x:row>
    <x:row r="76" ht="31" customHeight="1">
      <x:c r="A76" s="13" t="str">
        <x:v>EX09</x:v>
      </x:c>
      <x:c r="B76" s="13" t="str">
        <x:v>第一方机构资料</x:v>
      </x:c>
      <x:c r="C76" s="13" t="str">
        <x:v>Ruins of Kilwa Kisiwani and Ruins of Songo Mnara</x:v>
      </x:c>
      <x:c r="D76" s="13" t="str">
        <x:v>基尔瓦珊瑚石建筑与印度洋贸易背景。来源不支持游戏人物、谜题步骤、奖励价格或架空组织。</x:v>
      </x:c>
      <x:c r="E76" s="13" t="str">
        <x:v>支持相应历史或机制灵感；角色、数值与奖励为原创设计</x:v>
      </x:c>
      <x:c r="F76" s="13" t="str">
        <x:v>https://whc.unesco.org/en/list/144/</x:v>
      </x:c>
    </x:row>
    <x:row r="77" ht="31" customHeight="1">
      <x:c r="A77" s="15" t="str">
        <x:v>EX10</x:v>
      </x:c>
      <x:c r="B77" s="15" t="str">
        <x:v>第一方机构资料</x:v>
      </x:c>
      <x:c r="C77" s="15" t="str">
        <x:v>Great Zimbabwe National Monument</x:v>
      </x:c>
      <x:c r="D77" s="15" t="str">
        <x:v>大津巴布韦遗址对象；游戏陆路行程原创。来源不支持游戏人物、谜题步骤、奖励价格或架空组织。</x:v>
      </x:c>
      <x:c r="E77" s="15" t="str">
        <x:v>支持相应历史或机制灵感；角色、数值与奖励为原创设计</x:v>
      </x:c>
      <x:c r="F77" s="15" t="str">
        <x:v>https://whc.unesco.org/en/list/364/</x:v>
      </x:c>
    </x:row>
    <x:row r="78" ht="31" customHeight="1">
      <x:c r="A78" s="13" t="str">
        <x:v>EX11</x:v>
      </x:c>
      <x:c r="B78" s="13" t="str">
        <x:v>第一方机构资料</x:v>
      </x:c>
      <x:c r="C78" s="13" t="str">
        <x:v>Socotra Archipelago</x:v>
      </x:c>
      <x:c r="D78" s="13" t="str">
        <x:v>索科特拉群岛与独特生态背景。来源不支持游戏人物、谜题步骤、奖励价格或架空组织。</x:v>
      </x:c>
      <x:c r="E78" s="13" t="str">
        <x:v>支持相应历史或机制灵感；角色、数值与奖励为原创设计</x:v>
      </x:c>
      <x:c r="F78" s="13" t="str">
        <x:v>https://whc.unesco.org/en/list/1263/</x:v>
      </x:c>
    </x:row>
    <x:row r="79" ht="31" customHeight="1">
      <x:c r="A79" s="15" t="str">
        <x:v>EX12</x:v>
      </x:c>
      <x:c r="B79" s="15" t="str">
        <x:v>第一方机构资料</x:v>
      </x:c>
      <x:c r="C79" s="15" t="str">
        <x:v>Petra</x:v>
      </x:c>
      <x:c r="D79" s="15" t="str">
        <x:v>佩特拉岩雕建筑与集水系统背景。来源不支持游戏人物、谜题步骤、奖励价格或架空组织。</x:v>
      </x:c>
      <x:c r="E79" s="15" t="str">
        <x:v>支持相应历史或机制灵感；角色、数值与奖励为原创设计</x:v>
      </x:c>
      <x:c r="F79" s="15" t="str">
        <x:v>https://whc.unesco.org/en/list/326/</x:v>
      </x:c>
    </x:row>
    <x:row r="80" ht="31" customHeight="1">
      <x:c r="A80" s="13" t="str">
        <x:v>EX13</x:v>
      </x:c>
      <x:c r="B80" s="13" t="str">
        <x:v>第一方机构资料</x:v>
      </x:c>
      <x:c r="C80" s="13" t="str">
        <x:v>Pearling, Testimony of an Island Economy</x:v>
      </x:c>
      <x:c r="D80" s="13" t="str">
        <x:v>海湾采珠传统；仅取工艺背景，不把19世纪城市格局提前照搬。来源不支持游戏人物、谜题步骤、奖励价格或架空组织。</x:v>
      </x:c>
      <x:c r="E80" s="13" t="str">
        <x:v>支持相应历史或机制灵感；角色、数值与奖励为原创设计</x:v>
      </x:c>
      <x:c r="F80" s="13" t="str">
        <x:v>https://whc.unesco.org/en/list/1364/</x:v>
      </x:c>
    </x:row>
    <x:row r="81" ht="31" customHeight="1">
      <x:c r="A81" s="15" t="str">
        <x:v>EX14</x:v>
      </x:c>
      <x:c r="B81" s="15" t="str">
        <x:v>第一方机构资料</x:v>
      </x:c>
      <x:c r="C81" s="15" t="str">
        <x:v>Ancient City of Sigiriya</x:v>
      </x:c>
      <x:c r="D81" s="15" t="str">
        <x:v>锡吉里耶古城对象。来源不支持游戏人物、谜题步骤、奖励价格或架空组织。</x:v>
      </x:c>
      <x:c r="E81" s="15" t="str">
        <x:v>支持相应历史或机制灵感；角色、数值与奖励为原创设计</x:v>
      </x:c>
      <x:c r="F81" s="15" t="str">
        <x:v>https://whc.unesco.org/en/list/202/</x:v>
      </x:c>
    </x:row>
    <x:row r="82" ht="31" customHeight="1">
      <x:c r="A82" s="13" t="str">
        <x:v>EX15</x:v>
      </x:c>
      <x:c r="B82" s="13" t="str">
        <x:v>第一方机构资料</x:v>
      </x:c>
      <x:c r="C82" s="13" t="str">
        <x:v>Melaka and George Town, Historic Cities of the Straits of Malacca</x:v>
      </x:c>
      <x:c r="D82" s="13" t="str">
        <x:v>马六甲海峡港口文化；作品按浪漫架空时代重组。来源不支持游戏人物、谜题步骤、奖励价格或架空组织。</x:v>
      </x:c>
      <x:c r="E82" s="13" t="str">
        <x:v>支持相应历史或机制灵感；角色、数值与奖励为原创设计</x:v>
      </x:c>
      <x:c r="F82" s="13" t="str">
        <x:v>https://whc.unesco.org/en/list/1223/</x:v>
      </x:c>
    </x:row>
    <x:row r="83" ht="31" customHeight="1">
      <x:c r="A83" s="15" t="str">
        <x:v>EX16</x:v>
      </x:c>
      <x:c r="B83" s="15" t="str">
        <x:v>第一方机构资料</x:v>
      </x:c>
      <x:c r="C83" s="15" t="str">
        <x:v>Hoi An Ancient Town</x:v>
      </x:c>
      <x:c r="D83" s="15" t="str">
        <x:v>会安古商埠对象。来源不支持游戏人物、谜题步骤、奖励价格或架空组织。</x:v>
      </x:c>
      <x:c r="E83" s="15" t="str">
        <x:v>支持相应历史或机制灵感；角色、数值与奖励为原创设计</x:v>
      </x:c>
      <x:c r="F83" s="15" t="str">
        <x:v>https://whc.unesco.org/en/list/948/</x:v>
      </x:c>
    </x:row>
    <x:row r="84" ht="31" customHeight="1">
      <x:c r="A84" s="13" t="str">
        <x:v>EX17</x:v>
      </x:c>
      <x:c r="B84" s="13" t="str">
        <x:v>第一方机构资料</x:v>
      </x:c>
      <x:c r="C84" s="13" t="str">
        <x:v>Itsukushima Shinto Shrine</x:v>
      </x:c>
      <x:c r="D84" s="13" t="str">
        <x:v>严岛建筑与海陆景观背景。来源不支持游戏人物、谜题步骤、奖励价格或架空组织。</x:v>
      </x:c>
      <x:c r="E84" s="13" t="str">
        <x:v>支持相应历史或机制灵感；角色、数值与奖励为原创设计</x:v>
      </x:c>
      <x:c r="F84" s="13" t="str">
        <x:v>https://whc.unesco.org/en/list/776/</x:v>
      </x:c>
    </x:row>
    <x:row r="85" ht="31" customHeight="1">
      <x:c r="A85" s="15" t="str">
        <x:v>EX18</x:v>
      </x:c>
      <x:c r="B85" s="15" t="str">
        <x:v>第一方机构资料</x:v>
      </x:c>
      <x:c r="C85" s="15" t="str">
        <x:v>Quanzhou: Emporium of the World in Song-Yuan China</x:v>
      </x:c>
      <x:c r="D85" s="15" t="str">
        <x:v>泉州历史港口、码头、工艺与交通网络。来源不支持游戏人物、谜题步骤、奖励价格或架空组织。</x:v>
      </x:c>
      <x:c r="E85" s="15" t="str">
        <x:v>支持相应历史或机制灵感；角色、数值与奖励为原创设计</x:v>
      </x:c>
      <x:c r="F85" s="15" t="str">
        <x:v>https://whc.unesco.org/en/list/1561/</x:v>
      </x:c>
    </x:row>
    <x:row r="86" ht="31" customHeight="1">
      <x:c r="A86" s="13" t="str">
        <x:v>EX19</x:v>
      </x:c>
      <x:c r="B86" s="13" t="str">
        <x:v>第一方机构资料</x:v>
      </x:c>
      <x:c r="C86" s="13" t="str">
        <x:v>Historic Monuments of Dengfeng in The Centre of Heaven and Earth</x:v>
      </x:c>
      <x:c r="D86" s="13" t="str">
        <x:v>登封历史建筑与观星设施背景。来源不支持游戏人物、谜题步骤、奖励价格或架空组织。</x:v>
      </x:c>
      <x:c r="E86" s="13" t="str">
        <x:v>支持相应历史或机制灵感；角色、数值与奖励为原创设计</x:v>
      </x:c>
      <x:c r="F86" s="13" t="str">
        <x:v>https://whc.unesco.org/en/list/1305/</x:v>
      </x:c>
    </x:row>
    <x:row r="87" ht="31" customHeight="1">
      <x:c r="A87" s="15" t="str">
        <x:v>EX20</x:v>
      </x:c>
      <x:c r="B87" s="15" t="str">
        <x:v>第一方机构资料</x:v>
      </x:c>
      <x:c r="C87" s="15" t="str">
        <x:v>Pre-Hispanic City of Chichen-Itza</x:v>
      </x:c>
      <x:c r="D87" s="15" t="str">
        <x:v>奇琴伊察遗址对象。来源不支持游戏人物、谜题步骤、奖励价格或架空组织。</x:v>
      </x:c>
      <x:c r="E87" s="15" t="str">
        <x:v>支持相应历史或机制灵感；角色、数值与奖励为原创设计</x:v>
      </x:c>
      <x:c r="F87" s="15" t="str">
        <x:v>https://whc.unesco.org/en/list/483/</x:v>
      </x:c>
    </x:row>
    <x:row r="88" ht="31" customHeight="1">
      <x:c r="A88" s="13" t="str">
        <x:v>EX21</x:v>
      </x:c>
      <x:c r="B88" s="13" t="str">
        <x:v>第一方机构资料</x:v>
      </x:c>
      <x:c r="C88" s="13" t="str">
        <x:v>Galápagos Islands</x:v>
      </x:c>
      <x:c r="D88" s="13" t="str">
        <x:v>加拉帕戈斯群岛生态对象；不提前植入19世纪学说剧情。来源不支持游戏人物、谜题步骤、奖励价格或架空组织。</x:v>
      </x:c>
      <x:c r="E88" s="13" t="str">
        <x:v>支持相应历史或机制灵感；角色、数值与奖励为原创设计</x:v>
      </x:c>
      <x:c r="F88" s="13" t="str">
        <x:v>https://whc.unesco.org/en/list/1/</x:v>
      </x:c>
    </x:row>
    <x:row r="89" ht="31" customHeight="1">
      <x:c r="A89" s="15" t="str">
        <x:v>EX22</x:v>
      </x:c>
      <x:c r="B89" s="15" t="str">
        <x:v>第一方机构资料</x:v>
      </x:c>
      <x:c r="C89" s="15" t="str">
        <x:v>Historic Sanctuary of Machu Picchu</x:v>
      </x:c>
      <x:c r="D89" s="15" t="str">
        <x:v>马丘比丘地理、建筑与山地环境背景。来源不支持游戏人物、谜题步骤、奖励价格或架空组织。</x:v>
      </x:c>
      <x:c r="E89" s="15" t="str">
        <x:v>支持相应历史或机制灵感；角色、数值与奖励为原创设计</x:v>
      </x:c>
      <x:c r="F89" s="15" t="str">
        <x:v>https://whc.unesco.org/en/list/274/</x:v>
      </x:c>
    </x:row>
    <x:row r="90" ht="31" customHeight="1">
      <x:c r="A90" s="13" t="str">
        <x:v>EX23</x:v>
      </x:c>
      <x:c r="B90" s="13" t="str">
        <x:v>第一方机构资料</x:v>
      </x:c>
      <x:c r="C90" s="13" t="str">
        <x:v>Iguazu National Park</x:v>
      </x:c>
      <x:c r="D90" s="13" t="str">
        <x:v>伊瓜苏瀑布自然背景。来源不支持游戏人物、谜题步骤、奖励价格或架空组织。</x:v>
      </x:c>
      <x:c r="E90" s="13" t="str">
        <x:v>支持相应历史或机制灵感；角色、数值与奖励为原创设计</x:v>
      </x:c>
      <x:c r="F90" s="13" t="str">
        <x:v>https://whc.unesco.org/en/list/303/</x:v>
      </x:c>
    </x:row>
    <x:row r="91" ht="31" customHeight="1">
      <x:c r="A91" s="15" t="str">
        <x:v>EX24</x:v>
      </x:c>
      <x:c r="B91" s="15" t="str">
        <x:v>第一方机构资料</x:v>
      </x:c>
      <x:c r="C91" s="15" t="str">
        <x:v>Rapa Nui National Park</x:v>
      </x:c>
      <x:c r="D91" s="15" t="str">
        <x:v>拉帕努伊景观与遗址背景；社区创作故事原创。来源不支持游戏人物、谜题步骤、奖励价格或架空组织。</x:v>
      </x:c>
      <x:c r="E91" s="15" t="str">
        <x:v>支持相应历史或机制灵感；角色、数值与奖励为原创设计</x:v>
      </x:c>
      <x:c r="F91" s="15" t="str">
        <x:v>https://whc.unesco.org/en/list/715/</x:v>
      </x:c>
    </x:row>
    <x:row r="92" ht="31" customHeight="1">
      <x:c r="A92" s="13" t="str">
        <x:v>EX25</x:v>
      </x:c>
      <x:c r="B92" s="13" t="str">
        <x:v>第一方机构资料</x:v>
      </x:c>
      <x:c r="C92" s="13" t="str">
        <x:v>Great Barrier Reef</x:v>
      </x:c>
      <x:c r="D92" s="13" t="str">
        <x:v>大堡礁自然对象；任务布点简化。来源不支持游戏人物、谜题步骤、奖励价格或架空组织。</x:v>
      </x:c>
      <x:c r="E92" s="13" t="str">
        <x:v>支持相应历史或机制灵感；角色、数值与奖励为原创设计</x:v>
      </x:c>
      <x:c r="F92" s="13" t="str">
        <x:v>https://whc.unesco.org/en/list/154/</x:v>
      </x:c>
    </x:row>
    <x:row r="93" ht="31" customHeight="1">
      <x:c r="A93" s="15" t="str">
        <x:v>EX26</x:v>
      </x:c>
      <x:c r="B93" s="15" t="str">
        <x:v>第一方机构资料</x:v>
      </x:c>
      <x:c r="C93" s="15" t="str">
        <x:v>What’s the difference between a tide and a current?</x:v>
      </x:c>
      <x:c r="D93" s="15" t="str">
        <x:v>潮汐与海流的区别；不用于声称游戏潮窗为真实预报。来源不支持游戏人物、谜题步骤、奖励价格或架空组织。</x:v>
      </x:c>
      <x:c r="E93" s="15" t="str">
        <x:v>支持相应历史或机制灵感；角色、数值与奖励为原创设计</x:v>
      </x:c>
      <x:c r="F93" s="15" t="str">
        <x:v>https://oceanservice.noaa.gov/facts/tidescurrents.html</x:v>
      </x:c>
    </x:row>
    <x:row r="94" ht="31" customHeight="1">
      <x:c r="A94" s="13" t="str">
        <x:v>EX27</x:v>
      </x:c>
      <x:c r="B94" s="13" t="str">
        <x:v>第一方机构资料</x:v>
      </x:c>
      <x:c r="C94" s="13" t="str">
        <x:v>What is bioluminescence?</x:v>
      </x:c>
      <x:c r="D94" s="13" t="str">
        <x:v>生物发光现象，具体地点与触发剧情原创。来源不支持游戏人物、谜题步骤、奖励价格或架空组织。</x:v>
      </x:c>
      <x:c r="E94" s="13" t="str">
        <x:v>支持相应历史或机制灵感；角色、数值与奖励为原创设计</x:v>
      </x:c>
      <x:c r="F94" s="13" t="str">
        <x:v>https://oceanservice.noaa.gov/facts/biolum.html</x:v>
      </x:c>
    </x:row>
    <x:row r="95" ht="31" customHeight="1">
      <x:c r="A95" s="15" t="str">
        <x:v>EX28</x:v>
      </x:c>
      <x:c r="B95" s="15" t="str">
        <x:v>第一方机构资料</x:v>
      </x:c>
      <x:c r="C95" s="15" t="str">
        <x:v>What is a current?</x:v>
      </x:c>
      <x:c r="D95" s="15" t="str">
        <x:v>海流的风、密度差与潮汐成因背景；游戏航线为简化设计。来源不支持游戏人物、谜题步骤、奖励价格或架空组织。</x:v>
      </x:c>
      <x:c r="E95" s="15" t="str">
        <x:v>支持相应历史或机制灵感；角色、数值与奖励为原创设计</x:v>
      </x:c>
      <x:c r="F95" s="15" t="str">
        <x:v>https://oceanservice.noaa.gov/facts/current.html</x:v>
      </x:c>
    </x:row>
    <x:row r="96" ht="31" customHeight="1">
      <x:c r="A96" s="13" t="str">
        <x:v>EX-WAVE</x:v>
      </x:c>
      <x:c r="B96" s="13" t="str">
        <x:v>第一方机构资料</x:v>
      </x:c>
      <x:c r="C96" s="13" t="str">
        <x:v>Waves</x:v>
      </x:c>
      <x:c r="D96" s="13" t="str">
        <x:v>风浪、涌浪与远距离传播背景；游戏布点、任务、奖励均原创。</x:v>
      </x:c>
      <x:c r="E96" s="13" t="str">
        <x:v>支持相应历史或机制灵感；角色、数值与奖励为原创设计</x:v>
      </x:c>
      <x:c r="F96" s="13" t="str">
        <x:v>https://www.noaa.gov/jetstream/ocean/waves</x:v>
      </x:c>
    </x:row>
    <x:row r="97" ht="31" customHeight="1">
      <x:c r="A97" s="15" t="str">
        <x:v>EX-ELMO</x:v>
      </x:c>
      <x:c r="B97" s="15" t="str">
        <x:v>第一方机构资料</x:v>
      </x:c>
      <x:c r="C97" s="15" t="str">
        <x:v>Weird Ocean Phenomena</x:v>
      </x:c>
      <x:c r="D97" s="15" t="str">
        <x:v>桅杆圣艾尔摩之火为大气电现象的背景；游戏布点、任务、奖励均原创。</x:v>
      </x:c>
      <x:c r="E97" s="15" t="str">
        <x:v>支持相应历史或机制灵感；角色、数值与奖励为原创设计</x:v>
      </x:c>
      <x:c r="F97" s="15" t="str">
        <x:v>https://oceanservice.noaa.gov/ocean/weird-ocean-weather.html</x:v>
      </x:c>
    </x:row>
    <x:row r="98" ht="31" customHeight="1">
      <x:c r="A98" s="13" t="str">
        <x:v>EX-CORAL</x:v>
      </x:c>
      <x:c r="B98" s="13" t="str">
        <x:v>第一方机构资料</x:v>
      </x:c>
      <x:c r="C98" s="13" t="str">
        <x:v>Corallium rubrum</x:v>
      </x:c>
      <x:c r="D98" s="13" t="str">
        <x:v>地中海红珊瑚对象背景；游戏布点、任务、奖励均原创。</x:v>
      </x:c>
      <x:c r="E98" s="13" t="str">
        <x:v>支持相应历史或机制灵感；角色、数值与奖励为原创设计</x:v>
      </x:c>
      <x:c r="F98" s="13" t="str">
        <x:v>https://www.pmel.noaa.gov/co2/file/show/227</x:v>
      </x:c>
    </x:row>
    <x:row r="99" ht="31" customHeight="1">
      <x:c r="A99" s="15" t="str">
        <x:v>EX-AMBER</x:v>
      </x:c>
      <x:c r="B99" s="15" t="str">
        <x:v>第一方机构资料</x:v>
      </x:c>
      <x:c r="C99" s="15" t="str">
        <x:v>Michael Oschin Amber Collection</x:v>
      </x:c>
      <x:c r="D99" s="15" t="str">
        <x:v>波罗的海琥珀中可见植物等内含物的藏品背景；游戏布点、任务、奖励均原创。</x:v>
      </x:c>
      <x:c r="E99" s="15" t="str">
        <x:v>支持相应历史或机制灵感；角色、数值与奖励为原创设计</x:v>
      </x:c>
      <x:c r="F99" s="15" t="str">
        <x:v>https://research.nhm.org/mbc/collections/collection.html?code=amber1</x:v>
      </x:c>
    </x:row>
    <x:row r="100" ht="31" customHeight="1">
      <x:c r="A100" s="13" t="str">
        <x:v>EX29</x:v>
      </x:c>
      <x:c r="B100" s="13" t="str">
        <x:v>第一方机构资料</x:v>
      </x:c>
      <x:c r="C100" s="13" t="str">
        <x:v>Tapa: Barkcloth Art in the Pacific</x:v>
      </x:c>
      <x:c r="D100" s="13" t="str">
        <x:v>太平洋树皮布的材料与制作传统；本作图案、任务步骤及奖励为原创。</x:v>
      </x:c>
      <x:c r="E100" s="13" t="str">
        <x:v>支持相应历史或机制灵感；角色、数值与奖励为原创设计</x:v>
      </x:c>
      <x:c r="F100" s="13" t="str">
        <x:v>https://www.tepapa.govt.nz/digital-museum/explore-digital-museum/tapa-barkcloth-art-in-the-pacific</x:v>
      </x:c>
    </x:row>
    <x:row r="101" ht="31" customHeight="1">
      <x:c r="A101" s="15" t="str">
        <x:v>EX30</x:v>
      </x:c>
      <x:c r="B101" s="15" t="str">
        <x:v>第一方机构资料</x:v>
      </x:c>
      <x:c r="C101" s="15" t="str">
        <x:v>Polynesian Wayfinding</x:v>
      </x:c>
      <x:c r="D101" s="15" t="str">
        <x:v>通过星、浪、鸟等自然线索组织航海知识；本作将其与其他地区原创观测任务相联系，具体仪器、谜题与终章并非来源史实。</x:v>
      </x:c>
      <x:c r="E101" s="15" t="str">
        <x:v>支持相应历史或机制灵感；角色、数值与奖励为原创设计</x:v>
      </x:c>
      <x:c r="F101" s="15" t="str">
        <x:v>https://hokulea.com/polynesian-wayfinding/</x:v>
      </x:c>
    </x:row>
    <x:row r="102" ht="31" customHeight="1">
      <x:c r="A102" s="13" t="str">
        <x:v>EX31</x:v>
      </x:c>
      <x:c r="B102" s="13" t="str">
        <x:v>第一方机构资料</x:v>
      </x:c>
      <x:c r="C102" s="13" t="str">
        <x:v>The Historic and Marine Landscape of the Banda Islands</x:v>
      </x:c>
      <x:c r="D102" s="13" t="str">
        <x:v>班达群岛肉豆蔻及花衣原产地背景；页面为预备名录，分级谜题与奖励为原创。</x:v>
      </x:c>
      <x:c r="E102" s="13" t="str">
        <x:v>支持相应历史或机制灵感；角色、数值与奖励为原创设计</x:v>
      </x:c>
      <x:c r="F102" s="13" t="str">
        <x:v>https://whc.unesco.org/en/tentativelists/6065</x:v>
      </x:c>
    </x:row>
    <x:row r="103" ht="31" customHeight="1">
      <x:c r="A103" s="15" t="str">
        <x:v>EX32</x:v>
      </x:c>
      <x:c r="B103" s="15" t="str">
        <x:v>第一方机构资料</x:v>
      </x:c>
      <x:c r="C103" s="15" t="str">
        <x:v>The Sundarbans</x:v>
      </x:c>
      <x:c r="D103" s="15" t="str">
        <x:v>孟加拉湾孙德尔本斯红树林与潮汐河道的自然背景；访问步骤与图谱奖励为原创。</x:v>
      </x:c>
      <x:c r="E103" s="15" t="str">
        <x:v>支持相应历史或机制灵感；角色、数值与奖励为原创设计</x:v>
      </x:c>
      <x:c r="F103" s="15" t="str">
        <x:v>https://whc.unesco.org/en/list/798/</x:v>
      </x:c>
    </x:row>
    <x:row r="104" ht="31" customHeight="1">
      <x:c r="A104" s="13" t="str">
        <x:v>EX33</x:v>
      </x:c>
      <x:c r="B104" s="13" t="str">
        <x:v>第一方机构资料</x:v>
      </x:c>
      <x:c r="C104" s="13" t="str">
        <x:v>Jeju Volcanic Island and Lava Tubes</x:v>
      </x:c>
      <x:c r="D104" s="13" t="str">
        <x:v>济州火山岛与熔岩管洞穴背景；以声音调查洞段的故事是原创。</x:v>
      </x:c>
      <x:c r="E104" s="13" t="str">
        <x:v>支持相应历史或机制灵感；角色、数值与奖励为原创设计</x:v>
      </x:c>
      <x:c r="F104" s="13" t="str">
        <x:v>https://whc.unesco.org/en/list/1264/</x:v>
      </x:c>
    </x:row>
    <x:row r="105" ht="31" customHeight="1">
      <x:c r="A105" s="15" t="str">
        <x:v>EX34</x:v>
      </x:c>
      <x:c r="B105" s="15" t="str">
        <x:v>第一方机构资料</x:v>
      </x:c>
      <x:c r="C105" s="15" t="str">
        <x:v>Interwoven Globe: The Worldwide Textile Trade, 1500–1800</x:v>
      </x:c>
      <x:c r="D105" s="15" t="str">
        <x:v>近世跨洲纺织贸易与工艺交流背景；苏拉特印花和南京云锦的具体图案、生产任务为本作创作。</x:v>
      </x:c>
      <x:c r="E105" s="15" t="str">
        <x:v>支持相应历史或机制灵感；角色、数值与奖励为原创设计</x:v>
      </x:c>
      <x:c r="F105" s="15" t="str">
        <x:v>https://www.metmuseum.org/exhibitions/listings/2013/interwoven-globe</x:v>
      </x:c>
    </x:row>
    <x:row r="106" ht="31" customHeight="1">
      <x:c r="A106" s="13" t="str">
        <x:v>DESIGN_NOTE_01</x:v>
      </x:c>
      <x:c r="B106" s="13" t="str">
        <x:v>创作口径</x:v>
      </x:c>
      <x:c r="C106" s="13" t="str">
        <x:v>海员原创范围</x:v>
      </x:c>
      <x:c r="D106" s="13" t="str">
        <x:v>72位海员全部原创；日式人物属性结合真实地理文化启发。角色形象只有文字，没有生成肖像。</x:v>
      </x:c>
      <x:c r="E106" s="13" t="str">
        <x:v>内容解释与后续制作</x:v>
      </x:c>
      <x:c r="F106" s="13" t="str"/>
    </x:row>
    <x:row r="107" ht="31" customHeight="1">
      <x:c r="A107" s="15" t="str">
        <x:v>DESIGN_NOTE_02</x:v>
      </x:c>
      <x:c r="B107" s="15" t="str">
        <x:v>创作口径</x:v>
      </x:c>
      <x:c r="C107" s="15" t="str">
        <x:v>时代融合</x:v>
      </x:c>
      <x:c r="D107" s="15" t="str">
        <x:v>1500—1780航海技术与浪漫架空世界融合；不声称港口、传统或人物在某一具体年份同时存在。</x:v>
      </x:c>
      <x:c r="E107" s="15" t="str">
        <x:v>内容解释与后续制作</x:v>
      </x:c>
      <x:c r="F107" s="15" t="str"/>
    </x:row>
    <x:row r="108" ht="31" customHeight="1">
      <x:c r="A108" s="13" t="str">
        <x:v>DESIGN_NOTE_03</x:v>
      </x:c>
      <x:c r="B108" s="13" t="str">
        <x:v>创作口径</x:v>
      </x:c>
      <x:c r="C108" s="13" t="str">
        <x:v>人物六维属性</x:v>
      </x:c>
      <x:c r="D108" s="13" t="str">
        <x:v>航海、炮术、白刃、贸易、学识、统率各1—10，作为初始设计值；能力可以成长，未以严格平衡为目标。</x:v>
      </x:c>
      <x:c r="E108" s="13" t="str">
        <x:v>内容解释与后续制作</x:v>
      </x:c>
      <x:c r="F108" s="13" t="str"/>
    </x:row>
    <x:row r="109" ht="31" customHeight="1">
      <x:c r="A109" s="15" t="str">
        <x:v>DESIGN_NOTE_04</x:v>
      </x:c>
      <x:c r="B109" s="15" t="str">
        <x:v>创作口径</x:v>
      </x:c>
      <x:c r="C109" s="15" t="str">
        <x:v>人物关系设计</x:v>
      </x:c>
      <x:c r="D109" s="15" t="str">
        <x:v>每条关系均有触发、冲突转变与实际玩法奖励；成人恋爱仅为明确可选分支，少年角色采用友情与导师成长线。</x:v>
      </x:c>
      <x:c r="E109" s="15" t="str">
        <x:v>内容解释与后续制作</x:v>
      </x:c>
      <x:c r="F109" s="15" t="str"/>
    </x:row>
    <x:row r="110" ht="42" customHeight="1">
      <x:c r="A110" s="13" t="str">
        <x:v>DESIGN_NOTE_05</x:v>
      </x:c>
      <x:c r="B110" s="13" t="str">
        <x:v>创作口径</x:v>
      </x:c>
      <x:c r="C110" s="13" t="str">
        <x:v>发现记录含义</x:v>
      </x:c>
      <x:c r="D110" s="13" t="str">
        <x:v>探索物包含景观、遗址、工艺、技术、生态与故事记录；获得的是图录、关系、知识、原创建造图和发现报酬。玩家首发现不等于世界历史上首次发现。</x:v>
      </x:c>
      <x:c r="E110" s="13" t="str">
        <x:v>内容解释与后续制作</x:v>
      </x:c>
      <x:c r="F110" s="13" t="str"/>
    </x:row>
    <x:row r="111" ht="42" customHeight="1">
      <x:c r="A111" s="15" t="str">
        <x:v>DESIGN_NOTE_06</x:v>
      </x:c>
      <x:c r="B111" s="15" t="str">
        <x:v>创作口径</x:v>
      </x:c>
      <x:c r="C111" s="15" t="str">
        <x:v>探索实证与原创</x:v>
      </x:c>
      <x:c r="D111" s="15" t="str">
        <x:v>source_ids只核对真实对象和一般自然背景；谜题、人物、线索、收益、独特器物均为原创游戏设计。坐标只用于世界地图定位，内陆由所列出发港组织远征。</x:v>
      </x:c>
      <x:c r="E111" s="15" t="str">
        <x:v>内容解释与后续制作</x:v>
      </x:c>
      <x:c r="F111" s="15" t="str"/>
    </x:row>
    <x:row r="112" ht="42" customHeight="1">
      <x:c r="A112" s="13" t="str">
        <x:v>DESIGN_NOTE_07</x:v>
      </x:c>
      <x:c r="B112" s="13" t="str">
        <x:v>创作口径</x:v>
      </x:c>
      <x:c r="C112" s="13" t="str">
        <x:v>招募地点归属</x:v>
      </x:c>
      <x:c r="D112" s="13" t="str">
        <x:v>所有实际招募地点绑定港口ID。C014实际出生地雅典未设独立可访问港，于坎迪亚招募；C015故乡君士坦丁堡与伊斯坦布尔为同一地点名称。</x:v>
      </x:c>
      <x:c r="E112" s="13" t="str">
        <x:v>内容解释与后续制作</x:v>
      </x:c>
      <x:c r="F112" s="13" t="str"/>
    </x:row>
    <x:row r="113" ht="31" customHeight="1">
      <x:c r="A113" s="15" t="str">
        <x:v>DESIGN_NOTE_08</x:v>
      </x:c>
      <x:c r="B113" s="15" t="str">
        <x:v>创作口径</x:v>
      </x:c>
      <x:c r="C113" s="15" t="str">
        <x:v>银币单位</x:v>
      </x:c>
      <x:c r="D113" s="15" t="str">
        <x:v>海员签约、月薪与探索报酬均以游戏银币计，不对应真实历史币值。</x:v>
      </x:c>
      <x:c r="E113" s="15" t="str">
        <x:v>内容解释与后续制作</x:v>
      </x:c>
      <x:c r="F113" s="15" t="str"/>
    </x:row>
    <x:row r="114" ht="31" customHeight="1">
      <x:c r="A114" s="13" t="str">
        <x:v>DESIGN_NOTE_09</x:v>
      </x:c>
      <x:c r="B114" s="13" t="str">
        <x:v>创作口径</x:v>
      </x:c>
      <x:c r="C114" s="13" t="str">
        <x:v>named_rewards</x:v>
      </x:c>
      <x:c r="D114" s="13" t="str">
        <x:v>人物专属前缀表示外观、故事试件或工艺笔记；reward_item_refs列出对应正式改造。正式属性与投资门槛以改造表为准。</x:v>
      </x:c>
      <x:c r="E114" s="13" t="str">
        <x:v>内容解释与后续制作</x:v>
      </x:c>
      <x:c r="F114" s="13" t="str"/>
    </x:row>
    <x:row r="115" ht="31" customHeight="1">
      <x:c r="A115" s="15" t="str">
        <x:v>FIELD_P</x:v>
      </x:c>
      <x:c r="B115" s="15" t="str">
        <x:v>字段与单位</x:v>
      </x:c>
      <x:c r="C115" s="15" t="str">
        <x:v>港口ID P001—P120</x:v>
      </x:c>
      <x:c r="D115" s="15" t="str">
        <x:v>港口、供货、船厂、海员招募和探索通过港口ID关联</x:v>
      </x:c>
      <x:c r="E115" s="15" t="str">
        <x:v>表间查找与编辑</x:v>
      </x:c>
      <x:c r="F115" s="15" t="str"/>
    </x:row>
    <x:row r="116" ht="31" customHeight="1">
      <x:c r="A116" s="13" t="str">
        <x:v>FIELD_G</x:v>
      </x:c>
      <x:c r="B116" s="13" t="str">
        <x:v>字段与单位</x:v>
      </x:c>
      <x:c r="C116" s="13" t="str">
        <x:v>商品ID G/ SP</x:v>
      </x:c>
      <x:c r="D116" s="13" t="str">
        <x:v>G为通用品，SP为每港独有命名特产；每种商品有唯一基础价</x:v>
      </x:c>
      <x:c r="E116" s="13" t="str">
        <x:v>表间查找与编辑</x:v>
      </x:c>
      <x:c r="F116" s="13" t="str"/>
    </x:row>
    <x:row r="117" ht="31" customHeight="1">
      <x:c r="A117" s="15" t="str">
        <x:v>FIELD_DA</x:v>
      </x:c>
      <x:c r="B117" s="15" t="str">
        <x:v>字段与单位</x:v>
      </x:c>
      <x:c r="C117" s="15" t="str">
        <x:v>发展D / 武装A</x:v>
      </x:c>
      <x:c r="D117" s="15" t="str">
        <x:v>D与A独立，等级阈值0/100/250/450/700/1000点</x:v>
      </x:c>
      <x:c r="E117" s="15" t="str">
        <x:v>表间查找与编辑</x:v>
      </x:c>
      <x:c r="F117" s="15" t="str"/>
    </x:row>
    <x:row r="118" ht="31" customHeight="1">
      <x:c r="A118" s="13" t="str">
        <x:v>FIELD_C</x:v>
      </x:c>
      <x:c r="B118" s="13" t="str">
        <x:v>字段与单位</x:v>
      </x:c>
      <x:c r="C118" s="13" t="str">
        <x:v>海员与职位</x:v>
      </x:c>
      <x:c r="D118" s="13" t="str">
        <x:v>C为独特海员；JOB为岗位；每人同一时刻任一主岗位</x:v>
      </x:c>
      <x:c r="E118" s="13" t="str">
        <x:v>表间查找与编辑</x:v>
      </x:c>
      <x:c r="F118" s="13" t="str"/>
    </x:row>
    <x:row r="119" ht="31" customHeight="1">
      <x:c r="A119" s="15" t="str">
        <x:v>FIELD_SMW</x:v>
      </x:c>
      <x:c r="B119" s="15" t="str">
        <x:v>字段与单位</x:v>
      </x:c>
      <x:c r="C119" s="15" t="str">
        <x:v>船型、改造与武器</x:v>
      </x:c>
      <x:c r="D119" s="15" t="str">
        <x:v>S船型；M改造；W武器或弹种；安装与槽位条件见所属条目</x:v>
      </x:c>
      <x:c r="E119" s="15" t="str">
        <x:v>表间查找与编辑</x:v>
      </x:c>
      <x:c r="F119" s="15" t="str"/>
    </x:row>
    <x:row r="120" ht="31" customHeight="1">
      <x:c r="A120" s="13" t="str">
        <x:v>FIELD_E</x:v>
      </x:c>
      <x:c r="B120" s="13" t="str">
        <x:v>字段与单位</x:v>
      </x:c>
      <x:c r="C120" s="13" t="str">
        <x:v>探索物E</x:v>
      </x:c>
      <x:c r="D120" s="13" t="str">
        <x:v>一条图鉴记录对应一条探索过程记录</x:v>
      </x:c>
      <x:c r="E120" s="13" t="str">
        <x:v>表间查找与编辑</x:v>
      </x:c>
      <x:c r="F120" s="13" t="str"/>
    </x:row>
    <x:row r="121" ht="31" customHeight="1">
      <x:c r="A121" s="15" t="str">
        <x:v>FIELD_UNITS</x:v>
      </x:c>
      <x:c r="B121" s="15" t="str">
        <x:v>字段与单位</x:v>
      </x:c>
      <x:c r="C121" s="15" t="str">
        <x:v>银币与货载单位</x:v>
      </x:c>
      <x:c r="D121" s="15" t="str">
        <x:v>价格单位为游戏银币；货载单位约1m³的抽象舱容，海战秒与游戏日分开</x:v>
      </x:c>
      <x:c r="E121" s="15" t="str">
        <x:v>表间查找与编辑</x:v>
      </x:c>
      <x:c r="F121" s="15" t="str"/>
    </x:row>
    <x:row r="122" ht="31" customHeight="1">
      <x:c r="A122" s="14" t="str">
        <x:v>FIELD_ORIGINAL</x:v>
      </x:c>
      <x:c r="B122" s="14" t="str">
        <x:v>字段与单位</x:v>
      </x:c>
      <x:c r="C122" s="14" t="str">
        <x:v>设计基值</x:v>
      </x:c>
      <x:c r="D122" s="14" t="str">
        <x:v>没有把数值当作真实历史货价；真实地理、史料灵感和架空发展分别标记</x:v>
      </x:c>
      <x:c r="E122" s="14" t="str">
        <x:v>表间查找与编辑</x:v>
      </x:c>
      <x:c r="F122" s="14" t="str"/>
    </x:row>
    <x:row r="123">
      <x:c r="A123" s="2"/>
      <x:c r="B123" s="2"/>
      <x:c r="C123" s="2"/>
      <x:c r="D123" s="2"/>
      <x:c r="E123" s="2"/>
      <x:c r="F123" s="2"/>
    </x:row>
  </x:sheetData>
  <x:pageMargins left="0.7" right="0.7" top="0.75" bottom="0.75" header="0.3" footer="0.3"/>
  <x:tableParts count="1">
    <x:tablePart xmlns:r="http://schemas.openxmlformats.org/officeDocument/2006/relationships" r:id="Rcb42f75e5f0742d4"/>
  </x:tableParts>
</x:worksheet>
</file>